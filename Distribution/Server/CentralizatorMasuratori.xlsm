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RawData!$A$1:$I$351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9" i="2" l="1"/>
  <c r="F3" i="2" l="1"/>
  <c r="I3" i="2"/>
  <c r="G3" i="2"/>
  <c r="B5" i="2" l="1"/>
  <c r="B7" i="2" l="1"/>
  <c r="B8" i="2"/>
  <c r="B4" i="2"/>
  <c r="B3" i="2"/>
  <c r="B21" i="2" l="1"/>
  <c r="B22" i="2" s="1"/>
  <c r="B11" i="2"/>
  <c r="B15" i="2" l="1"/>
  <c r="H3" i="2" l="1"/>
  <c r="J3" i="2" l="1"/>
  <c r="G4" i="2" s="1"/>
  <c r="H4" i="2" l="1"/>
  <c r="J4" i="2" s="1"/>
  <c r="B14" i="2" s="1"/>
  <c r="B13" i="2"/>
  <c r="I4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1-11-07-48-28_100013" type="6" refreshedVersion="4" background="1" refreshOnLoad="1" saveData="1">
    <textPr prompt="0" codePage="437" sourceFile="C:\Home\Krs\Work\Cantar\ScalesAutomation\Distribution\Server\CSVServer\2019-01-11-07-48-28_100013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<sst xmlns="http://schemas.openxmlformats.org/spreadsheetml/2006/main" count="689" uniqueCount="378">
  <si>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</si>
  <si>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</si>
  <si>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</si>
  <si>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</si>
  <si>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</si>
  <si>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</si>
  <si>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</si>
  <si>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</si>
  <si>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</si>
  <si>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</si>
  <si>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</si>
  <si>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</si>
  <si>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</si>
  <si>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</si>
  <si>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</si>
  <si>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</si>
  <si>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</si>
  <si>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</si>
  <si>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</si>
  <si>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</si>
  <si>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</si>
  <si>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</si>
  <si>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</si>
  <si>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</si>
  <si>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</si>
  <si>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</si>
  <si>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</si>
  <si>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</si>
  <si>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</si>
  <si>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</si>
  <si>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</si>
  <si>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</si>
  <si>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</si>
  <si>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</si>
  <si>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</si>
  <si>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</si>
  <si>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</si>
  <si>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</si>
  <si>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</si>
  <si>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</si>
  <si>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</si>
  <si>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</si>
  <si>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</si>
  <si>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</si>
  <si>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</si>
  <si>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</si>
  <si>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</si>
  <si>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</si>
  <si>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</si>
  <si>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</si>
  <si>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</si>
  <si>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</si>
  <si>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</si>
  <si>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</si>
  <si>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</si>
  <si>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</si>
  <si>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</si>
  <si>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</si>
  <si>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</si>
  <si>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</si>
  <si>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</si>
  <si>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</si>
  <si>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</si>
  <si>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</si>
  <si>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</si>
  <si>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</si>
  <si>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</si>
  <si>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</si>
  <si>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</si>
  <si>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</si>
  <si>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</si>
  <si>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</si>
  <si>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</si>
  <si>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</si>
  <si>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</si>
  <si>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</si>
  <si>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</si>
  <si>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</si>
  <si>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</si>
  <si>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</si>
  <si>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</si>
  <si>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</si>
  <si>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</si>
  <si>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</si>
  <si>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</si>
  <si>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</si>
  <si>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</si>
  <si>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</si>
  <si>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</si>
  <si>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 xml:space="preserve"> Cutie Margarita - 20 Kg</t>
  </si>
  <si>
    <t>20000Kg</t>
  </si>
  <si>
    <t>400Kg</t>
  </si>
  <si>
    <t xml:space="preserve"> 2019-01-11</t>
  </si>
  <si>
    <t xml:space="preserve"> Margarina aluat si creme 80%</t>
  </si>
  <si>
    <t>19:49:44,988</t>
  </si>
  <si>
    <t>19:52:09,727</t>
  </si>
  <si>
    <t>19:53:28,131</t>
  </si>
  <si>
    <t>19:57:08,967</t>
  </si>
  <si>
    <t>19:58:22,659</t>
  </si>
  <si>
    <t>19:59:34,928</t>
  </si>
  <si>
    <t>20:00:50,711</t>
  </si>
  <si>
    <t>20:01:59,183</t>
  </si>
  <si>
    <t>20:03:06,171</t>
  </si>
  <si>
    <t>20:04:18,833</t>
  </si>
  <si>
    <t>20:05:29,323</t>
  </si>
  <si>
    <t>20:06:46,002</t>
  </si>
  <si>
    <t>20:07:53,381</t>
  </si>
  <si>
    <t>20:09:02,853</t>
  </si>
  <si>
    <t>20:10:14,545</t>
  </si>
  <si>
    <t>20:11:27,131</t>
  </si>
  <si>
    <t>20:14:59,743</t>
  </si>
  <si>
    <t>20:16:11,532</t>
  </si>
  <si>
    <t>20:17:23,427</t>
  </si>
  <si>
    <t>20:18:33,996</t>
  </si>
  <si>
    <t>20:19:46,703</t>
  </si>
  <si>
    <t>20:20:59,159</t>
  </si>
  <si>
    <t>20:22:10,241</t>
  </si>
  <si>
    <t>20:23:21,012</t>
  </si>
  <si>
    <t>20:24:31,299</t>
  </si>
  <si>
    <t>20:28:05,237</t>
  </si>
  <si>
    <t>20:29:16,617</t>
  </si>
  <si>
    <t>20:30:27,903</t>
  </si>
  <si>
    <t>20:32:49,866</t>
  </si>
  <si>
    <t>20:35:12,521</t>
  </si>
  <si>
    <t>20:36:25,010</t>
  </si>
  <si>
    <t>20:37:36,486</t>
  </si>
  <si>
    <t>20:39:58,157</t>
  </si>
  <si>
    <t>20:41:08,928</t>
  </si>
  <si>
    <t>20:44:43,743</t>
  </si>
  <si>
    <t>20:45:56,330</t>
  </si>
  <si>
    <t>20:47:08,024</t>
  </si>
  <si>
    <t>20:48:19,608</t>
  </si>
  <si>
    <t>20:49:30,068</t>
  </si>
  <si>
    <t>20:50:40,952</t>
  </si>
  <si>
    <t>20:53:39,413</t>
  </si>
  <si>
    <t>20:54:15,095</t>
  </si>
  <si>
    <t>20:55:47,678</t>
  </si>
  <si>
    <t>20:56:38,890</t>
  </si>
  <si>
    <t>20:57:51,834</t>
  </si>
  <si>
    <t>20:59:02,904</t>
  </si>
  <si>
    <t>21:00:14,816</t>
  </si>
  <si>
    <t>21:02:35,047</t>
  </si>
  <si>
    <t>21:03:48,348</t>
  </si>
  <si>
    <t>21:05:00,024</t>
  </si>
  <si>
    <t>21:06:10,215</t>
  </si>
  <si>
    <t>21:07:26,878</t>
  </si>
  <si>
    <t>21:08:32,555</t>
  </si>
  <si>
    <t>21:09:44,327</t>
  </si>
  <si>
    <t>21:10:56,224</t>
  </si>
  <si>
    <t>21:13:17,693</t>
  </si>
  <si>
    <t>21:14:31,745</t>
  </si>
  <si>
    <t>21:15:49,236</t>
  </si>
  <si>
    <t>21:16:54,042</t>
  </si>
  <si>
    <t>21:18:05,923</t>
  </si>
  <si>
    <t>21:19:15,772</t>
  </si>
  <si>
    <t>21:20:26,372</t>
  </si>
  <si>
    <t>21:21:39,241</t>
  </si>
  <si>
    <t>21:25:14,385</t>
  </si>
  <si>
    <t>21:26:24,657</t>
  </si>
  <si>
    <t>21:27:36,526</t>
  </si>
  <si>
    <t>21:28:48,532</t>
  </si>
  <si>
    <t>21:29:58,806</t>
  </si>
  <si>
    <t>21:31:09,783</t>
  </si>
  <si>
    <t>21:32:22,056</t>
  </si>
  <si>
    <t>21:33:33,937</t>
  </si>
  <si>
    <t>21:34:46,225</t>
  </si>
  <si>
    <t>21:35:55,906</t>
  </si>
  <si>
    <t>21:37:07,678</t>
  </si>
  <si>
    <t>21:38:18,761</t>
  </si>
  <si>
    <t>21:39:29,845</t>
  </si>
  <si>
    <t>21:40:41,224</t>
  </si>
  <si>
    <t>21:41:52,684</t>
  </si>
  <si>
    <t>21:44:17,948</t>
  </si>
  <si>
    <t>21:45:29,439</t>
  </si>
  <si>
    <t>21:46:41,135</t>
  </si>
  <si>
    <t>21:47:52,500</t>
  </si>
  <si>
    <t>21:49:04,773</t>
  </si>
  <si>
    <t>21:50:18,669</t>
  </si>
  <si>
    <t>21:51:28,552</t>
  </si>
  <si>
    <t>21:52:38,152</t>
  </si>
  <si>
    <t>21:53:49,394</t>
  </si>
  <si>
    <t>21:54:59,463</t>
  </si>
  <si>
    <t>21:56:11,655</t>
  </si>
  <si>
    <t>21:57:23,754</t>
  </si>
  <si>
    <t>21:58:36,824</t>
  </si>
  <si>
    <t>21:59:45,987</t>
  </si>
  <si>
    <t>22:00:56,679</t>
  </si>
  <si>
    <t>22:02:07,761</t>
  </si>
  <si>
    <t>22:03:19,138</t>
  </si>
  <si>
    <t>22:04:31,219</t>
  </si>
  <si>
    <t>22:06:52,886</t>
  </si>
  <si>
    <t>22:08:05,782</t>
  </si>
  <si>
    <t>22:09:17,241</t>
  </si>
  <si>
    <t>22:10:27,215</t>
  </si>
  <si>
    <t>22:11:38,519</t>
  </si>
  <si>
    <t>22:14:00,168</t>
  </si>
  <si>
    <t>22:15:12,441</t>
  </si>
  <si>
    <t>22:16:23,525</t>
  </si>
  <si>
    <t>22:21:11,733</t>
  </si>
  <si>
    <t>22:22:24,519</t>
  </si>
  <si>
    <t>22:23:33,197</t>
  </si>
  <si>
    <t>22:24:45,280</t>
  </si>
  <si>
    <t>22:27:07,151</t>
  </si>
  <si>
    <t>22:29:29,098</t>
  </si>
  <si>
    <t>22:30:42,291</t>
  </si>
  <si>
    <t>22:31:52,141</t>
  </si>
  <si>
    <t>22:33:02,740</t>
  </si>
  <si>
    <t>22:35:24,501</t>
  </si>
  <si>
    <t>22:41:22,297</t>
  </si>
  <si>
    <t>22:42:34,568</t>
  </si>
  <si>
    <t>22:43:44,855</t>
  </si>
  <si>
    <t>22:46:07,319</t>
  </si>
  <si>
    <t>22:47:20,794</t>
  </si>
  <si>
    <t>22:48:30,676</t>
  </si>
  <si>
    <t>22:49:41,854</t>
  </si>
  <si>
    <t>22:50:52,737</t>
  </si>
  <si>
    <t>22:52:03,822</t>
  </si>
  <si>
    <t>22:53:15,812</t>
  </si>
  <si>
    <t>22:54:26,880</t>
  </si>
  <si>
    <t>22:55:38,059</t>
  </si>
  <si>
    <t>22:57:59,602</t>
  </si>
  <si>
    <t>22:59:11,702</t>
  </si>
  <si>
    <t>23:00:23,284</t>
  </si>
  <si>
    <t>23:01:34,759</t>
  </si>
  <si>
    <t>23:02:47,438</t>
  </si>
  <si>
    <t>23:03:57,522</t>
  </si>
  <si>
    <t>23:05:10,294</t>
  </si>
  <si>
    <t>23:06:21,784</t>
  </si>
  <si>
    <t>23:07:32,760</t>
  </si>
  <si>
    <t>23:08:42,641</t>
  </si>
  <si>
    <t>23:09:54,535</t>
  </si>
  <si>
    <t>23:11:04,715</t>
  </si>
  <si>
    <t>23:12:16,972</t>
  </si>
  <si>
    <t>23:15:49,534</t>
  </si>
  <si>
    <t>23:17:00,395</t>
  </si>
  <si>
    <t>23:20:35,337</t>
  </si>
  <si>
    <t>23:22:57,993</t>
  </si>
  <si>
    <t>23:24:09,890</t>
  </si>
  <si>
    <t>23:25:21,380</t>
  </si>
  <si>
    <t>23:26:32,229</t>
  </si>
  <si>
    <t>23:27:43,827</t>
  </si>
  <si>
    <t>23:30:04,683</t>
  </si>
  <si>
    <t>23:31:16,562</t>
  </si>
  <si>
    <t>23:32:29,255</t>
  </si>
  <si>
    <t>23:34:50,909</t>
  </si>
  <si>
    <t>23:36:02,588</t>
  </si>
  <si>
    <t>23:37:14,268</t>
  </si>
  <si>
    <t>23:38:31,726</t>
  </si>
  <si>
    <t>23:39:43,530</t>
  </si>
  <si>
    <t>23:40:48,397</t>
  </si>
  <si>
    <t>23:42:00,981</t>
  </si>
  <si>
    <t>23:43:09,473</t>
  </si>
  <si>
    <t>23:44:20,339</t>
  </si>
  <si>
    <t>23:45:32,529</t>
  </si>
  <si>
    <t>23:46:44,599</t>
  </si>
  <si>
    <t>23:47:54,277</t>
  </si>
  <si>
    <t>23:49:08,265</t>
  </si>
  <si>
    <t>23:50:23,538</t>
  </si>
  <si>
    <t>23:51:36,809</t>
  </si>
  <si>
    <t>23:52:43,098</t>
  </si>
  <si>
    <t>23:53:52,247</t>
  </si>
  <si>
    <t>23:55:05,956</t>
  </si>
  <si>
    <t>23:56:17,635</t>
  </si>
  <si>
    <t>23:57:26,829</t>
  </si>
  <si>
    <t>23:59:49,684</t>
  </si>
  <si>
    <t>00:02:11,647</t>
  </si>
  <si>
    <t>00:03:24,106</t>
  </si>
  <si>
    <t>00:04:35,110</t>
  </si>
  <si>
    <t>00:06:55,857</t>
  </si>
  <si>
    <t>00:09:16,914</t>
  </si>
  <si>
    <t>00:10:30,405</t>
  </si>
  <si>
    <t>00:11:42,081</t>
  </si>
  <si>
    <t>00:12:52,854</t>
  </si>
  <si>
    <t>00:14:03,361</t>
  </si>
  <si>
    <t>00:15:14,929</t>
  </si>
  <si>
    <t>00:17:37,285</t>
  </si>
  <si>
    <t>00:20:00,733</t>
  </si>
  <si>
    <t>00:21:11,785</t>
  </si>
  <si>
    <t>00:22:24,602</t>
  </si>
  <si>
    <t>00:23:37,688</t>
  </si>
  <si>
    <t>00:24:46,772</t>
  </si>
  <si>
    <t>00:25:58,248</t>
  </si>
  <si>
    <t>00:27:09,504</t>
  </si>
  <si>
    <t>00:28:21,914</t>
  </si>
  <si>
    <t>00:29:34,981</t>
  </si>
  <si>
    <t>00:30:44,863</t>
  </si>
  <si>
    <t>00:31:55,432</t>
  </si>
  <si>
    <t>00:33:06,125</t>
  </si>
  <si>
    <t>00:35:29,981</t>
  </si>
  <si>
    <t>00:37:51,350</t>
  </si>
  <si>
    <t>00:40:12,393</t>
  </si>
  <si>
    <t>00:42:36,265</t>
  </si>
  <si>
    <t>00:43:49,538</t>
  </si>
  <si>
    <t>00:44:59,591</t>
  </si>
  <si>
    <t>00:46:09,798</t>
  </si>
  <si>
    <t>00:47:21,291</t>
  </si>
  <si>
    <t>00:48:33,361</t>
  </si>
  <si>
    <t>00:49:44,836</t>
  </si>
  <si>
    <t>00:54:27,551</t>
  </si>
  <si>
    <t>00:55:39,044</t>
  </si>
  <si>
    <t>00:56:50,723</t>
  </si>
  <si>
    <t>00:58:02,104</t>
  </si>
  <si>
    <t>00:59:14,596</t>
  </si>
  <si>
    <t>01:01:36,231</t>
  </si>
  <si>
    <t>01:02:48,128</t>
  </si>
  <si>
    <t>01:03:59,603</t>
  </si>
  <si>
    <t>01:05:11,483</t>
  </si>
  <si>
    <t>01:06:23,271</t>
  </si>
  <si>
    <t>01:07:35,747</t>
  </si>
  <si>
    <t>01:08:45,721</t>
  </si>
  <si>
    <t>01:09:57,025</t>
  </si>
  <si>
    <t>01:11:11,890</t>
  </si>
  <si>
    <t>01:12:22,974</t>
  </si>
  <si>
    <t>01:13:31,137</t>
  </si>
  <si>
    <t>01:14:42,628</t>
  </si>
  <si>
    <t>01:15:53,103</t>
  </si>
  <si>
    <t>01:19:27,653</t>
  </si>
  <si>
    <t>01:20:39,628</t>
  </si>
  <si>
    <t>01:21:50,088</t>
  </si>
  <si>
    <t>01:23:01,985</t>
  </si>
  <si>
    <t>01:24:13,460</t>
  </si>
  <si>
    <t>01:25:24,031</t>
  </si>
  <si>
    <t>01:28:57,575</t>
  </si>
  <si>
    <t>01:30:08,848</t>
  </si>
  <si>
    <t>01:31:20,542</t>
  </si>
  <si>
    <t>01:32:32,719</t>
  </si>
  <si>
    <t>01:33:45,802</t>
  </si>
  <si>
    <t>01:34:57,481</t>
  </si>
  <si>
    <t>01:36:09,175</t>
  </si>
  <si>
    <t>01:37:18,151</t>
  </si>
  <si>
    <t>01:38:31,828</t>
  </si>
  <si>
    <t>01:39:41,006</t>
  </si>
  <si>
    <t>01:40:53,090</t>
  </si>
  <si>
    <t>01:42:04,563</t>
  </si>
  <si>
    <t>01:43:14,537</t>
  </si>
  <si>
    <t>01:44:25,824</t>
  </si>
  <si>
    <t>01:45:38,299</t>
  </si>
  <si>
    <t>01:48:01,965</t>
  </si>
  <si>
    <t>01:49:15,846</t>
  </si>
  <si>
    <t>01:50:26,898</t>
  </si>
  <si>
    <t>01:51:34,887</t>
  </si>
  <si>
    <t>01:52:47,984</t>
  </si>
  <si>
    <t>01:54:00,255</t>
  </si>
  <si>
    <t>01:56:20,718</t>
  </si>
  <si>
    <t>01:57:33,596</t>
  </si>
  <si>
    <t>01:58:44,991</t>
  </si>
  <si>
    <t>02:01:07,141</t>
  </si>
  <si>
    <t>02:02:19,835</t>
  </si>
  <si>
    <t>02:03:28,403</t>
  </si>
  <si>
    <t>02:04:41,488</t>
  </si>
  <si>
    <t>02:05:52,760</t>
  </si>
  <si>
    <t>02:07:03,955</t>
  </si>
  <si>
    <t>02:08:15,024</t>
  </si>
  <si>
    <t>02:09:30,903</t>
  </si>
  <si>
    <t>02:10:43,172</t>
  </si>
  <si>
    <t>02:11:51,176</t>
  </si>
  <si>
    <t>02:13:01,836</t>
  </si>
  <si>
    <t>02:14:14,528</t>
  </si>
  <si>
    <t>02:15:24,112</t>
  </si>
  <si>
    <t>02:16:39,978</t>
  </si>
  <si>
    <t>02:17:46,658</t>
  </si>
  <si>
    <t>02:19:03,647</t>
  </si>
  <si>
    <t>02:20:19,528</t>
  </si>
  <si>
    <t>02:21:26,190</t>
  </si>
  <si>
    <t>02:22:32,179</t>
  </si>
  <si>
    <t>02:23:44,466</t>
  </si>
  <si>
    <t>02:24:56,546</t>
  </si>
  <si>
    <t>02:26:07,609</t>
  </si>
  <si>
    <t>02:27:18,014</t>
  </si>
  <si>
    <t>02:28:29,667</t>
  </si>
  <si>
    <t>02:30:52,134</t>
  </si>
  <si>
    <t>02:33:14,992</t>
  </si>
  <si>
    <t>02:38:00,805</t>
  </si>
  <si>
    <t>02:39:11,913</t>
  </si>
  <si>
    <t>02:41:35,161</t>
  </si>
  <si>
    <t>02:42:47,629</t>
  </si>
  <si>
    <t>02:43:58,923</t>
  </si>
  <si>
    <t>02:45:11,812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</si>
</sst>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2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Metrologie!$F$13:$F$362</c:f>
              <c:numCache>
                <c:formatCode>0.000</c:formatCode>
                <c:ptCount val="350"/>
                <c:pt idx="0">
                  <c:v>20.02</c:v>
                </c:pt>
                <c:pt idx="1">
                  <c:v>20</c:v>
                </c:pt>
                <c:pt idx="2">
                  <c:v>20.02</c:v>
                </c:pt>
                <c:pt idx="3">
                  <c:v>20.02</c:v>
                </c:pt>
                <c:pt idx="4">
                  <c:v>20</c:v>
                </c:pt>
                <c:pt idx="5">
                  <c:v>20</c:v>
                </c:pt>
                <c:pt idx="6">
                  <c:v>20.02</c:v>
                </c:pt>
                <c:pt idx="7">
                  <c:v>20.02</c:v>
                </c:pt>
                <c:pt idx="8">
                  <c:v>20.02</c:v>
                </c:pt>
                <c:pt idx="9">
                  <c:v>20.02</c:v>
                </c:pt>
                <c:pt idx="10">
                  <c:v>20.02</c:v>
                </c:pt>
                <c:pt idx="11">
                  <c:v>20.02</c:v>
                </c:pt>
                <c:pt idx="12">
                  <c:v>20.02</c:v>
                </c:pt>
                <c:pt idx="13">
                  <c:v>20.02</c:v>
                </c:pt>
                <c:pt idx="14">
                  <c:v>20.04</c:v>
                </c:pt>
                <c:pt idx="15">
                  <c:v>20.04</c:v>
                </c:pt>
                <c:pt idx="16">
                  <c:v>20.02</c:v>
                </c:pt>
                <c:pt idx="17">
                  <c:v>20.04</c:v>
                </c:pt>
                <c:pt idx="18">
                  <c:v>20.02</c:v>
                </c:pt>
                <c:pt idx="19">
                  <c:v>20</c:v>
                </c:pt>
                <c:pt idx="20">
                  <c:v>20</c:v>
                </c:pt>
                <c:pt idx="21">
                  <c:v>20.04</c:v>
                </c:pt>
                <c:pt idx="22">
                  <c:v>20.02</c:v>
                </c:pt>
                <c:pt idx="23">
                  <c:v>20.02</c:v>
                </c:pt>
                <c:pt idx="24">
                  <c:v>20.04</c:v>
                </c:pt>
                <c:pt idx="25">
                  <c:v>20</c:v>
                </c:pt>
                <c:pt idx="26">
                  <c:v>20</c:v>
                </c:pt>
                <c:pt idx="27">
                  <c:v>20.02</c:v>
                </c:pt>
                <c:pt idx="28">
                  <c:v>20.04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20.02</c:v>
                </c:pt>
                <c:pt idx="33">
                  <c:v>20.02</c:v>
                </c:pt>
                <c:pt idx="34">
                  <c:v>20.04</c:v>
                </c:pt>
                <c:pt idx="35">
                  <c:v>20</c:v>
                </c:pt>
                <c:pt idx="36">
                  <c:v>20.02</c:v>
                </c:pt>
                <c:pt idx="37">
                  <c:v>20</c:v>
                </c:pt>
                <c:pt idx="38">
                  <c:v>20.02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20.02</c:v>
                </c:pt>
                <c:pt idx="47">
                  <c:v>20.04</c:v>
                </c:pt>
                <c:pt idx="48">
                  <c:v>20.04</c:v>
                </c:pt>
                <c:pt idx="49">
                  <c:v>20</c:v>
                </c:pt>
                <c:pt idx="50">
                  <c:v>20.04</c:v>
                </c:pt>
                <c:pt idx="51">
                  <c:v>20.02</c:v>
                </c:pt>
                <c:pt idx="52">
                  <c:v>20</c:v>
                </c:pt>
                <c:pt idx="53">
                  <c:v>20.04</c:v>
                </c:pt>
                <c:pt idx="54">
                  <c:v>20.02</c:v>
                </c:pt>
                <c:pt idx="55">
                  <c:v>20</c:v>
                </c:pt>
                <c:pt idx="56">
                  <c:v>20</c:v>
                </c:pt>
                <c:pt idx="57">
                  <c:v>20.059999999999999</c:v>
                </c:pt>
                <c:pt idx="58">
                  <c:v>20.04</c:v>
                </c:pt>
                <c:pt idx="59">
                  <c:v>20.02</c:v>
                </c:pt>
                <c:pt idx="60">
                  <c:v>20</c:v>
                </c:pt>
                <c:pt idx="61">
                  <c:v>20.04</c:v>
                </c:pt>
                <c:pt idx="62">
                  <c:v>20</c:v>
                </c:pt>
                <c:pt idx="63">
                  <c:v>20.02</c:v>
                </c:pt>
                <c:pt idx="64">
                  <c:v>20</c:v>
                </c:pt>
                <c:pt idx="65">
                  <c:v>20.02</c:v>
                </c:pt>
                <c:pt idx="66">
                  <c:v>20.02</c:v>
                </c:pt>
                <c:pt idx="67">
                  <c:v>20.04</c:v>
                </c:pt>
                <c:pt idx="68">
                  <c:v>20.02</c:v>
                </c:pt>
                <c:pt idx="69">
                  <c:v>20</c:v>
                </c:pt>
                <c:pt idx="70">
                  <c:v>20.04</c:v>
                </c:pt>
                <c:pt idx="71">
                  <c:v>20</c:v>
                </c:pt>
                <c:pt idx="72">
                  <c:v>20.02</c:v>
                </c:pt>
                <c:pt idx="73">
                  <c:v>20</c:v>
                </c:pt>
                <c:pt idx="74">
                  <c:v>20</c:v>
                </c:pt>
                <c:pt idx="75">
                  <c:v>20.02</c:v>
                </c:pt>
                <c:pt idx="76">
                  <c:v>20.02</c:v>
                </c:pt>
                <c:pt idx="77">
                  <c:v>20.02</c:v>
                </c:pt>
                <c:pt idx="78">
                  <c:v>20</c:v>
                </c:pt>
                <c:pt idx="79">
                  <c:v>20</c:v>
                </c:pt>
                <c:pt idx="80">
                  <c:v>20.04</c:v>
                </c:pt>
                <c:pt idx="81">
                  <c:v>20.02</c:v>
                </c:pt>
                <c:pt idx="82">
                  <c:v>20.04</c:v>
                </c:pt>
                <c:pt idx="83">
                  <c:v>20</c:v>
                </c:pt>
                <c:pt idx="84">
                  <c:v>20.04</c:v>
                </c:pt>
                <c:pt idx="85">
                  <c:v>20.02</c:v>
                </c:pt>
                <c:pt idx="86">
                  <c:v>20.02</c:v>
                </c:pt>
                <c:pt idx="87">
                  <c:v>20.04</c:v>
                </c:pt>
                <c:pt idx="88">
                  <c:v>20.02</c:v>
                </c:pt>
                <c:pt idx="89">
                  <c:v>20.02</c:v>
                </c:pt>
                <c:pt idx="90">
                  <c:v>20</c:v>
                </c:pt>
                <c:pt idx="91">
                  <c:v>19.98</c:v>
                </c:pt>
                <c:pt idx="92">
                  <c:v>20.02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20.12</c:v>
                </c:pt>
                <c:pt idx="97">
                  <c:v>20</c:v>
                </c:pt>
                <c:pt idx="98">
                  <c:v>20.02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20.02</c:v>
                </c:pt>
                <c:pt idx="103">
                  <c:v>20</c:v>
                </c:pt>
                <c:pt idx="104">
                  <c:v>20.02</c:v>
                </c:pt>
                <c:pt idx="105">
                  <c:v>20.02</c:v>
                </c:pt>
                <c:pt idx="106">
                  <c:v>20.02</c:v>
                </c:pt>
                <c:pt idx="107">
                  <c:v>19.98</c:v>
                </c:pt>
                <c:pt idx="108">
                  <c:v>20</c:v>
                </c:pt>
                <c:pt idx="109">
                  <c:v>20.02</c:v>
                </c:pt>
                <c:pt idx="110">
                  <c:v>20.04</c:v>
                </c:pt>
                <c:pt idx="111">
                  <c:v>20</c:v>
                </c:pt>
                <c:pt idx="112">
                  <c:v>20</c:v>
                </c:pt>
                <c:pt idx="113">
                  <c:v>20.04</c:v>
                </c:pt>
                <c:pt idx="114">
                  <c:v>20</c:v>
                </c:pt>
                <c:pt idx="115">
                  <c:v>20.02</c:v>
                </c:pt>
                <c:pt idx="116">
                  <c:v>20</c:v>
                </c:pt>
                <c:pt idx="117">
                  <c:v>20.02</c:v>
                </c:pt>
                <c:pt idx="118">
                  <c:v>20.02</c:v>
                </c:pt>
                <c:pt idx="119">
                  <c:v>20.04</c:v>
                </c:pt>
                <c:pt idx="120">
                  <c:v>20</c:v>
                </c:pt>
                <c:pt idx="121">
                  <c:v>20</c:v>
                </c:pt>
                <c:pt idx="122">
                  <c:v>20.02</c:v>
                </c:pt>
                <c:pt idx="123">
                  <c:v>19.98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20.04</c:v>
                </c:pt>
                <c:pt idx="129">
                  <c:v>20.04</c:v>
                </c:pt>
                <c:pt idx="130">
                  <c:v>20.02</c:v>
                </c:pt>
                <c:pt idx="131">
                  <c:v>20</c:v>
                </c:pt>
                <c:pt idx="132">
                  <c:v>20.02</c:v>
                </c:pt>
                <c:pt idx="133">
                  <c:v>20</c:v>
                </c:pt>
                <c:pt idx="134">
                  <c:v>20.02</c:v>
                </c:pt>
                <c:pt idx="135">
                  <c:v>20.04</c:v>
                </c:pt>
                <c:pt idx="136">
                  <c:v>20.02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20.02</c:v>
                </c:pt>
                <c:pt idx="145">
                  <c:v>20.02</c:v>
                </c:pt>
                <c:pt idx="146">
                  <c:v>20.02</c:v>
                </c:pt>
                <c:pt idx="147">
                  <c:v>20</c:v>
                </c:pt>
                <c:pt idx="148">
                  <c:v>20.04</c:v>
                </c:pt>
                <c:pt idx="149">
                  <c:v>20.02</c:v>
                </c:pt>
                <c:pt idx="150">
                  <c:v>20.02</c:v>
                </c:pt>
                <c:pt idx="151">
                  <c:v>20.04</c:v>
                </c:pt>
                <c:pt idx="152">
                  <c:v>20.04</c:v>
                </c:pt>
                <c:pt idx="153">
                  <c:v>20.02</c:v>
                </c:pt>
                <c:pt idx="154">
                  <c:v>20.02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20.02</c:v>
                </c:pt>
                <c:pt idx="159">
                  <c:v>20.04</c:v>
                </c:pt>
                <c:pt idx="160">
                  <c:v>20.02</c:v>
                </c:pt>
                <c:pt idx="161">
                  <c:v>20.02</c:v>
                </c:pt>
                <c:pt idx="162">
                  <c:v>20.02</c:v>
                </c:pt>
                <c:pt idx="163">
                  <c:v>20.02</c:v>
                </c:pt>
                <c:pt idx="164">
                  <c:v>20</c:v>
                </c:pt>
                <c:pt idx="165">
                  <c:v>20.02</c:v>
                </c:pt>
                <c:pt idx="166">
                  <c:v>20.04</c:v>
                </c:pt>
                <c:pt idx="167">
                  <c:v>20.02</c:v>
                </c:pt>
                <c:pt idx="168">
                  <c:v>20</c:v>
                </c:pt>
                <c:pt idx="169">
                  <c:v>20</c:v>
                </c:pt>
                <c:pt idx="170">
                  <c:v>20.02</c:v>
                </c:pt>
                <c:pt idx="171">
                  <c:v>20</c:v>
                </c:pt>
                <c:pt idx="172">
                  <c:v>20</c:v>
                </c:pt>
                <c:pt idx="173">
                  <c:v>19.98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20.02</c:v>
                </c:pt>
                <c:pt idx="178">
                  <c:v>20</c:v>
                </c:pt>
                <c:pt idx="179">
                  <c:v>20.02</c:v>
                </c:pt>
                <c:pt idx="180">
                  <c:v>20.02</c:v>
                </c:pt>
                <c:pt idx="181">
                  <c:v>20.02</c:v>
                </c:pt>
                <c:pt idx="182">
                  <c:v>20.02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20.02</c:v>
                </c:pt>
                <c:pt idx="188">
                  <c:v>20</c:v>
                </c:pt>
                <c:pt idx="189">
                  <c:v>20.02</c:v>
                </c:pt>
                <c:pt idx="190">
                  <c:v>20</c:v>
                </c:pt>
                <c:pt idx="191">
                  <c:v>20.04</c:v>
                </c:pt>
                <c:pt idx="192">
                  <c:v>20.04</c:v>
                </c:pt>
                <c:pt idx="193">
                  <c:v>20.02</c:v>
                </c:pt>
                <c:pt idx="194">
                  <c:v>20.02</c:v>
                </c:pt>
                <c:pt idx="195">
                  <c:v>20.02</c:v>
                </c:pt>
                <c:pt idx="196">
                  <c:v>20</c:v>
                </c:pt>
                <c:pt idx="197">
                  <c:v>20</c:v>
                </c:pt>
                <c:pt idx="198">
                  <c:v>20.02</c:v>
                </c:pt>
                <c:pt idx="199">
                  <c:v>19.98</c:v>
                </c:pt>
                <c:pt idx="200">
                  <c:v>20.02</c:v>
                </c:pt>
                <c:pt idx="201">
                  <c:v>20.02</c:v>
                </c:pt>
                <c:pt idx="202">
                  <c:v>20.02</c:v>
                </c:pt>
                <c:pt idx="203">
                  <c:v>20.02</c:v>
                </c:pt>
                <c:pt idx="204">
                  <c:v>20.02</c:v>
                </c:pt>
                <c:pt idx="205">
                  <c:v>20</c:v>
                </c:pt>
                <c:pt idx="206">
                  <c:v>20.04</c:v>
                </c:pt>
                <c:pt idx="207">
                  <c:v>20.02</c:v>
                </c:pt>
                <c:pt idx="208">
                  <c:v>20.02</c:v>
                </c:pt>
                <c:pt idx="209">
                  <c:v>20</c:v>
                </c:pt>
                <c:pt idx="210">
                  <c:v>20.02</c:v>
                </c:pt>
                <c:pt idx="211">
                  <c:v>20</c:v>
                </c:pt>
                <c:pt idx="212">
                  <c:v>20.02</c:v>
                </c:pt>
                <c:pt idx="213">
                  <c:v>20.04</c:v>
                </c:pt>
                <c:pt idx="214">
                  <c:v>20</c:v>
                </c:pt>
                <c:pt idx="215">
                  <c:v>20</c:v>
                </c:pt>
                <c:pt idx="216">
                  <c:v>20.02</c:v>
                </c:pt>
                <c:pt idx="217">
                  <c:v>20</c:v>
                </c:pt>
                <c:pt idx="218">
                  <c:v>20</c:v>
                </c:pt>
                <c:pt idx="219">
                  <c:v>20.02</c:v>
                </c:pt>
                <c:pt idx="220">
                  <c:v>19.98</c:v>
                </c:pt>
                <c:pt idx="221">
                  <c:v>20</c:v>
                </c:pt>
                <c:pt idx="222">
                  <c:v>19.98</c:v>
                </c:pt>
                <c:pt idx="223">
                  <c:v>20</c:v>
                </c:pt>
                <c:pt idx="224">
                  <c:v>20</c:v>
                </c:pt>
                <c:pt idx="225">
                  <c:v>19.98</c:v>
                </c:pt>
                <c:pt idx="226">
                  <c:v>20</c:v>
                </c:pt>
                <c:pt idx="227">
                  <c:v>20.02</c:v>
                </c:pt>
                <c:pt idx="228">
                  <c:v>20.02</c:v>
                </c:pt>
                <c:pt idx="229">
                  <c:v>20.02</c:v>
                </c:pt>
                <c:pt idx="230">
                  <c:v>20.02</c:v>
                </c:pt>
                <c:pt idx="231">
                  <c:v>20</c:v>
                </c:pt>
                <c:pt idx="232">
                  <c:v>20.04</c:v>
                </c:pt>
                <c:pt idx="233">
                  <c:v>20</c:v>
                </c:pt>
                <c:pt idx="234">
                  <c:v>20.02</c:v>
                </c:pt>
                <c:pt idx="235">
                  <c:v>20.02</c:v>
                </c:pt>
                <c:pt idx="236">
                  <c:v>20</c:v>
                </c:pt>
                <c:pt idx="237">
                  <c:v>20.02</c:v>
                </c:pt>
                <c:pt idx="238">
                  <c:v>20.02</c:v>
                </c:pt>
                <c:pt idx="239">
                  <c:v>20</c:v>
                </c:pt>
                <c:pt idx="240">
                  <c:v>20.02</c:v>
                </c:pt>
                <c:pt idx="241">
                  <c:v>20</c:v>
                </c:pt>
                <c:pt idx="242">
                  <c:v>20.02</c:v>
                </c:pt>
                <c:pt idx="243">
                  <c:v>20</c:v>
                </c:pt>
                <c:pt idx="244">
                  <c:v>20.02</c:v>
                </c:pt>
                <c:pt idx="245">
                  <c:v>20</c:v>
                </c:pt>
                <c:pt idx="246">
                  <c:v>20</c:v>
                </c:pt>
                <c:pt idx="247">
                  <c:v>20.04</c:v>
                </c:pt>
                <c:pt idx="248">
                  <c:v>20.02</c:v>
                </c:pt>
                <c:pt idx="249">
                  <c:v>20.02</c:v>
                </c:pt>
                <c:pt idx="250">
                  <c:v>20.02</c:v>
                </c:pt>
                <c:pt idx="251">
                  <c:v>20.04</c:v>
                </c:pt>
                <c:pt idx="252">
                  <c:v>19.98</c:v>
                </c:pt>
                <c:pt idx="253">
                  <c:v>20</c:v>
                </c:pt>
                <c:pt idx="254">
                  <c:v>20</c:v>
                </c:pt>
                <c:pt idx="255">
                  <c:v>20</c:v>
                </c:pt>
                <c:pt idx="256">
                  <c:v>19.98</c:v>
                </c:pt>
                <c:pt idx="257">
                  <c:v>20.04</c:v>
                </c:pt>
                <c:pt idx="258">
                  <c:v>20.02</c:v>
                </c:pt>
                <c:pt idx="259">
                  <c:v>20.02</c:v>
                </c:pt>
                <c:pt idx="260">
                  <c:v>19.98</c:v>
                </c:pt>
                <c:pt idx="261">
                  <c:v>20</c:v>
                </c:pt>
                <c:pt idx="262">
                  <c:v>20.02</c:v>
                </c:pt>
                <c:pt idx="263">
                  <c:v>20</c:v>
                </c:pt>
                <c:pt idx="264">
                  <c:v>20.04</c:v>
                </c:pt>
                <c:pt idx="265">
                  <c:v>20.02</c:v>
                </c:pt>
                <c:pt idx="266">
                  <c:v>20.04</c:v>
                </c:pt>
                <c:pt idx="267">
                  <c:v>20.02</c:v>
                </c:pt>
                <c:pt idx="268">
                  <c:v>20.04</c:v>
                </c:pt>
                <c:pt idx="269">
                  <c:v>19.98</c:v>
                </c:pt>
                <c:pt idx="270">
                  <c:v>20.04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20.02</c:v>
                </c:pt>
                <c:pt idx="275">
                  <c:v>20</c:v>
                </c:pt>
                <c:pt idx="276">
                  <c:v>20</c:v>
                </c:pt>
                <c:pt idx="277">
                  <c:v>20.02</c:v>
                </c:pt>
                <c:pt idx="278">
                  <c:v>20.02</c:v>
                </c:pt>
                <c:pt idx="279">
                  <c:v>20.02</c:v>
                </c:pt>
                <c:pt idx="280">
                  <c:v>20</c:v>
                </c:pt>
                <c:pt idx="281">
                  <c:v>20.02</c:v>
                </c:pt>
                <c:pt idx="282">
                  <c:v>20.02</c:v>
                </c:pt>
                <c:pt idx="283">
                  <c:v>20</c:v>
                </c:pt>
                <c:pt idx="284">
                  <c:v>20</c:v>
                </c:pt>
                <c:pt idx="285">
                  <c:v>20.059999999999999</c:v>
                </c:pt>
                <c:pt idx="286">
                  <c:v>20.02</c:v>
                </c:pt>
                <c:pt idx="287">
                  <c:v>20.04</c:v>
                </c:pt>
                <c:pt idx="288">
                  <c:v>20.02</c:v>
                </c:pt>
                <c:pt idx="289">
                  <c:v>20.04</c:v>
                </c:pt>
                <c:pt idx="290">
                  <c:v>20.04</c:v>
                </c:pt>
                <c:pt idx="291">
                  <c:v>20.02</c:v>
                </c:pt>
                <c:pt idx="292">
                  <c:v>19.98</c:v>
                </c:pt>
                <c:pt idx="293">
                  <c:v>20.02</c:v>
                </c:pt>
                <c:pt idx="294">
                  <c:v>20.02</c:v>
                </c:pt>
                <c:pt idx="295">
                  <c:v>20.02</c:v>
                </c:pt>
                <c:pt idx="296">
                  <c:v>20.02</c:v>
                </c:pt>
                <c:pt idx="297">
                  <c:v>20.04</c:v>
                </c:pt>
                <c:pt idx="298">
                  <c:v>20.04</c:v>
                </c:pt>
                <c:pt idx="299">
                  <c:v>20</c:v>
                </c:pt>
                <c:pt idx="300">
                  <c:v>20</c:v>
                </c:pt>
                <c:pt idx="301">
                  <c:v>20.02</c:v>
                </c:pt>
                <c:pt idx="302">
                  <c:v>20.02</c:v>
                </c:pt>
                <c:pt idx="303">
                  <c:v>20.04</c:v>
                </c:pt>
                <c:pt idx="304">
                  <c:v>20.02</c:v>
                </c:pt>
                <c:pt idx="305">
                  <c:v>20.02</c:v>
                </c:pt>
                <c:pt idx="306">
                  <c:v>20.02</c:v>
                </c:pt>
                <c:pt idx="307">
                  <c:v>20</c:v>
                </c:pt>
                <c:pt idx="308">
                  <c:v>20.02</c:v>
                </c:pt>
                <c:pt idx="309">
                  <c:v>20.02</c:v>
                </c:pt>
                <c:pt idx="310">
                  <c:v>20.04</c:v>
                </c:pt>
                <c:pt idx="311">
                  <c:v>20</c:v>
                </c:pt>
                <c:pt idx="312">
                  <c:v>20.04</c:v>
                </c:pt>
                <c:pt idx="313">
                  <c:v>20</c:v>
                </c:pt>
                <c:pt idx="314">
                  <c:v>20.02</c:v>
                </c:pt>
                <c:pt idx="315">
                  <c:v>20.02</c:v>
                </c:pt>
                <c:pt idx="316">
                  <c:v>20</c:v>
                </c:pt>
                <c:pt idx="317">
                  <c:v>19.98</c:v>
                </c:pt>
                <c:pt idx="318">
                  <c:v>20</c:v>
                </c:pt>
                <c:pt idx="319">
                  <c:v>20.04</c:v>
                </c:pt>
                <c:pt idx="320">
                  <c:v>20</c:v>
                </c:pt>
                <c:pt idx="321">
                  <c:v>20</c:v>
                </c:pt>
                <c:pt idx="322">
                  <c:v>20</c:v>
                </c:pt>
                <c:pt idx="323">
                  <c:v>20.04</c:v>
                </c:pt>
                <c:pt idx="324">
                  <c:v>20</c:v>
                </c:pt>
                <c:pt idx="325">
                  <c:v>20.02</c:v>
                </c:pt>
                <c:pt idx="326">
                  <c:v>20.02</c:v>
                </c:pt>
                <c:pt idx="327">
                  <c:v>19.98</c:v>
                </c:pt>
                <c:pt idx="328">
                  <c:v>20.02</c:v>
                </c:pt>
                <c:pt idx="329">
                  <c:v>20</c:v>
                </c:pt>
                <c:pt idx="330">
                  <c:v>20</c:v>
                </c:pt>
                <c:pt idx="331">
                  <c:v>20.02</c:v>
                </c:pt>
                <c:pt idx="332">
                  <c:v>20.04</c:v>
                </c:pt>
                <c:pt idx="333">
                  <c:v>20.02</c:v>
                </c:pt>
                <c:pt idx="334">
                  <c:v>20.02</c:v>
                </c:pt>
                <c:pt idx="335">
                  <c:v>20</c:v>
                </c:pt>
                <c:pt idx="336">
                  <c:v>20</c:v>
                </c:pt>
                <c:pt idx="337">
                  <c:v>20.02</c:v>
                </c:pt>
                <c:pt idx="338">
                  <c:v>20</c:v>
                </c:pt>
                <c:pt idx="339">
                  <c:v>20.02</c:v>
                </c:pt>
                <c:pt idx="340">
                  <c:v>20</c:v>
                </c:pt>
                <c:pt idx="341">
                  <c:v>20</c:v>
                </c:pt>
                <c:pt idx="342">
                  <c:v>20</c:v>
                </c:pt>
                <c:pt idx="343">
                  <c:v>20.04</c:v>
                </c:pt>
                <c:pt idx="344">
                  <c:v>19.98</c:v>
                </c:pt>
                <c:pt idx="345">
                  <c:v>20</c:v>
                </c:pt>
                <c:pt idx="346">
                  <c:v>20.02</c:v>
                </c:pt>
                <c:pt idx="347">
                  <c:v>20.02</c:v>
                </c:pt>
                <c:pt idx="348">
                  <c:v>20.04</c:v>
                </c:pt>
                <c:pt idx="349">
                  <c:v>20.04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37280"/>
        <c:axId val="125543168"/>
      </c:scatterChart>
      <c:valAx>
        <c:axId val="125137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5543168"/>
        <c:crosses val="autoZero"/>
        <c:crossBetween val="midCat"/>
      </c:valAx>
      <c:valAx>
        <c:axId val="1255431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251372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A3" sqref="A3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0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82" customWidth="1"/>
    <col min="16" max="16" width="14.85546875" style="60" bestFit="1" customWidth="1"/>
    <col min="17" max="17" width="16" style="66" bestFit="1" customWidth="1"/>
    <col min="18" max="18" width="12" style="59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3" t="str">
        <f>IF(AND(OR(ES1_Status = "Ok",ES1_Status = "ES2 Necesar"), ES2_Status &lt;&gt; "Not Ok", ES3_Status = "Ok"), "Lot Acceptat","Lot Respins")</f>
        <v>Lot Acceptat</v>
      </c>
      <c r="B2" s="74"/>
      <c r="C2" s="5"/>
      <c r="D2" s="5"/>
      <c r="E2" s="3"/>
      <c r="F2" s="55" t="s">
        <v>62</v>
      </c>
      <c r="G2" s="31" t="s">
        <v>44</v>
      </c>
      <c r="H2" s="31" t="s">
        <v>46</v>
      </c>
      <c r="I2" s="51" t="s">
        <v>45</v>
      </c>
      <c r="J2" s="64" t="s">
        <v>47</v>
      </c>
    </row>
    <row r="3" spans="1:18" x14ac:dyDescent="0.25">
      <c r="A3" s="2" t="s">
        <v>2</v>
      </c>
      <c r="B3" s="7">
        <f>RawData!M1</f>
        <v>0</v>
      </c>
      <c r="C3" s="3"/>
      <c r="D3" s="3"/>
      <c r="E3" s="3" t="s">
        <v>63</v>
      </c>
      <c r="F3" s="85">
        <f>IF(ML&lt;=100,ML,IF(ML&gt;3201,80, IF(ML&gt;=501,50, IF(ML&gt;100,30,ML))))</f>
        <v>30</v>
      </c>
      <c r="G3" s="33">
        <f>IF(ML=30,1, IF(ML=50,2, IF(ML=80,3,1)))</f>
        <v>1</v>
      </c>
      <c r="H3" s="36">
        <f>COUNTIF(K:K, "Not Ok")</f>
        <v>0</v>
      </c>
      <c r="I3" s="53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RawData!L1</f>
        <v>0</v>
      </c>
      <c r="C4" s="3"/>
      <c r="D4" s="3"/>
      <c r="E4" s="3" t="s">
        <v>64</v>
      </c>
      <c r="F4" s="85">
        <v>0</v>
      </c>
      <c r="G4" s="34" t="str">
        <f>IF(ES1_Status="ES2 Necesar",IF(ML=30,4, IF(ML=50,6, IF(ML=80,8,4))),"")</f>
        <v/>
      </c>
      <c r="H4" s="37" t="str">
        <f>IF(ES1_Status="ES2 Necesar",COUNTIF(N:N, "Not Ok"),"")</f>
        <v/>
      </c>
      <c r="I4" s="54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RawData!Q1</f>
        <v>0</v>
      </c>
      <c r="E5" s="3" t="s">
        <v>65</v>
      </c>
      <c r="F5" s="85">
        <v>30</v>
      </c>
      <c r="G5" s="72"/>
      <c r="H5" s="72"/>
      <c r="I5" s="72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350</v>
      </c>
      <c r="C6" s="3"/>
      <c r="D6" s="3"/>
      <c r="E6"/>
      <c r="F6" s="56"/>
      <c r="K6" s="38"/>
    </row>
    <row r="7" spans="1:18" x14ac:dyDescent="0.25">
      <c r="A7" s="2" t="s">
        <v>4</v>
      </c>
      <c r="B7" s="7">
        <f>IF(ISERROR(VALUE(RawData!O1)), LEFT(RawData!O1, FIND("Kg",RawData!O1)-1), RawData!O1)</f>
        <v>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>
        <f>RawData!N1</f>
        <v>0</v>
      </c>
      <c r="C8" s="3"/>
      <c r="D8" s="3"/>
      <c r="E8"/>
      <c r="F8" s="56"/>
    </row>
    <row r="9" spans="1:18" x14ac:dyDescent="0.25">
      <c r="A9" t="s">
        <v>5</v>
      </c>
      <c r="B9" s="50">
        <f>IF(ISERROR(VALUE(RawData!P1)), LEFT(RawData!P1, FIND("Kg",RawData!P1)-1), RawData!P1)</f>
        <v>0</v>
      </c>
      <c r="C9" s="6" t="s">
        <v>0</v>
      </c>
      <c r="E9"/>
      <c r="F9" s="56"/>
    </row>
    <row r="10" spans="1:18" x14ac:dyDescent="0.25">
      <c r="A10" s="2" t="s">
        <v>6</v>
      </c>
      <c r="B10" s="50">
        <v>0</v>
      </c>
      <c r="C10" s="6" t="s">
        <v>0</v>
      </c>
      <c r="E10"/>
      <c r="F10" s="56"/>
    </row>
    <row r="11" spans="1:18" x14ac:dyDescent="0.25">
      <c r="A11" s="2" t="s">
        <v>8</v>
      </c>
      <c r="B11" s="50">
        <f>Qn-ENT</f>
        <v>0</v>
      </c>
      <c r="C11" s="6" t="s">
        <v>0</v>
      </c>
      <c r="D11" s="6"/>
      <c r="E11" s="75" t="s">
        <v>58</v>
      </c>
      <c r="F11" s="76"/>
      <c r="G11" s="76"/>
      <c r="H11" s="76"/>
      <c r="I11" s="77" t="s">
        <v>59</v>
      </c>
      <c r="J11" s="78"/>
      <c r="K11" s="78"/>
      <c r="L11" s="79" t="s">
        <v>60</v>
      </c>
      <c r="M11" s="80"/>
      <c r="N11" s="80"/>
      <c r="O11" s="70" t="s">
        <v>61</v>
      </c>
      <c r="P11" s="71"/>
      <c r="Q11" s="71"/>
      <c r="R11" s="71"/>
    </row>
    <row r="12" spans="1:18" ht="90" x14ac:dyDescent="0.25">
      <c r="E12" s="48" t="s">
        <v>48</v>
      </c>
      <c r="F12" s="57" t="s">
        <v>49</v>
      </c>
      <c r="G12" s="48" t="s">
        <v>50</v>
      </c>
      <c r="H12" s="49" t="s">
        <v>88</v>
      </c>
      <c r="I12" s="52" t="s">
        <v>48</v>
      </c>
      <c r="J12" s="49" t="s">
        <v>72</v>
      </c>
      <c r="K12" s="48" t="s">
        <v>52</v>
      </c>
      <c r="L12" s="48" t="s">
        <v>48</v>
      </c>
      <c r="M12" s="48" t="s">
        <v>71</v>
      </c>
      <c r="N12" s="48" t="s">
        <v>53</v>
      </c>
      <c r="O12" s="83" t="s">
        <v>48</v>
      </c>
      <c r="P12" s="61" t="s">
        <v>73</v>
      </c>
      <c r="Q12" s="67" t="s">
        <v>74</v>
      </c>
      <c r="R12" s="58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 s="56">
        <v>20.02</v>
      </c>
      <c r="G13" t="s">
        <v>94</v>
      </c>
      <c r="H13" s="35" t="str">
        <f>IF(Qn-(F13-Ta)&gt;2*ENT,"Fara E","Ok")</f>
        <v>Ok</v>
      </c>
      <c r="I13" s="35">
        <f>E13</f>
        <v>1</v>
      </c>
      <c r="J13" s="65">
        <f>F13-Ta</f>
        <v>20.02</v>
      </c>
      <c r="K13" s="35" t="str">
        <f>IF(J13&gt;=CMA,"Ok","Not Ok")</f>
        <v>Ok</v>
      </c>
      <c r="L13" s="35"/>
      <c r="M13" s="35"/>
      <c r="N13" s="35"/>
      <c r="O13" s="84">
        <f>E22</f>
        <v>10</v>
      </c>
      <c r="P13" s="62">
        <f>F22-Ta</f>
        <v>20.02</v>
      </c>
      <c r="Q13" s="68">
        <f>P13-Xi</f>
        <v>1.3333333333349628E-3</v>
      </c>
      <c r="R13" s="59">
        <f>POWER(Q13,2)</f>
        <v>1.7777777777821232E-6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 s="56">
        <v>20</v>
      </c>
      <c r="G14">
        <v>2000</v>
      </c>
      <c r="H14" s="35" t="str">
        <f>IF(Qn-(F14-Ta)&gt;2*ENT,"Fara E","Ok")</f>
        <v>Ok</v>
      </c>
      <c r="I14" s="35">
        <f>E27</f>
        <v>15</v>
      </c>
      <c r="J14" s="65">
        <f>F27-Ta</f>
        <v>20.04</v>
      </c>
      <c r="K14" s="35" t="str">
        <f>IF(J14&gt;=CMA,"Ok","Not Ok")</f>
        <v>Ok</v>
      </c>
      <c r="L14" s="35"/>
      <c r="M14" s="35"/>
      <c r="N14" s="35"/>
      <c r="O14" s="84">
        <f>E30</f>
        <v>18</v>
      </c>
      <c r="P14" s="62">
        <f>F30-Ta</f>
        <v>20.04</v>
      </c>
      <c r="Q14" s="68">
        <f>P14-Xi</f>
        <v>2.1333333333334537E-2</v>
      </c>
      <c r="R14" s="59">
        <f>POWER(Q14,2)</f>
        <v>4.5511111111116244E-4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 s="56">
        <v>20.02</v>
      </c>
      <c r="G15" t="s">
        <v>95</v>
      </c>
      <c r="H15" s="35" t="str">
        <f>IF(Qn-(F15-Ta)&gt;2*ENT,"Fara E","Ok")</f>
        <v>Ok</v>
      </c>
      <c r="I15" s="35">
        <f>E30</f>
        <v>18</v>
      </c>
      <c r="J15" s="65">
        <f>F30-Ta</f>
        <v>20.04</v>
      </c>
      <c r="K15" s="35" t="str">
        <f>IF(J15&gt;=CMA,"Ok","Not Ok")</f>
        <v>Ok</v>
      </c>
      <c r="L15" s="35"/>
      <c r="M15" s="35"/>
      <c r="N15" s="35"/>
      <c r="O15" s="84">
        <f>E31</f>
        <v>19</v>
      </c>
      <c r="P15" s="62">
        <f>F31-Ta</f>
        <v>20.02</v>
      </c>
      <c r="Q15" s="68">
        <f>P15-Xi</f>
        <v>1.3333333333349628E-3</v>
      </c>
      <c r="R15" s="59">
        <f>POWER(Q15,2)</f>
        <v>1.7777777777821232E-6</v>
      </c>
    </row>
    <row r="16" spans="1:18" ht="14.25" customHeight="1" x14ac:dyDescent="0.25">
      <c r="E16">
        <v>4</v>
      </c>
      <c r="F16" s="56">
        <v>20.02</v>
      </c>
      <c r="G16" t="s">
        <v>96</v>
      </c>
      <c r="H16" s="35" t="str">
        <f>IF(Qn-(F16-Ta)&gt;2*ENT,"Fara E","Ok")</f>
        <v>Ok</v>
      </c>
      <c r="I16" s="35">
        <f>E36</f>
        <v>24</v>
      </c>
      <c r="J16" s="65">
        <f>F36-Ta</f>
        <v>20.02</v>
      </c>
      <c r="K16" s="35" t="str">
        <f>IF(J16&gt;=CMA,"Ok","Not Ok")</f>
        <v>Ok</v>
      </c>
      <c r="L16" s="35"/>
      <c r="M16" s="35"/>
      <c r="N16" s="35"/>
      <c r="O16" s="84">
        <f>E49</f>
        <v>37</v>
      </c>
      <c r="P16" s="62">
        <f>F49-Ta</f>
        <v>20.02</v>
      </c>
      <c r="Q16" s="68">
        <f>P16-Xi</f>
        <v>1.3333333333349628E-3</v>
      </c>
      <c r="R16" s="59">
        <f>POWER(Q16,2)</f>
        <v>1.7777777777821232E-6</v>
      </c>
    </row>
    <row r="17" spans="1:18" x14ac:dyDescent="0.25">
      <c r="E17">
        <v>5</v>
      </c>
      <c r="F17" s="56">
        <v>20</v>
      </c>
      <c r="G17">
        <v>2000</v>
      </c>
      <c r="H17" s="35" t="str">
        <f>IF(Qn-(F17-Ta)&gt;2*ENT,"Fara E","Ok")</f>
        <v>Ok</v>
      </c>
      <c r="I17" s="65">
        <f>E38</f>
        <v>26</v>
      </c>
      <c r="J17" s="65">
        <f>F38-Ta</f>
        <v>20</v>
      </c>
      <c r="K17" s="35" t="str">
        <f>IF(J17&gt;=CMA,"Ok","Not Ok")</f>
        <v>Ok</v>
      </c>
      <c r="L17" s="35"/>
      <c r="M17" s="35"/>
      <c r="N17" s="35"/>
      <c r="O17" s="84">
        <f>E51</f>
        <v>39</v>
      </c>
      <c r="P17" s="62">
        <f>F51-Ta</f>
        <v>20.02</v>
      </c>
      <c r="Q17" s="68">
        <f>P17-Xi</f>
        <v>1.3333333333349628E-3</v>
      </c>
      <c r="R17" s="59">
        <f>POWER(Q17,2)</f>
        <v>1.7777777777821232E-6</v>
      </c>
    </row>
    <row r="18" spans="1:18" ht="15" customHeight="1" x14ac:dyDescent="0.25">
      <c r="A18" s="39" t="s">
        <v>66</v>
      </c>
      <c r="B18" s="40"/>
      <c r="E18">
        <v>6</v>
      </c>
      <c r="F18" s="56">
        <v>20</v>
      </c>
      <c r="G18">
        <v>2000</v>
      </c>
      <c r="H18" s="3" t="str">
        <f>IF(Qn-(F18-Ta)&gt;2*ENT,"Fara E","Ok")</f>
        <v>Ok</v>
      </c>
      <c r="I18" s="69">
        <f>E43</f>
        <v>31</v>
      </c>
      <c r="J18" s="7">
        <f>F43-Ta</f>
        <v>20</v>
      </c>
      <c r="K18" s="3" t="str">
        <f>IF(J18&gt;=CMA,"Ok","Not Ok")</f>
        <v>Ok</v>
      </c>
      <c r="O18" s="82">
        <f>E64</f>
        <v>52</v>
      </c>
      <c r="P18" s="60">
        <f>F64-Ta</f>
        <v>20.02</v>
      </c>
      <c r="Q18" s="66">
        <f>P18-Xi</f>
        <v>1.3333333333349628E-3</v>
      </c>
      <c r="R18" s="59">
        <f>POWER(Q18,2)</f>
        <v>1.7777777777821232E-6</v>
      </c>
    </row>
    <row r="19" spans="1:18" x14ac:dyDescent="0.25">
      <c r="A19" s="46" t="s">
        <v>34</v>
      </c>
      <c r="B19" s="29">
        <f>AVERAGE(P13:P43)</f>
        <v>20.018666666666665</v>
      </c>
      <c r="E19">
        <v>7</v>
      </c>
      <c r="F19" s="56">
        <v>20.02</v>
      </c>
      <c r="G19" t="s">
        <v>97</v>
      </c>
      <c r="H19" s="3" t="str">
        <f>IF(Qn-(F19-Ta)&gt;2*ENT,"Fara E","Ok")</f>
        <v>Ok</v>
      </c>
      <c r="I19" s="69">
        <f>E75</f>
        <v>63</v>
      </c>
      <c r="J19" s="7">
        <f>F75-Ta</f>
        <v>20</v>
      </c>
      <c r="K19" s="3" t="str">
        <f>IF(J19&gt;=CMA,"Ok","Not Ok")</f>
        <v>Ok</v>
      </c>
      <c r="O19" s="82">
        <f>E83</f>
        <v>71</v>
      </c>
      <c r="P19" s="63">
        <f>F83-Ta</f>
        <v>20.04</v>
      </c>
      <c r="Q19" s="66">
        <f>P19-Xi</f>
        <v>2.1333333333334537E-2</v>
      </c>
      <c r="R19" s="59">
        <f>POWER(Q19,2)</f>
        <v>4.5511111111116244E-4</v>
      </c>
    </row>
    <row r="20" spans="1:18" ht="17.25" x14ac:dyDescent="0.25">
      <c r="A20" s="47" t="s">
        <v>36</v>
      </c>
      <c r="B20" s="29">
        <f>SUM(R13,R42)</f>
        <v>3.5555555555642465E-6</v>
      </c>
      <c r="E20">
        <v>8</v>
      </c>
      <c r="F20" s="56">
        <v>20.02</v>
      </c>
      <c r="G20" t="s">
        <v>98</v>
      </c>
      <c r="H20" s="3" t="str">
        <f>IF(Qn-(F20-Ta)&gt;2*ENT,"Fara E","Ok")</f>
        <v>Ok</v>
      </c>
      <c r="I20" s="69">
        <f>E77</f>
        <v>65</v>
      </c>
      <c r="J20" s="7">
        <f>F77-Ta</f>
        <v>20</v>
      </c>
      <c r="K20" s="3" t="str">
        <f>IF(J20&gt;=CMA,"Ok","Not Ok")</f>
        <v>Ok</v>
      </c>
      <c r="O20" s="82">
        <f>E95</f>
        <v>83</v>
      </c>
      <c r="P20" s="60">
        <f>F95-Ta</f>
        <v>20.04</v>
      </c>
      <c r="Q20" s="66">
        <f>P20-Xi</f>
        <v>2.1333333333334537E-2</v>
      </c>
      <c r="R20" s="59">
        <f>POWER(Q20,2)</f>
        <v>4.5511111111116244E-4</v>
      </c>
    </row>
    <row r="21" spans="1:18" x14ac:dyDescent="0.25">
      <c r="A21" s="30" t="s">
        <v>35</v>
      </c>
      <c r="B21" s="29">
        <f>SQRT(SumOfSquares/(ES_3-1))</f>
        <v>3.5015048762635474E-4</v>
      </c>
      <c r="E21">
        <v>9</v>
      </c>
      <c r="F21" s="56">
        <v>20.02</v>
      </c>
      <c r="G21" t="s">
        <v>99</v>
      </c>
      <c r="H21" s="3" t="str">
        <f>IF(Qn-(F21-Ta)&gt;2*ENT,"Fara E","Ok")</f>
        <v>Ok</v>
      </c>
      <c r="I21" s="69">
        <f>E78</f>
        <v>66</v>
      </c>
      <c r="J21" s="7">
        <f>F78-Ta</f>
        <v>20.02</v>
      </c>
      <c r="K21" s="3" t="str">
        <f>IF(J21&gt;=CMA,"Ok","Not Ok")</f>
        <v>Ok</v>
      </c>
      <c r="O21" s="82">
        <f>E115</f>
        <v>103</v>
      </c>
      <c r="P21" s="60">
        <f>F115-Ta</f>
        <v>20.02</v>
      </c>
      <c r="Q21" s="66">
        <f>P21-Xi</f>
        <v>1.3333333333349628E-3</v>
      </c>
      <c r="R21" s="59">
        <f>POWER(Q21,2)</f>
        <v>1.7777777777821232E-6</v>
      </c>
    </row>
    <row r="22" spans="1:18" x14ac:dyDescent="0.25">
      <c r="A22" s="46" t="s">
        <v>54</v>
      </c>
      <c r="B22" s="29">
        <f>s/SQRT(ES_3)*0.995</f>
        <v>6.3608797997138697E-5</v>
      </c>
      <c r="E22">
        <v>10</v>
      </c>
      <c r="F22" s="56">
        <v>20.02</v>
      </c>
      <c r="G22" t="s">
        <v>100</v>
      </c>
      <c r="H22" s="3" t="str">
        <f>IF(Qn-(F22-Ta)&gt;2*ENT,"Fara E","Ok")</f>
        <v>Ok</v>
      </c>
      <c r="I22" s="69">
        <f>E108</f>
        <v>96</v>
      </c>
      <c r="J22" s="7">
        <f>F108-Ta</f>
        <v>20</v>
      </c>
      <c r="K22" s="3" t="str">
        <f>IF(J22&gt;=CMA,"Ok","Not Ok")</f>
        <v>Ok</v>
      </c>
      <c r="O22" s="82">
        <f>E148</f>
        <v>136</v>
      </c>
      <c r="P22" s="60">
        <f>F148-Ta</f>
        <v>20.04</v>
      </c>
      <c r="Q22" s="66">
        <f>P22-Xi</f>
        <v>2.1333333333334537E-2</v>
      </c>
      <c r="R22" s="59">
        <f>POWER(Q22,2)</f>
        <v>4.5511111111116244E-4</v>
      </c>
    </row>
    <row r="23" spans="1:18" x14ac:dyDescent="0.25">
      <c r="A23" s="2"/>
      <c r="E23">
        <v>11</v>
      </c>
      <c r="F23" s="56">
        <v>20.02</v>
      </c>
      <c r="G23" t="s">
        <v>101</v>
      </c>
      <c r="H23" s="3" t="str">
        <f>IF(Qn-(F23-Ta)&gt;2*ENT,"Fara E","Ok")</f>
        <v>Ok</v>
      </c>
      <c r="I23" s="69">
        <f>E120</f>
        <v>108</v>
      </c>
      <c r="J23" s="7">
        <f>F120-Ta</f>
        <v>19.98</v>
      </c>
      <c r="K23" s="3" t="str">
        <f>IF(J23&gt;=CMA,"Ok","Not Ok")</f>
        <v>Ok</v>
      </c>
      <c r="O23" s="82">
        <f>E151</f>
        <v>139</v>
      </c>
      <c r="P23" s="60">
        <f>F151-Ta</f>
        <v>20</v>
      </c>
      <c r="Q23" s="66">
        <f>P23-Xi</f>
        <v>-1.8666666666664611E-2</v>
      </c>
      <c r="R23" s="59">
        <f>POWER(Q23,2)</f>
        <v>3.484444444443677E-4</v>
      </c>
    </row>
    <row r="24" spans="1:18" x14ac:dyDescent="0.25">
      <c r="E24">
        <v>12</v>
      </c>
      <c r="F24" s="56">
        <v>20.02</v>
      </c>
      <c r="G24" t="s">
        <v>102</v>
      </c>
      <c r="H24" s="3" t="str">
        <f>IF(Qn-(F24-Ta)&gt;2*ENT,"Fara E","Ok")</f>
        <v>Ok</v>
      </c>
      <c r="I24" s="69">
        <f>E125</f>
        <v>113</v>
      </c>
      <c r="J24" s="7">
        <f>F125-Ta</f>
        <v>20</v>
      </c>
      <c r="K24" s="3" t="str">
        <f>IF(J24&gt;=CMA,"Ok","Not Ok")</f>
        <v>Ok</v>
      </c>
      <c r="O24" s="82">
        <f>E162</f>
        <v>150</v>
      </c>
      <c r="P24" s="60">
        <f>F162-Ta</f>
        <v>20.02</v>
      </c>
      <c r="Q24" s="66">
        <f>P24-Xi</f>
        <v>1.3333333333349628E-3</v>
      </c>
      <c r="R24" s="59">
        <f>POWER(Q24,2)</f>
        <v>1.7777777777821232E-6</v>
      </c>
    </row>
    <row r="25" spans="1:18" x14ac:dyDescent="0.25">
      <c r="E25">
        <v>13</v>
      </c>
      <c r="F25" s="56">
        <v>20.02</v>
      </c>
      <c r="G25" t="s">
        <v>103</v>
      </c>
      <c r="H25" s="3" t="str">
        <f>IF(Qn-(F25-Ta)&gt;2*ENT,"Fara E","Ok")</f>
        <v>Ok</v>
      </c>
      <c r="I25" s="69">
        <f>E128</f>
        <v>116</v>
      </c>
      <c r="J25" s="7">
        <f>F128-Ta</f>
        <v>20.02</v>
      </c>
      <c r="K25" s="3" t="str">
        <f>IF(J25&gt;=CMA,"Ok","Not Ok")</f>
        <v>Ok</v>
      </c>
      <c r="O25" s="82">
        <f>E235</f>
        <v>223</v>
      </c>
      <c r="P25" s="60">
        <f>F235-Ta</f>
        <v>19.98</v>
      </c>
      <c r="Q25" s="66">
        <f>P25-Xi</f>
        <v>-3.8666666666664185E-2</v>
      </c>
      <c r="R25" s="59">
        <f>POWER(Q25,2)</f>
        <v>1.4951111111109192E-3</v>
      </c>
    </row>
    <row r="26" spans="1:18" x14ac:dyDescent="0.25">
      <c r="E26">
        <v>14</v>
      </c>
      <c r="F26" s="56">
        <v>20.02</v>
      </c>
      <c r="G26" t="s">
        <v>104</v>
      </c>
      <c r="H26" s="3" t="str">
        <f>IF(Qn-(F26-Ta)&gt;2*ENT,"Fara E","Ok")</f>
        <v>Ok</v>
      </c>
      <c r="I26" s="69">
        <f>E129</f>
        <v>117</v>
      </c>
      <c r="J26" s="7">
        <f>F129-Ta</f>
        <v>20</v>
      </c>
      <c r="K26" s="3" t="str">
        <f>IF(J26&gt;=CMA,"Ok","Not Ok")</f>
        <v>Ok</v>
      </c>
      <c r="O26" s="82">
        <f>E245</f>
        <v>233</v>
      </c>
      <c r="P26" s="60">
        <f>F245-Ta</f>
        <v>20.04</v>
      </c>
      <c r="Q26" s="66">
        <f>P26-Xi</f>
        <v>2.1333333333334537E-2</v>
      </c>
      <c r="R26" s="59">
        <f>POWER(Q26,2)</f>
        <v>4.5511111111116244E-4</v>
      </c>
    </row>
    <row r="27" spans="1:18" x14ac:dyDescent="0.25">
      <c r="E27">
        <v>15</v>
      </c>
      <c r="F27" s="56">
        <v>20.04</v>
      </c>
      <c r="G27" t="s">
        <v>105</v>
      </c>
      <c r="H27" s="3" t="str">
        <f>IF(Qn-(F27-Ta)&gt;2*ENT,"Fara E","Ok")</f>
        <v>Ok</v>
      </c>
      <c r="I27" s="69">
        <f>E148</f>
        <v>136</v>
      </c>
      <c r="J27" s="7">
        <f>F148-Ta</f>
        <v>20.04</v>
      </c>
      <c r="K27" s="3" t="str">
        <f>IF(J27&gt;=CMA,"Ok","Not Ok")</f>
        <v>Ok</v>
      </c>
      <c r="O27" s="82">
        <f>E251</f>
        <v>239</v>
      </c>
      <c r="P27" s="60">
        <f>F251-Ta</f>
        <v>20.02</v>
      </c>
      <c r="Q27" s="66">
        <f>P27-Xi</f>
        <v>1.3333333333349628E-3</v>
      </c>
      <c r="R27" s="59">
        <f>POWER(Q27,2)</f>
        <v>1.7777777777821232E-6</v>
      </c>
    </row>
    <row r="28" spans="1:18" x14ac:dyDescent="0.25">
      <c r="E28">
        <v>16</v>
      </c>
      <c r="F28" s="56">
        <v>20.04</v>
      </c>
      <c r="G28" t="s">
        <v>106</v>
      </c>
      <c r="H28" s="3" t="str">
        <f>IF(Qn-(F28-Ta)&gt;2*ENT,"Fara E","Ok")</f>
        <v>Ok</v>
      </c>
      <c r="I28" s="69">
        <f>E198</f>
        <v>186</v>
      </c>
      <c r="J28" s="7">
        <f>F198-Ta</f>
        <v>20</v>
      </c>
      <c r="K28" s="3" t="str">
        <f>IF(J28&gt;=CMA,"Ok","Not Ok")</f>
        <v>Ok</v>
      </c>
      <c r="O28" s="82">
        <f>E259</f>
        <v>247</v>
      </c>
      <c r="P28" s="60">
        <f>F259-Ta</f>
        <v>20</v>
      </c>
      <c r="Q28" s="66">
        <f>P28-Xi</f>
        <v>-1.8666666666664611E-2</v>
      </c>
      <c r="R28" s="59">
        <f>POWER(Q28,2)</f>
        <v>3.484444444443677E-4</v>
      </c>
    </row>
    <row r="29" spans="1:18" x14ac:dyDescent="0.25">
      <c r="E29">
        <v>17</v>
      </c>
      <c r="F29" s="56">
        <v>20.02</v>
      </c>
      <c r="G29" t="s">
        <v>107</v>
      </c>
      <c r="H29" s="3" t="str">
        <f>IF(Qn-(F29-Ta)&gt;2*ENT,"Fara E","Ok")</f>
        <v>Ok</v>
      </c>
      <c r="I29" s="69">
        <f>E212</f>
        <v>200</v>
      </c>
      <c r="J29" s="7">
        <f>F212-Ta</f>
        <v>19.98</v>
      </c>
      <c r="K29" s="3" t="str">
        <f>IF(J29&gt;=CMA,"Ok","Not Ok")</f>
        <v>Ok</v>
      </c>
      <c r="O29" s="82">
        <f>E260</f>
        <v>248</v>
      </c>
      <c r="P29" s="60">
        <f>F260-Ta</f>
        <v>20.04</v>
      </c>
      <c r="Q29" s="66">
        <f>P29-Xi</f>
        <v>2.1333333333334537E-2</v>
      </c>
      <c r="R29" s="59">
        <f>POWER(Q29,2)</f>
        <v>4.5511111111116244E-4</v>
      </c>
    </row>
    <row r="30" spans="1:18" x14ac:dyDescent="0.25">
      <c r="E30">
        <v>18</v>
      </c>
      <c r="F30" s="56">
        <v>20.04</v>
      </c>
      <c r="G30" t="s">
        <v>108</v>
      </c>
      <c r="H30" s="3" t="str">
        <f>IF(Qn-(F30-Ta)&gt;2*ENT,"Fara E","Ok")</f>
        <v>Ok</v>
      </c>
      <c r="I30" s="69">
        <f>E219</f>
        <v>207</v>
      </c>
      <c r="J30" s="7">
        <f>F219-Ta</f>
        <v>20.04</v>
      </c>
      <c r="K30" s="3" t="str">
        <f>IF(J30&gt;=CMA,"Ok","Not Ok")</f>
        <v>Ok</v>
      </c>
      <c r="O30" s="82">
        <f>E269</f>
        <v>257</v>
      </c>
      <c r="P30" s="60">
        <f>F269-Ta</f>
        <v>19.98</v>
      </c>
      <c r="Q30" s="66">
        <f>P30-Xi</f>
        <v>-3.8666666666664185E-2</v>
      </c>
      <c r="R30" s="59">
        <f>POWER(Q30,2)</f>
        <v>1.4951111111109192E-3</v>
      </c>
    </row>
    <row r="31" spans="1:18" x14ac:dyDescent="0.25">
      <c r="E31">
        <v>19</v>
      </c>
      <c r="F31" s="56">
        <v>20.02</v>
      </c>
      <c r="G31" t="s">
        <v>109</v>
      </c>
      <c r="H31" s="3" t="str">
        <f>IF(Qn-(F31-Ta)&gt;2*ENT,"Fara E","Ok")</f>
        <v>Ok</v>
      </c>
      <c r="I31" s="69">
        <f>E229</f>
        <v>217</v>
      </c>
      <c r="J31" s="7">
        <f>F229-Ta</f>
        <v>20.02</v>
      </c>
      <c r="K31" s="3" t="str">
        <f>IF(J31&gt;=CMA,"Ok","Not Ok")</f>
        <v>Ok</v>
      </c>
      <c r="O31" s="82">
        <f>E271</f>
        <v>259</v>
      </c>
      <c r="P31" s="60">
        <f>F271-Ta</f>
        <v>20.02</v>
      </c>
      <c r="Q31" s="66">
        <f>P31-Xi</f>
        <v>1.3333333333349628E-3</v>
      </c>
      <c r="R31" s="59">
        <f>POWER(Q31,2)</f>
        <v>1.7777777777821232E-6</v>
      </c>
    </row>
    <row r="32" spans="1:18" x14ac:dyDescent="0.25">
      <c r="E32">
        <v>20</v>
      </c>
      <c r="F32" s="56">
        <v>20</v>
      </c>
      <c r="G32">
        <v>2000</v>
      </c>
      <c r="H32" s="3" t="str">
        <f>IF(Qn-(F32-Ta)&gt;2*ENT,"Fara E","Ok")</f>
        <v>Ok</v>
      </c>
      <c r="I32" s="69">
        <f>E241</f>
        <v>229</v>
      </c>
      <c r="J32" s="7">
        <f>F241-Ta</f>
        <v>20.02</v>
      </c>
      <c r="K32" s="3" t="str">
        <f>IF(J32&gt;=CMA,"Ok","Not Ok")</f>
        <v>Ok</v>
      </c>
      <c r="O32" s="82">
        <f>E286</f>
        <v>274</v>
      </c>
      <c r="P32" s="60">
        <f>F286-Ta</f>
        <v>20</v>
      </c>
      <c r="Q32" s="66">
        <f>P32-Xi</f>
        <v>-1.8666666666664611E-2</v>
      </c>
      <c r="R32" s="59">
        <f>POWER(Q32,2)</f>
        <v>3.484444444443677E-4</v>
      </c>
    </row>
    <row r="33" spans="5:18" x14ac:dyDescent="0.25">
      <c r="E33">
        <v>21</v>
      </c>
      <c r="F33" s="56">
        <v>20</v>
      </c>
      <c r="G33">
        <v>2000</v>
      </c>
      <c r="H33" s="3" t="str">
        <f>IF(Qn-(F33-Ta)&gt;2*ENT,"Fara E","Ok")</f>
        <v>Ok</v>
      </c>
      <c r="I33" s="69">
        <f>E248</f>
        <v>236</v>
      </c>
      <c r="J33" s="7">
        <f>F248-Ta</f>
        <v>20.02</v>
      </c>
      <c r="K33" s="3" t="str">
        <f>IF(J33&gt;=CMA,"Ok","Not Ok")</f>
        <v>Ok</v>
      </c>
      <c r="O33" s="82">
        <f>E289</f>
        <v>277</v>
      </c>
      <c r="P33" s="60">
        <f>F289-Ta</f>
        <v>20</v>
      </c>
      <c r="Q33" s="66">
        <f>P33-Xi</f>
        <v>-1.8666666666664611E-2</v>
      </c>
      <c r="R33" s="59">
        <f>POWER(Q33,2)</f>
        <v>3.484444444443677E-4</v>
      </c>
    </row>
    <row r="34" spans="5:18" x14ac:dyDescent="0.25">
      <c r="E34">
        <v>22</v>
      </c>
      <c r="F34" s="56">
        <v>20.04</v>
      </c>
      <c r="G34" t="s">
        <v>110</v>
      </c>
      <c r="H34" s="3" t="str">
        <f>IF(Qn-(F34-Ta)&gt;2*ENT,"Fara E","Ok")</f>
        <v>Ok</v>
      </c>
      <c r="I34" s="69">
        <f>E265</f>
        <v>253</v>
      </c>
      <c r="J34" s="7">
        <f>F265-Ta</f>
        <v>19.98</v>
      </c>
      <c r="K34" s="3" t="str">
        <f>IF(J34&gt;=CMA,"Ok","Not Ok")</f>
        <v>Ok</v>
      </c>
      <c r="O34" s="82">
        <f>E291</f>
        <v>279</v>
      </c>
      <c r="P34" s="60">
        <f>F291-Ta</f>
        <v>20.02</v>
      </c>
      <c r="Q34" s="66">
        <f>P34-Xi</f>
        <v>1.3333333333349628E-3</v>
      </c>
      <c r="R34" s="59">
        <f>POWER(Q34,2)</f>
        <v>1.7777777777821232E-6</v>
      </c>
    </row>
    <row r="35" spans="5:18" x14ac:dyDescent="0.25">
      <c r="E35">
        <v>23</v>
      </c>
      <c r="F35" s="56">
        <v>20.02</v>
      </c>
      <c r="G35" t="s">
        <v>111</v>
      </c>
      <c r="H35" s="3" t="str">
        <f>IF(Qn-(F35-Ta)&gt;2*ENT,"Fara E","Ok")</f>
        <v>Ok</v>
      </c>
      <c r="I35" s="69">
        <f>E278</f>
        <v>266</v>
      </c>
      <c r="J35" s="7">
        <f>F278-Ta</f>
        <v>20.02</v>
      </c>
      <c r="K35" s="3" t="str">
        <f>IF(J35&gt;=CMA,"Ok","Not Ok")</f>
        <v>Ok</v>
      </c>
      <c r="O35" s="82">
        <f>E299</f>
        <v>287</v>
      </c>
      <c r="P35" s="60">
        <f>F299-Ta</f>
        <v>20.02</v>
      </c>
      <c r="Q35" s="66">
        <f>P35-Xi</f>
        <v>1.3333333333349628E-3</v>
      </c>
      <c r="R35" s="59">
        <f>POWER(Q35,2)</f>
        <v>1.7777777777821232E-6</v>
      </c>
    </row>
    <row r="36" spans="5:18" x14ac:dyDescent="0.25">
      <c r="E36">
        <v>24</v>
      </c>
      <c r="F36" s="56">
        <v>20.02</v>
      </c>
      <c r="G36" t="s">
        <v>112</v>
      </c>
      <c r="H36" s="3" t="str">
        <f>IF(Qn-(F36-Ta)&gt;2*ENT,"Fara E","Ok")</f>
        <v>Ok</v>
      </c>
      <c r="I36" s="69">
        <f>E285</f>
        <v>273</v>
      </c>
      <c r="J36" s="7">
        <f>F285-Ta</f>
        <v>20</v>
      </c>
      <c r="K36" s="3" t="str">
        <f>IF(J36&gt;=CMA,"Ok","Not Ok")</f>
        <v>Ok</v>
      </c>
      <c r="O36" s="82">
        <f>E302</f>
        <v>290</v>
      </c>
      <c r="P36" s="60">
        <f>F302-Ta</f>
        <v>20.04</v>
      </c>
      <c r="Q36" s="66">
        <f>P36-Xi</f>
        <v>2.1333333333334537E-2</v>
      </c>
      <c r="R36" s="59">
        <f>POWER(Q36,2)</f>
        <v>4.5511111111116244E-4</v>
      </c>
    </row>
    <row r="37" spans="5:18" x14ac:dyDescent="0.25">
      <c r="E37">
        <v>25</v>
      </c>
      <c r="F37" s="56">
        <v>20.04</v>
      </c>
      <c r="G37" t="s">
        <v>113</v>
      </c>
      <c r="H37" s="3" t="str">
        <f>IF(Qn-(F37-Ta)&gt;2*ENT,"Fara E","Ok")</f>
        <v>Ok</v>
      </c>
      <c r="I37" s="69">
        <f>E293</f>
        <v>281</v>
      </c>
      <c r="J37" s="7">
        <f>F293-Ta</f>
        <v>20</v>
      </c>
      <c r="K37" s="3" t="str">
        <f>IF(J37&gt;=CMA,"Ok","Not Ok")</f>
        <v>Ok</v>
      </c>
      <c r="O37" s="82">
        <f>E314</f>
        <v>302</v>
      </c>
      <c r="P37" s="60">
        <f>F314-Ta</f>
        <v>20.02</v>
      </c>
      <c r="Q37" s="66">
        <f>P37-Xi</f>
        <v>1.3333333333349628E-3</v>
      </c>
      <c r="R37" s="59">
        <f>POWER(Q37,2)</f>
        <v>1.7777777777821232E-6</v>
      </c>
    </row>
    <row r="38" spans="5:18" x14ac:dyDescent="0.25">
      <c r="E38">
        <v>26</v>
      </c>
      <c r="F38" s="56">
        <v>20</v>
      </c>
      <c r="G38" t="s">
        <v>114</v>
      </c>
      <c r="H38" s="3" t="str">
        <f>IF(Qn-(F38-Ta)&gt;2*ENT,"Fara E","Ok")</f>
        <v>Ok</v>
      </c>
      <c r="I38" s="69">
        <f>E294</f>
        <v>282</v>
      </c>
      <c r="J38" s="7">
        <f>F294-Ta</f>
        <v>20.02</v>
      </c>
      <c r="K38" s="3" t="str">
        <f>IF(J38&gt;=CMA,"Ok","Not Ok")</f>
        <v>Ok</v>
      </c>
      <c r="O38" s="82">
        <f>E318</f>
        <v>306</v>
      </c>
      <c r="P38" s="60">
        <f>F318-Ta</f>
        <v>20.02</v>
      </c>
      <c r="Q38" s="66">
        <f>P38-Xi</f>
        <v>1.3333333333349628E-3</v>
      </c>
      <c r="R38" s="59">
        <f>POWER(Q38,2)</f>
        <v>1.7777777777821232E-6</v>
      </c>
    </row>
    <row r="39" spans="5:18" x14ac:dyDescent="0.25">
      <c r="E39">
        <v>27</v>
      </c>
      <c r="F39" s="56">
        <v>20</v>
      </c>
      <c r="G39" t="s">
        <v>115</v>
      </c>
      <c r="H39" s="3" t="str">
        <f>IF(Qn-(F39-Ta)&gt;2*ENT,"Fara E","Ok")</f>
        <v>Ok</v>
      </c>
      <c r="I39" s="69">
        <f>E296</f>
        <v>284</v>
      </c>
      <c r="J39" s="7">
        <f>F296-Ta</f>
        <v>20</v>
      </c>
      <c r="K39" s="3" t="str">
        <f>IF(J39&gt;=CMA,"Ok","Not Ok")</f>
        <v>Ok</v>
      </c>
      <c r="O39" s="82">
        <f>E334</f>
        <v>322</v>
      </c>
      <c r="P39" s="60">
        <f>F334-Ta</f>
        <v>20</v>
      </c>
      <c r="Q39" s="66">
        <f>P39-Xi</f>
        <v>-1.8666666666664611E-2</v>
      </c>
      <c r="R39" s="59">
        <f>POWER(Q39,2)</f>
        <v>3.484444444443677E-4</v>
      </c>
    </row>
    <row r="40" spans="5:18" x14ac:dyDescent="0.25">
      <c r="E40">
        <v>28</v>
      </c>
      <c r="F40" s="56">
        <v>20.02</v>
      </c>
      <c r="G40" t="s">
        <v>116</v>
      </c>
      <c r="H40" s="3" t="str">
        <f>IF(Qn-(F40-Ta)&gt;2*ENT,"Fara E","Ok")</f>
        <v>Ok</v>
      </c>
      <c r="I40" s="69">
        <f>E303</f>
        <v>291</v>
      </c>
      <c r="J40" s="7">
        <f>F303-Ta</f>
        <v>20.04</v>
      </c>
      <c r="K40" s="3" t="str">
        <f>IF(J40&gt;=CMA,"Ok","Not Ok")</f>
        <v>Ok</v>
      </c>
      <c r="O40" s="82">
        <f>E343</f>
        <v>331</v>
      </c>
      <c r="P40" s="60">
        <f>F343-Ta</f>
        <v>20</v>
      </c>
      <c r="Q40" s="66">
        <f>P40-Xi</f>
        <v>-1.8666666666664611E-2</v>
      </c>
      <c r="R40" s="59">
        <f>POWER(Q40,2)</f>
        <v>3.484444444443677E-4</v>
      </c>
    </row>
    <row r="41" spans="5:18" x14ac:dyDescent="0.25">
      <c r="E41">
        <v>29</v>
      </c>
      <c r="F41" s="56">
        <v>20.04</v>
      </c>
      <c r="G41" t="s">
        <v>117</v>
      </c>
      <c r="H41" s="3" t="str">
        <f>IF(Qn-(F41-Ta)&gt;2*ENT,"Fara E","Ok")</f>
        <v>Ok</v>
      </c>
      <c r="I41" s="69">
        <f>E338</f>
        <v>326</v>
      </c>
      <c r="J41" s="7">
        <f>F338-Ta</f>
        <v>20.02</v>
      </c>
      <c r="K41" s="3" t="str">
        <f>IF(J41&gt;=CMA,"Ok","Not Ok")</f>
        <v>Ok</v>
      </c>
      <c r="O41" s="82">
        <f>E345</f>
        <v>333</v>
      </c>
      <c r="P41" s="60">
        <f>F345-Ta</f>
        <v>20.04</v>
      </c>
      <c r="Q41" s="66">
        <f>P41-Xi</f>
        <v>2.1333333333334537E-2</v>
      </c>
      <c r="R41" s="59">
        <f>POWER(Q41,2)</f>
        <v>4.5511111111116244E-4</v>
      </c>
    </row>
    <row r="42" spans="5:18" x14ac:dyDescent="0.25">
      <c r="E42">
        <v>30</v>
      </c>
      <c r="F42" s="56">
        <v>20</v>
      </c>
      <c r="G42" t="s">
        <v>118</v>
      </c>
      <c r="H42" s="3" t="str">
        <f>IF(Qn-(F42-Ta)&gt;2*ENT,"Fara E","Ok")</f>
        <v>Ok</v>
      </c>
      <c r="I42" s="69">
        <f>E342</f>
        <v>330</v>
      </c>
      <c r="J42" s="7">
        <f>F342-Ta</f>
        <v>20</v>
      </c>
      <c r="K42" s="3" t="str">
        <f>IF(J42&gt;=CMA,"Ok","Not Ok")</f>
        <v>Ok</v>
      </c>
      <c r="O42" s="82">
        <f>E350</f>
        <v>338</v>
      </c>
      <c r="P42" s="60">
        <f>F350-Ta</f>
        <v>20.02</v>
      </c>
      <c r="Q42" s="66">
        <f>P42-Xi</f>
        <v>1.3333333333349628E-3</v>
      </c>
      <c r="R42" s="59">
        <f>POWER(Q42,2)</f>
        <v>1.7777777777821232E-6</v>
      </c>
    </row>
    <row r="43" spans="5:18" x14ac:dyDescent="0.25">
      <c r="E43">
        <v>31</v>
      </c>
      <c r="F43" s="56">
        <v>20</v>
      </c>
      <c r="G43">
        <v>2000</v>
      </c>
      <c r="H43" s="3" t="str">
        <f>IF(Qn-(F43-Ta)&gt;2*ENT,"Fara E","Ok")</f>
        <v>Ok</v>
      </c>
      <c r="I43" s="69"/>
    </row>
    <row r="44" spans="5:18" x14ac:dyDescent="0.25">
      <c r="E44">
        <v>32</v>
      </c>
      <c r="F44" s="56">
        <v>20</v>
      </c>
      <c r="G44">
        <v>2000</v>
      </c>
      <c r="H44" s="3" t="str">
        <f>IF(Qn-(F44-Ta)&gt;2*ENT,"Fara E","Ok")</f>
        <v>Ok</v>
      </c>
      <c r="I44" s="69"/>
    </row>
    <row r="45" spans="5:18" x14ac:dyDescent="0.25">
      <c r="E45">
        <v>33</v>
      </c>
      <c r="F45" s="56">
        <v>20.02</v>
      </c>
      <c r="G45" t="s">
        <v>119</v>
      </c>
      <c r="H45" s="3" t="str">
        <f>IF(Qn-(F45-Ta)&gt;2*ENT,"Fara E","Ok")</f>
        <v>Ok</v>
      </c>
      <c r="I45" s="69"/>
    </row>
    <row r="46" spans="5:18" x14ac:dyDescent="0.25">
      <c r="E46">
        <v>34</v>
      </c>
      <c r="F46" s="56">
        <v>20.02</v>
      </c>
      <c r="G46" t="s">
        <v>120</v>
      </c>
      <c r="H46" s="3" t="str">
        <f>IF(Qn-(F46-Ta)&gt;2*ENT,"Fara E","Ok")</f>
        <v>Ok</v>
      </c>
      <c r="I46" s="69"/>
    </row>
    <row r="47" spans="5:18" x14ac:dyDescent="0.25">
      <c r="E47">
        <v>35</v>
      </c>
      <c r="F47" s="56">
        <v>20.04</v>
      </c>
      <c r="G47" t="s">
        <v>121</v>
      </c>
      <c r="H47" s="3" t="str">
        <f>IF(Qn-(F47-Ta)&gt;2*ENT,"Fara E","Ok")</f>
        <v>Ok</v>
      </c>
      <c r="I47" s="69"/>
    </row>
    <row r="48" spans="5:18" x14ac:dyDescent="0.25">
      <c r="E48">
        <v>36</v>
      </c>
      <c r="F48" s="56">
        <v>20</v>
      </c>
      <c r="G48">
        <v>2000</v>
      </c>
      <c r="H48" s="3" t="str">
        <f>IF(Qn-(F48-Ta)&gt;2*ENT,"Fara E","Ok")</f>
        <v>Ok</v>
      </c>
      <c r="I48" s="69"/>
    </row>
    <row r="49" spans="5:9" x14ac:dyDescent="0.25">
      <c r="E49">
        <v>37</v>
      </c>
      <c r="F49" s="56">
        <v>20.02</v>
      </c>
      <c r="G49" t="s">
        <v>122</v>
      </c>
      <c r="H49" s="3" t="str">
        <f>IF(Qn-(F49-Ta)&gt;2*ENT,"Fara E","Ok")</f>
        <v>Ok</v>
      </c>
      <c r="I49" s="69"/>
    </row>
    <row r="50" spans="5:9" x14ac:dyDescent="0.25">
      <c r="E50">
        <v>38</v>
      </c>
      <c r="F50" s="56">
        <v>20</v>
      </c>
      <c r="G50">
        <v>2000</v>
      </c>
      <c r="H50" s="3" t="str">
        <f>IF(Qn-(F50-Ta)&gt;2*ENT,"Fara E","Ok")</f>
        <v>Ok</v>
      </c>
      <c r="I50" s="69"/>
    </row>
    <row r="51" spans="5:9" x14ac:dyDescent="0.25">
      <c r="E51">
        <v>39</v>
      </c>
      <c r="F51" s="56">
        <v>20.02</v>
      </c>
      <c r="G51" t="s">
        <v>123</v>
      </c>
      <c r="H51" s="3" t="str">
        <f>IF(Qn-(F51-Ta)&gt;2*ENT,"Fara E","Ok")</f>
        <v>Ok</v>
      </c>
      <c r="I51" s="69"/>
    </row>
    <row r="52" spans="5:9" x14ac:dyDescent="0.25">
      <c r="E52">
        <v>40</v>
      </c>
      <c r="F52" s="56">
        <v>20</v>
      </c>
      <c r="G52" t="s">
        <v>124</v>
      </c>
      <c r="H52" s="3" t="str">
        <f>IF(Qn-(F52-Ta)&gt;2*ENT,"Fara E","Ok")</f>
        <v>Ok</v>
      </c>
      <c r="I52" s="69"/>
    </row>
    <row r="53" spans="5:9" x14ac:dyDescent="0.25">
      <c r="E53">
        <v>41</v>
      </c>
      <c r="F53" s="56">
        <v>20</v>
      </c>
      <c r="G53" t="s">
        <v>125</v>
      </c>
      <c r="H53" s="3" t="str">
        <f>IF(Qn-(F53-Ta)&gt;2*ENT,"Fara E","Ok")</f>
        <v>Ok</v>
      </c>
      <c r="I53" s="69"/>
    </row>
    <row r="54" spans="5:9" x14ac:dyDescent="0.25">
      <c r="E54">
        <v>42</v>
      </c>
      <c r="F54" s="56">
        <v>20</v>
      </c>
      <c r="G54">
        <v>2000</v>
      </c>
      <c r="H54" s="3" t="str">
        <f>IF(Qn-(F54-Ta)&gt;2*ENT,"Fara E","Ok")</f>
        <v>Ok</v>
      </c>
      <c r="I54" s="69"/>
    </row>
    <row r="55" spans="5:9" x14ac:dyDescent="0.25">
      <c r="E55">
        <v>43</v>
      </c>
      <c r="F55" s="56">
        <v>20</v>
      </c>
      <c r="G55" t="s">
        <v>126</v>
      </c>
      <c r="H55" s="3" t="str">
        <f>IF(Qn-(F55-Ta)&gt;2*ENT,"Fara E","Ok")</f>
        <v>Ok</v>
      </c>
      <c r="I55" s="69"/>
    </row>
    <row r="56" spans="5:9" x14ac:dyDescent="0.25">
      <c r="E56">
        <v>44</v>
      </c>
      <c r="F56" s="56">
        <v>20</v>
      </c>
      <c r="G56" t="s">
        <v>127</v>
      </c>
      <c r="H56" s="3" t="str">
        <f>IF(Qn-(F56-Ta)&gt;2*ENT,"Fara E","Ok")</f>
        <v>Ok</v>
      </c>
      <c r="I56" s="69"/>
    </row>
    <row r="57" spans="5:9" x14ac:dyDescent="0.25">
      <c r="E57">
        <v>45</v>
      </c>
      <c r="F57" s="56">
        <v>20</v>
      </c>
      <c r="G57">
        <v>2000</v>
      </c>
      <c r="H57" s="3" t="str">
        <f>IF(Qn-(F57-Ta)&gt;2*ENT,"Fara E","Ok")</f>
        <v>Ok</v>
      </c>
      <c r="I57" s="69"/>
    </row>
    <row r="58" spans="5:9" x14ac:dyDescent="0.25">
      <c r="E58">
        <v>46</v>
      </c>
      <c r="F58" s="56">
        <v>20</v>
      </c>
      <c r="G58">
        <v>2000</v>
      </c>
      <c r="H58" s="3" t="str">
        <f>IF(Qn-(F58-Ta)&gt;2*ENT,"Fara E","Ok")</f>
        <v>Ok</v>
      </c>
      <c r="I58" s="69"/>
    </row>
    <row r="59" spans="5:9" x14ac:dyDescent="0.25">
      <c r="E59">
        <v>47</v>
      </c>
      <c r="F59" s="56">
        <v>20.02</v>
      </c>
      <c r="G59" t="s">
        <v>128</v>
      </c>
      <c r="H59" s="3" t="str">
        <f>IF(Qn-(F59-Ta)&gt;2*ENT,"Fara E","Ok")</f>
        <v>Ok</v>
      </c>
      <c r="I59" s="69"/>
    </row>
    <row r="60" spans="5:9" x14ac:dyDescent="0.25">
      <c r="E60">
        <v>48</v>
      </c>
      <c r="F60" s="56">
        <v>20.04</v>
      </c>
      <c r="G60" t="s">
        <v>129</v>
      </c>
      <c r="H60" s="3" t="str">
        <f>IF(Qn-(F60-Ta)&gt;2*ENT,"Fara E","Ok")</f>
        <v>Ok</v>
      </c>
      <c r="I60" s="69"/>
    </row>
    <row r="61" spans="5:9" x14ac:dyDescent="0.25">
      <c r="E61">
        <v>49</v>
      </c>
      <c r="F61" s="56">
        <v>20.04</v>
      </c>
      <c r="G61" t="s">
        <v>130</v>
      </c>
      <c r="H61" s="3" t="str">
        <f>IF(Qn-(F61-Ta)&gt;2*ENT,"Fara E","Ok")</f>
        <v>Ok</v>
      </c>
      <c r="I61" s="69"/>
    </row>
    <row r="62" spans="5:9" x14ac:dyDescent="0.25">
      <c r="E62">
        <v>50</v>
      </c>
      <c r="F62" s="56">
        <v>20</v>
      </c>
      <c r="G62" t="s">
        <v>131</v>
      </c>
      <c r="H62" s="3" t="str">
        <f>IF(Qn-(F62-Ta)&gt;2*ENT,"Fara E","Ok")</f>
        <v>Ok</v>
      </c>
      <c r="I62" s="69"/>
    </row>
    <row r="63" spans="5:9" x14ac:dyDescent="0.25">
      <c r="E63">
        <v>51</v>
      </c>
      <c r="F63" s="56">
        <v>20.04</v>
      </c>
      <c r="G63" t="s">
        <v>132</v>
      </c>
      <c r="H63" s="3" t="str">
        <f>IF(Qn-(F63-Ta)&gt;2*ENT,"Fara E","Ok")</f>
        <v>Ok</v>
      </c>
      <c r="I63" s="69"/>
    </row>
    <row r="64" spans="5:9" x14ac:dyDescent="0.25">
      <c r="E64">
        <v>52</v>
      </c>
      <c r="F64" s="56">
        <v>20.02</v>
      </c>
      <c r="G64" t="s">
        <v>133</v>
      </c>
      <c r="H64" s="3" t="str">
        <f>IF(Qn-(F64-Ta)&gt;2*ENT,"Fara E","Ok")</f>
        <v>Ok</v>
      </c>
      <c r="I64" s="69"/>
    </row>
    <row r="65" spans="5:9" x14ac:dyDescent="0.25">
      <c r="E65">
        <v>53</v>
      </c>
      <c r="F65" s="56">
        <v>20</v>
      </c>
      <c r="G65">
        <v>2000</v>
      </c>
      <c r="H65" s="3" t="str">
        <f>IF(Qn-(F65-Ta)&gt;2*ENT,"Fara E","Ok")</f>
        <v>Ok</v>
      </c>
      <c r="I65" s="69"/>
    </row>
    <row r="66" spans="5:9" x14ac:dyDescent="0.25">
      <c r="E66">
        <v>54</v>
      </c>
      <c r="F66" s="56">
        <v>20.04</v>
      </c>
      <c r="G66" t="s">
        <v>134</v>
      </c>
      <c r="H66" s="3" t="str">
        <f>IF(Qn-(F66-Ta)&gt;2*ENT,"Fara E","Ok")</f>
        <v>Ok</v>
      </c>
      <c r="I66" s="69"/>
    </row>
    <row r="67" spans="5:9" x14ac:dyDescent="0.25">
      <c r="E67">
        <v>55</v>
      </c>
      <c r="F67" s="56">
        <v>20.02</v>
      </c>
      <c r="G67" t="s">
        <v>135</v>
      </c>
      <c r="H67" s="3" t="str">
        <f>IF(Qn-(F67-Ta)&gt;2*ENT,"Fara E","Ok")</f>
        <v>Ok</v>
      </c>
      <c r="I67" s="69"/>
    </row>
    <row r="68" spans="5:9" x14ac:dyDescent="0.25">
      <c r="E68">
        <v>56</v>
      </c>
      <c r="F68" s="56">
        <v>20</v>
      </c>
      <c r="G68" t="s">
        <v>136</v>
      </c>
      <c r="H68" s="3" t="str">
        <f>IF(Qn-(F68-Ta)&gt;2*ENT,"Fara E","Ok")</f>
        <v>Ok</v>
      </c>
      <c r="I68" s="69"/>
    </row>
    <row r="69" spans="5:9" x14ac:dyDescent="0.25">
      <c r="E69">
        <v>57</v>
      </c>
      <c r="F69" s="56">
        <v>20</v>
      </c>
      <c r="G69" t="s">
        <v>137</v>
      </c>
      <c r="H69" s="3" t="str">
        <f>IF(Qn-(F69-Ta)&gt;2*ENT,"Fara E","Ok")</f>
        <v>Ok</v>
      </c>
      <c r="I69" s="69"/>
    </row>
    <row r="70" spans="5:9" x14ac:dyDescent="0.25">
      <c r="E70">
        <v>58</v>
      </c>
      <c r="F70" s="56">
        <v>20.059999999999999</v>
      </c>
      <c r="G70" t="s">
        <v>138</v>
      </c>
      <c r="H70" s="3" t="str">
        <f>IF(Qn-(F70-Ta)&gt;2*ENT,"Fara E","Ok")</f>
        <v>Ok</v>
      </c>
      <c r="I70" s="69"/>
    </row>
    <row r="71" spans="5:9" x14ac:dyDescent="0.25">
      <c r="E71">
        <v>59</v>
      </c>
      <c r="F71" s="56">
        <v>20.04</v>
      </c>
      <c r="G71" t="s">
        <v>139</v>
      </c>
      <c r="H71" s="3" t="str">
        <f>IF(Qn-(F71-Ta)&gt;2*ENT,"Fara E","Ok")</f>
        <v>Ok</v>
      </c>
      <c r="I71" s="69"/>
    </row>
    <row r="72" spans="5:9" x14ac:dyDescent="0.25">
      <c r="E72">
        <v>60</v>
      </c>
      <c r="F72" s="56">
        <v>20.02</v>
      </c>
      <c r="G72" t="s">
        <v>140</v>
      </c>
      <c r="H72" s="3" t="str">
        <f>IF(Qn-(F72-Ta)&gt;2*ENT,"Fara E","Ok")</f>
        <v>Ok</v>
      </c>
      <c r="I72" s="69"/>
    </row>
    <row r="73" spans="5:9" x14ac:dyDescent="0.25">
      <c r="E73">
        <v>61</v>
      </c>
      <c r="F73" s="56">
        <v>20</v>
      </c>
      <c r="G73">
        <v>2000</v>
      </c>
      <c r="H73" s="3" t="str">
        <f>IF(Qn-(F73-Ta)&gt;2*ENT,"Fara E","Ok")</f>
        <v>Ok</v>
      </c>
      <c r="I73" s="69"/>
    </row>
    <row r="74" spans="5:9" x14ac:dyDescent="0.25">
      <c r="E74">
        <v>62</v>
      </c>
      <c r="F74" s="56">
        <v>20.04</v>
      </c>
      <c r="G74" t="s">
        <v>141</v>
      </c>
      <c r="H74" s="3" t="str">
        <f>IF(Qn-(F74-Ta)&gt;2*ENT,"Fara E","Ok")</f>
        <v>Ok</v>
      </c>
      <c r="I74" s="69"/>
    </row>
    <row r="75" spans="5:9" x14ac:dyDescent="0.25">
      <c r="E75">
        <v>63</v>
      </c>
      <c r="F75" s="56">
        <v>20</v>
      </c>
      <c r="G75" t="s">
        <v>142</v>
      </c>
      <c r="H75" s="3" t="str">
        <f>IF(Qn-(F75-Ta)&gt;2*ENT,"Fara E","Ok")</f>
        <v>Ok</v>
      </c>
      <c r="I75" s="69"/>
    </row>
    <row r="76" spans="5:9" x14ac:dyDescent="0.25">
      <c r="E76">
        <v>64</v>
      </c>
      <c r="F76" s="56">
        <v>20.02</v>
      </c>
      <c r="G76" t="s">
        <v>143</v>
      </c>
      <c r="H76" s="3" t="str">
        <f>IF(Qn-(F76-Ta)&gt;2*ENT,"Fara E","Ok")</f>
        <v>Ok</v>
      </c>
      <c r="I76" s="69"/>
    </row>
    <row r="77" spans="5:9" x14ac:dyDescent="0.25">
      <c r="E77">
        <v>65</v>
      </c>
      <c r="F77" s="56">
        <v>20</v>
      </c>
      <c r="G77" t="s">
        <v>144</v>
      </c>
      <c r="H77" s="3" t="str">
        <f>IF(Qn-(F77-Ta)&gt;2*ENT,"Fara E","Ok")</f>
        <v>Ok</v>
      </c>
      <c r="I77" s="69"/>
    </row>
    <row r="78" spans="5:9" x14ac:dyDescent="0.25">
      <c r="E78">
        <v>66</v>
      </c>
      <c r="F78" s="56">
        <v>20.02</v>
      </c>
      <c r="G78" t="s">
        <v>145</v>
      </c>
      <c r="H78" s="3" t="str">
        <f>IF(Qn-(F78-Ta)&gt;2*ENT,"Fara E","Ok")</f>
        <v>Ok</v>
      </c>
      <c r="I78" s="69"/>
    </row>
    <row r="79" spans="5:9" x14ac:dyDescent="0.25">
      <c r="E79">
        <v>67</v>
      </c>
      <c r="F79" s="56">
        <v>20.02</v>
      </c>
      <c r="G79" t="s">
        <v>146</v>
      </c>
      <c r="H79" s="3" t="str">
        <f>IF(Qn-(F79-Ta)&gt;2*ENT,"Fara E","Ok")</f>
        <v>Ok</v>
      </c>
      <c r="I79" s="69"/>
    </row>
    <row r="80" spans="5:9" x14ac:dyDescent="0.25">
      <c r="E80">
        <v>68</v>
      </c>
      <c r="F80" s="56">
        <v>20.04</v>
      </c>
      <c r="G80" t="s">
        <v>147</v>
      </c>
      <c r="H80" s="3" t="str">
        <f>IF(Qn-(F80-Ta)&gt;2*ENT,"Fara E","Ok")</f>
        <v>Ok</v>
      </c>
      <c r="I80" s="69"/>
    </row>
    <row r="81" spans="5:9" x14ac:dyDescent="0.25">
      <c r="E81">
        <v>69</v>
      </c>
      <c r="F81" s="56">
        <v>20.02</v>
      </c>
      <c r="G81" t="s">
        <v>148</v>
      </c>
      <c r="H81" s="3" t="str">
        <f>IF(Qn-(F81-Ta)&gt;2*ENT,"Fara E","Ok")</f>
        <v>Ok</v>
      </c>
      <c r="I81" s="69"/>
    </row>
    <row r="82" spans="5:9" x14ac:dyDescent="0.25">
      <c r="E82">
        <v>70</v>
      </c>
      <c r="F82" s="56">
        <v>20</v>
      </c>
      <c r="G82">
        <v>2000</v>
      </c>
      <c r="H82" s="3" t="str">
        <f>IF(Qn-(F82-Ta)&gt;2*ENT,"Fara E","Ok")</f>
        <v>Ok</v>
      </c>
      <c r="I82" s="69"/>
    </row>
    <row r="83" spans="5:9" x14ac:dyDescent="0.25">
      <c r="E83">
        <v>71</v>
      </c>
      <c r="F83" s="56">
        <v>20.04</v>
      </c>
      <c r="G83" t="s">
        <v>149</v>
      </c>
      <c r="H83" s="3" t="str">
        <f>IF(Qn-(F83-Ta)&gt;2*ENT,"Fara E","Ok")</f>
        <v>Ok</v>
      </c>
      <c r="I83" s="69"/>
    </row>
    <row r="84" spans="5:9" x14ac:dyDescent="0.25">
      <c r="E84">
        <v>72</v>
      </c>
      <c r="F84" s="56">
        <v>20</v>
      </c>
      <c r="G84" t="s">
        <v>150</v>
      </c>
      <c r="H84" s="3" t="str">
        <f>IF(Qn-(F84-Ta)&gt;2*ENT,"Fara E","Ok")</f>
        <v>Ok</v>
      </c>
      <c r="I84" s="69"/>
    </row>
    <row r="85" spans="5:9" x14ac:dyDescent="0.25">
      <c r="E85">
        <v>73</v>
      </c>
      <c r="F85" s="56">
        <v>20.02</v>
      </c>
      <c r="G85" t="s">
        <v>151</v>
      </c>
      <c r="H85" s="3" t="str">
        <f>IF(Qn-(F85-Ta)&gt;2*ENT,"Fara E","Ok")</f>
        <v>Ok</v>
      </c>
      <c r="I85" s="69"/>
    </row>
    <row r="86" spans="5:9" x14ac:dyDescent="0.25">
      <c r="E86">
        <v>74</v>
      </c>
      <c r="F86" s="56">
        <v>20</v>
      </c>
      <c r="G86" t="s">
        <v>152</v>
      </c>
      <c r="H86" s="3" t="str">
        <f>IF(Qn-(F86-Ta)&gt;2*ENT,"Fara E","Ok")</f>
        <v>Ok</v>
      </c>
      <c r="I86" s="69"/>
    </row>
    <row r="87" spans="5:9" x14ac:dyDescent="0.25">
      <c r="E87">
        <v>75</v>
      </c>
      <c r="F87" s="56">
        <v>20</v>
      </c>
      <c r="G87" t="s">
        <v>153</v>
      </c>
      <c r="H87" s="3" t="str">
        <f>IF(Qn-(F87-Ta)&gt;2*ENT,"Fara E","Ok")</f>
        <v>Ok</v>
      </c>
      <c r="I87" s="69"/>
    </row>
    <row r="88" spans="5:9" x14ac:dyDescent="0.25">
      <c r="E88">
        <v>76</v>
      </c>
      <c r="F88" s="56">
        <v>20.02</v>
      </c>
      <c r="G88" t="s">
        <v>154</v>
      </c>
      <c r="H88" s="3" t="str">
        <f>IF(Qn-(F88-Ta)&gt;2*ENT,"Fara E","Ok")</f>
        <v>Ok</v>
      </c>
      <c r="I88" s="69"/>
    </row>
    <row r="89" spans="5:9" x14ac:dyDescent="0.25">
      <c r="E89">
        <v>77</v>
      </c>
      <c r="F89" s="56">
        <v>20.02</v>
      </c>
      <c r="G89" t="s">
        <v>155</v>
      </c>
      <c r="H89" s="3" t="str">
        <f>IF(Qn-(F89-Ta)&gt;2*ENT,"Fara E","Ok")</f>
        <v>Ok</v>
      </c>
      <c r="I89" s="69"/>
    </row>
    <row r="90" spans="5:9" x14ac:dyDescent="0.25">
      <c r="E90">
        <v>78</v>
      </c>
      <c r="F90" s="56">
        <v>20.02</v>
      </c>
      <c r="G90" t="s">
        <v>156</v>
      </c>
      <c r="H90" s="3" t="str">
        <f>IF(Qn-(F90-Ta)&gt;2*ENT,"Fara E","Ok")</f>
        <v>Ok</v>
      </c>
      <c r="I90" s="69"/>
    </row>
    <row r="91" spans="5:9" x14ac:dyDescent="0.25">
      <c r="E91">
        <v>79</v>
      </c>
      <c r="F91" s="56">
        <v>20</v>
      </c>
      <c r="G91">
        <v>2000</v>
      </c>
      <c r="H91" s="3" t="str">
        <f>IF(Qn-(F91-Ta)&gt;2*ENT,"Fara E","Ok")</f>
        <v>Ok</v>
      </c>
      <c r="I91" s="69"/>
    </row>
    <row r="92" spans="5:9" x14ac:dyDescent="0.25">
      <c r="E92">
        <v>80</v>
      </c>
      <c r="F92" s="56">
        <v>20</v>
      </c>
      <c r="G92">
        <v>2000</v>
      </c>
      <c r="H92" s="3" t="str">
        <f>IF(Qn-(F92-Ta)&gt;2*ENT,"Fara E","Ok")</f>
        <v>Ok</v>
      </c>
      <c r="I92" s="69"/>
    </row>
    <row r="93" spans="5:9" x14ac:dyDescent="0.25">
      <c r="E93">
        <v>81</v>
      </c>
      <c r="F93" s="56">
        <v>20.04</v>
      </c>
      <c r="G93" t="s">
        <v>157</v>
      </c>
      <c r="H93" s="3" t="str">
        <f>IF(Qn-(F93-Ta)&gt;2*ENT,"Fara E","Ok")</f>
        <v>Ok</v>
      </c>
    </row>
    <row r="94" spans="5:9" x14ac:dyDescent="0.25">
      <c r="E94">
        <v>82</v>
      </c>
      <c r="F94" s="56">
        <v>20.02</v>
      </c>
      <c r="G94" t="s">
        <v>158</v>
      </c>
      <c r="H94" s="3" t="str">
        <f>IF(Qn-(F94-Ta)&gt;2*ENT,"Fara E","Ok")</f>
        <v>Ok</v>
      </c>
    </row>
    <row r="95" spans="5:9" x14ac:dyDescent="0.25">
      <c r="E95">
        <v>83</v>
      </c>
      <c r="F95" s="56">
        <v>20.04</v>
      </c>
      <c r="G95" t="s">
        <v>159</v>
      </c>
      <c r="H95" s="3" t="str">
        <f>IF(Qn-(F95-Ta)&gt;2*ENT,"Fara E","Ok")</f>
        <v>Ok</v>
      </c>
    </row>
    <row r="96" spans="5:9" x14ac:dyDescent="0.25">
      <c r="E96">
        <v>84</v>
      </c>
      <c r="F96" s="56">
        <v>20</v>
      </c>
      <c r="G96" t="s">
        <v>160</v>
      </c>
      <c r="H96" s="3" t="str">
        <f>IF(Qn-(F96-Ta)&gt;2*ENT,"Fara E","Ok")</f>
        <v>Ok</v>
      </c>
    </row>
    <row r="97" spans="5:8" x14ac:dyDescent="0.25">
      <c r="E97">
        <v>85</v>
      </c>
      <c r="F97" s="56">
        <v>20.04</v>
      </c>
      <c r="G97" t="s">
        <v>161</v>
      </c>
      <c r="H97" s="3" t="str">
        <f>IF(Qn-(F97-Ta)&gt;2*ENT,"Fara E","Ok")</f>
        <v>Ok</v>
      </c>
    </row>
    <row r="98" spans="5:8" x14ac:dyDescent="0.25">
      <c r="E98">
        <v>86</v>
      </c>
      <c r="F98" s="56">
        <v>20.02</v>
      </c>
      <c r="G98" t="s">
        <v>162</v>
      </c>
      <c r="H98" s="3" t="str">
        <f>IF(Qn-(F98-Ta)&gt;2*ENT,"Fara E","Ok")</f>
        <v>Ok</v>
      </c>
    </row>
    <row r="99" spans="5:8" x14ac:dyDescent="0.25">
      <c r="E99">
        <v>87</v>
      </c>
      <c r="F99" s="56">
        <v>20.02</v>
      </c>
      <c r="G99" t="s">
        <v>163</v>
      </c>
      <c r="H99" s="3" t="str">
        <f>IF(Qn-(F99-Ta)&gt;2*ENT,"Fara E","Ok")</f>
        <v>Ok</v>
      </c>
    </row>
    <row r="100" spans="5:8" x14ac:dyDescent="0.25">
      <c r="E100">
        <v>88</v>
      </c>
      <c r="F100" s="56">
        <v>20.04</v>
      </c>
      <c r="G100" t="s">
        <v>164</v>
      </c>
      <c r="H100" s="3" t="str">
        <f>IF(Qn-(F100-Ta)&gt;2*ENT,"Fara E","Ok")</f>
        <v>Ok</v>
      </c>
    </row>
    <row r="101" spans="5:8" x14ac:dyDescent="0.25">
      <c r="E101">
        <v>89</v>
      </c>
      <c r="F101" s="56">
        <v>20.02</v>
      </c>
      <c r="G101" t="s">
        <v>165</v>
      </c>
      <c r="H101" s="3" t="str">
        <f>IF(Qn-(F101-Ta)&gt;2*ENT,"Fara E","Ok")</f>
        <v>Ok</v>
      </c>
    </row>
    <row r="102" spans="5:8" x14ac:dyDescent="0.25">
      <c r="E102">
        <v>90</v>
      </c>
      <c r="F102" s="56">
        <v>20.02</v>
      </c>
      <c r="G102" t="s">
        <v>166</v>
      </c>
      <c r="H102" s="3" t="str">
        <f>IF(Qn-(F102-Ta)&gt;2*ENT,"Fara E","Ok")</f>
        <v>Ok</v>
      </c>
    </row>
    <row r="103" spans="5:8" x14ac:dyDescent="0.25">
      <c r="E103">
        <v>91</v>
      </c>
      <c r="F103" s="56">
        <v>20</v>
      </c>
      <c r="G103" t="s">
        <v>167</v>
      </c>
      <c r="H103" s="3" t="str">
        <f>IF(Qn-(F103-Ta)&gt;2*ENT,"Fara E","Ok")</f>
        <v>Ok</v>
      </c>
    </row>
    <row r="104" spans="5:8" x14ac:dyDescent="0.25">
      <c r="E104">
        <v>92</v>
      </c>
      <c r="F104" s="56">
        <v>19.98</v>
      </c>
      <c r="G104" t="s">
        <v>168</v>
      </c>
      <c r="H104" s="3" t="str">
        <f>IF(Qn-(F104-Ta)&gt;2*ENT,"Fara E","Ok")</f>
        <v>Ok</v>
      </c>
    </row>
    <row r="105" spans="5:8" x14ac:dyDescent="0.25">
      <c r="E105">
        <v>93</v>
      </c>
      <c r="F105" s="56">
        <v>20.02</v>
      </c>
      <c r="G105" t="s">
        <v>169</v>
      </c>
      <c r="H105" s="3" t="str">
        <f>IF(Qn-(F105-Ta)&gt;2*ENT,"Fara E","Ok")</f>
        <v>Ok</v>
      </c>
    </row>
    <row r="106" spans="5:8" x14ac:dyDescent="0.25">
      <c r="E106">
        <v>94</v>
      </c>
      <c r="F106" s="56">
        <v>20</v>
      </c>
      <c r="G106" t="s">
        <v>170</v>
      </c>
      <c r="H106" s="3" t="str">
        <f>IF(Qn-(F106-Ta)&gt;2*ENT,"Fara E","Ok")</f>
        <v>Ok</v>
      </c>
    </row>
    <row r="107" spans="5:8" x14ac:dyDescent="0.25">
      <c r="E107">
        <v>95</v>
      </c>
      <c r="F107" s="56">
        <v>20</v>
      </c>
      <c r="G107" t="s">
        <v>171</v>
      </c>
      <c r="H107" s="3" t="str">
        <f>IF(Qn-(F107-Ta)&gt;2*ENT,"Fara E","Ok")</f>
        <v>Ok</v>
      </c>
    </row>
    <row r="108" spans="5:8" x14ac:dyDescent="0.25">
      <c r="E108">
        <v>96</v>
      </c>
      <c r="F108" s="56">
        <v>20</v>
      </c>
      <c r="G108">
        <v>2000</v>
      </c>
      <c r="H108" s="3" t="str">
        <f>IF(Qn-(F108-Ta)&gt;2*ENT,"Fara E","Ok")</f>
        <v>Ok</v>
      </c>
    </row>
    <row r="109" spans="5:8" x14ac:dyDescent="0.25">
      <c r="E109">
        <v>97</v>
      </c>
      <c r="F109" s="56">
        <v>20.12</v>
      </c>
      <c r="G109" t="s">
        <v>172</v>
      </c>
      <c r="H109" s="3" t="str">
        <f>IF(Qn-(F109-Ta)&gt;2*ENT,"Fara E","Ok")</f>
        <v>Ok</v>
      </c>
    </row>
    <row r="110" spans="5:8" x14ac:dyDescent="0.25">
      <c r="E110">
        <v>98</v>
      </c>
      <c r="F110" s="56">
        <v>20</v>
      </c>
      <c r="G110" t="s">
        <v>173</v>
      </c>
      <c r="H110" s="3" t="str">
        <f>IF(Qn-(F110-Ta)&gt;2*ENT,"Fara E","Ok")</f>
        <v>Ok</v>
      </c>
    </row>
    <row r="111" spans="5:8" x14ac:dyDescent="0.25">
      <c r="E111">
        <v>99</v>
      </c>
      <c r="F111" s="56">
        <v>20.02</v>
      </c>
      <c r="G111" t="s">
        <v>174</v>
      </c>
      <c r="H111" s="3" t="str">
        <f>IF(Qn-(F111-Ta)&gt;2*ENT,"Fara E","Ok")</f>
        <v>Ok</v>
      </c>
    </row>
    <row r="112" spans="5:8" x14ac:dyDescent="0.25">
      <c r="E112">
        <v>100</v>
      </c>
      <c r="F112" s="56">
        <v>20</v>
      </c>
      <c r="G112" t="s">
        <v>175</v>
      </c>
      <c r="H112" s="3" t="str">
        <f>IF(Qn-(F112-Ta)&gt;2*ENT,"Fara E","Ok")</f>
        <v>Ok</v>
      </c>
    </row>
    <row r="113" spans="5:8" x14ac:dyDescent="0.25">
      <c r="E113">
        <v>101</v>
      </c>
      <c r="F113" s="56">
        <v>20</v>
      </c>
      <c r="G113" t="s">
        <v>176</v>
      </c>
      <c r="H113" s="3" t="str">
        <f>IF(Qn-(F113-Ta)&gt;2*ENT,"Fara E","Ok")</f>
        <v>Ok</v>
      </c>
    </row>
    <row r="114" spans="5:8" x14ac:dyDescent="0.25">
      <c r="E114">
        <v>102</v>
      </c>
      <c r="F114" s="56">
        <v>20</v>
      </c>
      <c r="G114" t="s">
        <v>177</v>
      </c>
      <c r="H114" s="3" t="str">
        <f>IF(Qn-(F114-Ta)&gt;2*ENT,"Fara E","Ok")</f>
        <v>Ok</v>
      </c>
    </row>
    <row r="115" spans="5:8" x14ac:dyDescent="0.25">
      <c r="E115">
        <v>103</v>
      </c>
      <c r="F115" s="56">
        <v>20.02</v>
      </c>
      <c r="G115" t="s">
        <v>178</v>
      </c>
      <c r="H115" s="3" t="str">
        <f>IF(Qn-(F115-Ta)&gt;2*ENT,"Fara E","Ok")</f>
        <v>Ok</v>
      </c>
    </row>
    <row r="116" spans="5:8" x14ac:dyDescent="0.25">
      <c r="E116">
        <v>104</v>
      </c>
      <c r="F116" s="56">
        <v>20</v>
      </c>
      <c r="G116" t="s">
        <v>179</v>
      </c>
      <c r="H116" s="3" t="str">
        <f>IF(Qn-(F116-Ta)&gt;2*ENT,"Fara E","Ok")</f>
        <v>Ok</v>
      </c>
    </row>
    <row r="117" spans="5:8" x14ac:dyDescent="0.25">
      <c r="E117">
        <v>105</v>
      </c>
      <c r="F117" s="56">
        <v>20.02</v>
      </c>
      <c r="G117" t="s">
        <v>180</v>
      </c>
      <c r="H117" s="3" t="str">
        <f>IF(Qn-(F117-Ta)&gt;2*ENT,"Fara E","Ok")</f>
        <v>Ok</v>
      </c>
    </row>
    <row r="118" spans="5:8" x14ac:dyDescent="0.25">
      <c r="E118">
        <v>106</v>
      </c>
      <c r="F118" s="56">
        <v>20.02</v>
      </c>
      <c r="G118" t="s">
        <v>181</v>
      </c>
      <c r="H118" s="3" t="str">
        <f>IF(Qn-(F118-Ta)&gt;2*ENT,"Fara E","Ok")</f>
        <v>Ok</v>
      </c>
    </row>
    <row r="119" spans="5:8" x14ac:dyDescent="0.25">
      <c r="E119">
        <v>107</v>
      </c>
      <c r="F119" s="56">
        <v>20.02</v>
      </c>
      <c r="G119" t="s">
        <v>182</v>
      </c>
      <c r="H119" s="3" t="str">
        <f>IF(Qn-(F119-Ta)&gt;2*ENT,"Fara E","Ok")</f>
        <v>Ok</v>
      </c>
    </row>
    <row r="120" spans="5:8" x14ac:dyDescent="0.25">
      <c r="E120">
        <v>108</v>
      </c>
      <c r="F120" s="56">
        <v>19.98</v>
      </c>
      <c r="G120" t="s">
        <v>183</v>
      </c>
      <c r="H120" s="3" t="str">
        <f>IF(Qn-(F120-Ta)&gt;2*ENT,"Fara E","Ok")</f>
        <v>Ok</v>
      </c>
    </row>
    <row r="121" spans="5:8" x14ac:dyDescent="0.25">
      <c r="E121">
        <v>109</v>
      </c>
      <c r="F121" s="56">
        <v>20</v>
      </c>
      <c r="G121" t="s">
        <v>184</v>
      </c>
      <c r="H121" s="3" t="str">
        <f>IF(Qn-(F121-Ta)&gt;2*ENT,"Fara E","Ok")</f>
        <v>Ok</v>
      </c>
    </row>
    <row r="122" spans="5:8" x14ac:dyDescent="0.25">
      <c r="E122">
        <v>110</v>
      </c>
      <c r="F122" s="56">
        <v>20.02</v>
      </c>
      <c r="G122" t="s">
        <v>185</v>
      </c>
      <c r="H122" s="3" t="str">
        <f>IF(Qn-(F122-Ta)&gt;2*ENT,"Fara E","Ok")</f>
        <v>Ok</v>
      </c>
    </row>
    <row r="123" spans="5:8" x14ac:dyDescent="0.25">
      <c r="E123">
        <v>111</v>
      </c>
      <c r="F123" s="56">
        <v>20.04</v>
      </c>
      <c r="G123" t="s">
        <v>186</v>
      </c>
      <c r="H123" s="3" t="str">
        <f>IF(Qn-(F123-Ta)&gt;2*ENT,"Fara E","Ok")</f>
        <v>Ok</v>
      </c>
    </row>
    <row r="124" spans="5:8" x14ac:dyDescent="0.25">
      <c r="E124">
        <v>112</v>
      </c>
      <c r="F124" s="56">
        <v>20</v>
      </c>
      <c r="G124" t="s">
        <v>187</v>
      </c>
      <c r="H124" s="3" t="str">
        <f>IF(Qn-(F124-Ta)&gt;2*ENT,"Fara E","Ok")</f>
        <v>Ok</v>
      </c>
    </row>
    <row r="125" spans="5:8" x14ac:dyDescent="0.25">
      <c r="E125">
        <v>113</v>
      </c>
      <c r="F125" s="56">
        <v>20</v>
      </c>
      <c r="G125" t="s">
        <v>188</v>
      </c>
      <c r="H125" s="3" t="str">
        <f>IF(Qn-(F125-Ta)&gt;2*ENT,"Fara E","Ok")</f>
        <v>Ok</v>
      </c>
    </row>
    <row r="126" spans="5:8" x14ac:dyDescent="0.25">
      <c r="E126">
        <v>114</v>
      </c>
      <c r="F126" s="56">
        <v>20.04</v>
      </c>
      <c r="G126" t="s">
        <v>189</v>
      </c>
      <c r="H126" s="3" t="str">
        <f>IF(Qn-(F126-Ta)&gt;2*ENT,"Fara E","Ok")</f>
        <v>Ok</v>
      </c>
    </row>
    <row r="127" spans="5:8" x14ac:dyDescent="0.25">
      <c r="E127">
        <v>115</v>
      </c>
      <c r="F127" s="56">
        <v>20</v>
      </c>
      <c r="G127">
        <v>2000</v>
      </c>
      <c r="H127" s="3" t="str">
        <f>IF(Qn-(F127-Ta)&gt;2*ENT,"Fara E","Ok")</f>
        <v>Ok</v>
      </c>
    </row>
    <row r="128" spans="5:8" x14ac:dyDescent="0.25">
      <c r="E128">
        <v>116</v>
      </c>
      <c r="F128" s="56">
        <v>20.02</v>
      </c>
      <c r="G128" t="s">
        <v>190</v>
      </c>
      <c r="H128" s="3" t="str">
        <f>IF(Qn-(F128-Ta)&gt;2*ENT,"Fara E","Ok")</f>
        <v>Ok</v>
      </c>
    </row>
    <row r="129" spans="5:8" x14ac:dyDescent="0.25">
      <c r="E129">
        <v>117</v>
      </c>
      <c r="F129" s="56">
        <v>20</v>
      </c>
      <c r="G129" t="s">
        <v>191</v>
      </c>
      <c r="H129" s="3" t="str">
        <f>IF(Qn-(F129-Ta)&gt;2*ENT,"Fara E","Ok")</f>
        <v>Ok</v>
      </c>
    </row>
    <row r="130" spans="5:8" x14ac:dyDescent="0.25">
      <c r="E130">
        <v>118</v>
      </c>
      <c r="F130" s="56">
        <v>20.02</v>
      </c>
      <c r="G130" t="s">
        <v>192</v>
      </c>
      <c r="H130" s="3" t="str">
        <f>IF(Qn-(F130-Ta)&gt;2*ENT,"Fara E","Ok")</f>
        <v>Ok</v>
      </c>
    </row>
    <row r="131" spans="5:8" x14ac:dyDescent="0.25">
      <c r="E131">
        <v>119</v>
      </c>
      <c r="F131" s="56">
        <v>20.02</v>
      </c>
      <c r="G131" t="s">
        <v>193</v>
      </c>
      <c r="H131" s="3" t="str">
        <f>IF(Qn-(F131-Ta)&gt;2*ENT,"Fara E","Ok")</f>
        <v>Ok</v>
      </c>
    </row>
    <row r="132" spans="5:8" x14ac:dyDescent="0.25">
      <c r="E132">
        <v>120</v>
      </c>
      <c r="F132" s="56">
        <v>20.04</v>
      </c>
      <c r="G132" t="s">
        <v>194</v>
      </c>
      <c r="H132" s="3" t="str">
        <f>IF(Qn-(F132-Ta)&gt;2*ENT,"Fara E","Ok")</f>
        <v>Ok</v>
      </c>
    </row>
    <row r="133" spans="5:8" x14ac:dyDescent="0.25">
      <c r="E133">
        <v>121</v>
      </c>
      <c r="F133" s="56">
        <v>20</v>
      </c>
      <c r="G133">
        <v>2000</v>
      </c>
      <c r="H133" s="3" t="str">
        <f>IF(Qn-(F133-Ta)&gt;2*ENT,"Fara E","Ok")</f>
        <v>Ok</v>
      </c>
    </row>
    <row r="134" spans="5:8" x14ac:dyDescent="0.25">
      <c r="E134">
        <v>122</v>
      </c>
      <c r="F134" s="56">
        <v>20</v>
      </c>
      <c r="G134" t="s">
        <v>195</v>
      </c>
      <c r="H134" s="3" t="str">
        <f>IF(Qn-(F134-Ta)&gt;2*ENT,"Fara E","Ok")</f>
        <v>Ok</v>
      </c>
    </row>
    <row r="135" spans="5:8" x14ac:dyDescent="0.25">
      <c r="E135">
        <v>123</v>
      </c>
      <c r="F135" s="56">
        <v>20.02</v>
      </c>
      <c r="G135" t="s">
        <v>196</v>
      </c>
      <c r="H135" s="3" t="str">
        <f>IF(Qn-(F135-Ta)&gt;2*ENT,"Fara E","Ok")</f>
        <v>Ok</v>
      </c>
    </row>
    <row r="136" spans="5:8" x14ac:dyDescent="0.25">
      <c r="E136">
        <v>124</v>
      </c>
      <c r="F136" s="56">
        <v>19.98</v>
      </c>
      <c r="G136" t="s">
        <v>197</v>
      </c>
      <c r="H136" s="3" t="str">
        <f>IF(Qn-(F136-Ta)&gt;2*ENT,"Fara E","Ok")</f>
        <v>Ok</v>
      </c>
    </row>
    <row r="137" spans="5:8" x14ac:dyDescent="0.25">
      <c r="E137">
        <v>125</v>
      </c>
      <c r="F137" s="56">
        <v>20</v>
      </c>
      <c r="G137">
        <v>2000</v>
      </c>
      <c r="H137" s="3" t="str">
        <f>IF(Qn-(F137-Ta)&gt;2*ENT,"Fara E","Ok")</f>
        <v>Ok</v>
      </c>
    </row>
    <row r="138" spans="5:8" x14ac:dyDescent="0.25">
      <c r="E138">
        <v>126</v>
      </c>
      <c r="F138" s="56">
        <v>20</v>
      </c>
      <c r="G138">
        <v>2000</v>
      </c>
      <c r="H138" s="3" t="str">
        <f>IF(Qn-(F138-Ta)&gt;2*ENT,"Fara E","Ok")</f>
        <v>Ok</v>
      </c>
    </row>
    <row r="139" spans="5:8" x14ac:dyDescent="0.25">
      <c r="E139">
        <v>127</v>
      </c>
      <c r="F139" s="56">
        <v>20</v>
      </c>
      <c r="G139">
        <v>2000</v>
      </c>
      <c r="H139" s="3" t="str">
        <f>IF(Qn-(F139-Ta)&gt;2*ENT,"Fara E","Ok")</f>
        <v>Ok</v>
      </c>
    </row>
    <row r="140" spans="5:8" x14ac:dyDescent="0.25">
      <c r="E140">
        <v>128</v>
      </c>
      <c r="F140" s="56">
        <v>20</v>
      </c>
      <c r="G140" t="s">
        <v>198</v>
      </c>
      <c r="H140" s="3" t="str">
        <f>IF(Qn-(F140-Ta)&gt;2*ENT,"Fara E","Ok")</f>
        <v>Ok</v>
      </c>
    </row>
    <row r="141" spans="5:8" x14ac:dyDescent="0.25">
      <c r="E141">
        <v>129</v>
      </c>
      <c r="F141" s="56">
        <v>20.04</v>
      </c>
      <c r="G141" t="s">
        <v>199</v>
      </c>
      <c r="H141" s="3" t="str">
        <f>IF(Qn-(F141-Ta)&gt;2*ENT,"Fara E","Ok")</f>
        <v>Ok</v>
      </c>
    </row>
    <row r="142" spans="5:8" x14ac:dyDescent="0.25">
      <c r="E142">
        <v>130</v>
      </c>
      <c r="F142" s="56">
        <v>20.04</v>
      </c>
      <c r="G142" t="s">
        <v>200</v>
      </c>
      <c r="H142" s="3" t="str">
        <f>IF(Qn-(F142-Ta)&gt;2*ENT,"Fara E","Ok")</f>
        <v>Ok</v>
      </c>
    </row>
    <row r="143" spans="5:8" x14ac:dyDescent="0.25">
      <c r="E143">
        <v>131</v>
      </c>
      <c r="F143" s="56">
        <v>20.02</v>
      </c>
      <c r="G143" t="s">
        <v>201</v>
      </c>
      <c r="H143" s="3" t="str">
        <f>IF(Qn-(F143-Ta)&gt;2*ENT,"Fara E","Ok")</f>
        <v>Ok</v>
      </c>
    </row>
    <row r="144" spans="5:8" x14ac:dyDescent="0.25">
      <c r="E144">
        <v>132</v>
      </c>
      <c r="F144" s="56">
        <v>20</v>
      </c>
      <c r="G144">
        <v>2000</v>
      </c>
      <c r="H144" s="3" t="str">
        <f>IF(Qn-(F144-Ta)&gt;2*ENT,"Fara E","Ok")</f>
        <v>Ok</v>
      </c>
    </row>
    <row r="145" spans="5:8" x14ac:dyDescent="0.25">
      <c r="E145">
        <v>133</v>
      </c>
      <c r="F145" s="56">
        <v>20.02</v>
      </c>
      <c r="G145" t="s">
        <v>202</v>
      </c>
      <c r="H145" s="3" t="str">
        <f>IF(Qn-(F145-Ta)&gt;2*ENT,"Fara E","Ok")</f>
        <v>Ok</v>
      </c>
    </row>
    <row r="146" spans="5:8" x14ac:dyDescent="0.25">
      <c r="E146">
        <v>134</v>
      </c>
      <c r="F146" s="56">
        <v>20</v>
      </c>
      <c r="G146">
        <v>2000</v>
      </c>
      <c r="H146" s="3" t="str">
        <f>IF(Qn-(F146-Ta)&gt;2*ENT,"Fara E","Ok")</f>
        <v>Ok</v>
      </c>
    </row>
    <row r="147" spans="5:8" x14ac:dyDescent="0.25">
      <c r="E147">
        <v>135</v>
      </c>
      <c r="F147" s="56">
        <v>20.02</v>
      </c>
      <c r="G147" t="s">
        <v>203</v>
      </c>
      <c r="H147" s="3" t="str">
        <f>IF(Qn-(F147-Ta)&gt;2*ENT,"Fara E","Ok")</f>
        <v>Ok</v>
      </c>
    </row>
    <row r="148" spans="5:8" x14ac:dyDescent="0.25">
      <c r="E148">
        <v>136</v>
      </c>
      <c r="F148" s="56">
        <v>20.04</v>
      </c>
      <c r="G148" t="s">
        <v>204</v>
      </c>
      <c r="H148" s="3" t="str">
        <f>IF(Qn-(F148-Ta)&gt;2*ENT,"Fara E","Ok")</f>
        <v>Ok</v>
      </c>
    </row>
    <row r="149" spans="5:8" x14ac:dyDescent="0.25">
      <c r="E149">
        <v>137</v>
      </c>
      <c r="F149" s="56">
        <v>20.02</v>
      </c>
      <c r="G149" t="s">
        <v>205</v>
      </c>
      <c r="H149" s="3" t="str">
        <f>IF(Qn-(F149-Ta)&gt;2*ENT,"Fara E","Ok")</f>
        <v>Ok</v>
      </c>
    </row>
    <row r="150" spans="5:8" x14ac:dyDescent="0.25">
      <c r="E150">
        <v>138</v>
      </c>
      <c r="F150" s="56">
        <v>20</v>
      </c>
      <c r="G150" t="s">
        <v>206</v>
      </c>
      <c r="H150" s="3" t="str">
        <f>IF(Qn-(F150-Ta)&gt;2*ENT,"Fara E","Ok")</f>
        <v>Ok</v>
      </c>
    </row>
    <row r="151" spans="5:8" x14ac:dyDescent="0.25">
      <c r="E151">
        <v>139</v>
      </c>
      <c r="F151" s="56">
        <v>20</v>
      </c>
      <c r="G151">
        <v>2000</v>
      </c>
      <c r="H151" s="3" t="str">
        <f>IF(Qn-(F151-Ta)&gt;2*ENT,"Fara E","Ok")</f>
        <v>Ok</v>
      </c>
    </row>
    <row r="152" spans="5:8" x14ac:dyDescent="0.25">
      <c r="E152">
        <v>140</v>
      </c>
      <c r="F152" s="56">
        <v>20</v>
      </c>
      <c r="G152" t="s">
        <v>207</v>
      </c>
      <c r="H152" s="3" t="str">
        <f>IF(Qn-(F152-Ta)&gt;2*ENT,"Fara E","Ok")</f>
        <v>Ok</v>
      </c>
    </row>
    <row r="153" spans="5:8" x14ac:dyDescent="0.25">
      <c r="E153">
        <v>141</v>
      </c>
      <c r="F153" s="56">
        <v>20</v>
      </c>
      <c r="G153">
        <v>2000</v>
      </c>
      <c r="H153" s="3" t="str">
        <f>IF(Qn-(F153-Ta)&gt;2*ENT,"Fara E","Ok")</f>
        <v>Ok</v>
      </c>
    </row>
    <row r="154" spans="5:8" x14ac:dyDescent="0.25">
      <c r="E154">
        <v>142</v>
      </c>
      <c r="F154" s="56">
        <v>20</v>
      </c>
      <c r="G154">
        <v>2000</v>
      </c>
      <c r="H154" s="3" t="str">
        <f>IF(Qn-(F154-Ta)&gt;2*ENT,"Fara E","Ok")</f>
        <v>Ok</v>
      </c>
    </row>
    <row r="155" spans="5:8" x14ac:dyDescent="0.25">
      <c r="E155">
        <v>143</v>
      </c>
      <c r="F155" s="56">
        <v>20</v>
      </c>
      <c r="G155">
        <v>2000</v>
      </c>
      <c r="H155" s="3" t="str">
        <f>IF(Qn-(F155-Ta)&gt;2*ENT,"Fara E","Ok")</f>
        <v>Ok</v>
      </c>
    </row>
    <row r="156" spans="5:8" x14ac:dyDescent="0.25">
      <c r="E156">
        <v>144</v>
      </c>
      <c r="F156" s="56">
        <v>20</v>
      </c>
      <c r="G156">
        <v>2000</v>
      </c>
      <c r="H156" s="3" t="str">
        <f>IF(Qn-(F156-Ta)&gt;2*ENT,"Fara E","Ok")</f>
        <v>Ok</v>
      </c>
    </row>
    <row r="157" spans="5:8" x14ac:dyDescent="0.25">
      <c r="E157">
        <v>145</v>
      </c>
      <c r="F157" s="56">
        <v>20.02</v>
      </c>
      <c r="G157" t="s">
        <v>208</v>
      </c>
      <c r="H157" s="3" t="str">
        <f>IF(Qn-(F157-Ta)&gt;2*ENT,"Fara E","Ok")</f>
        <v>Ok</v>
      </c>
    </row>
    <row r="158" spans="5:8" x14ac:dyDescent="0.25">
      <c r="E158">
        <v>146</v>
      </c>
      <c r="F158" s="56">
        <v>20.02</v>
      </c>
      <c r="G158" t="s">
        <v>209</v>
      </c>
      <c r="H158" s="3" t="str">
        <f>IF(Qn-(F158-Ta)&gt;2*ENT,"Fara E","Ok")</f>
        <v>Ok</v>
      </c>
    </row>
    <row r="159" spans="5:8" x14ac:dyDescent="0.25">
      <c r="E159">
        <v>147</v>
      </c>
      <c r="F159" s="56">
        <v>20.02</v>
      </c>
      <c r="G159" t="s">
        <v>210</v>
      </c>
      <c r="H159" s="3" t="str">
        <f>IF(Qn-(F159-Ta)&gt;2*ENT,"Fara E","Ok")</f>
        <v>Ok</v>
      </c>
    </row>
    <row r="160" spans="5:8" x14ac:dyDescent="0.25">
      <c r="E160">
        <v>148</v>
      </c>
      <c r="F160" s="56">
        <v>20</v>
      </c>
      <c r="G160">
        <v>2000</v>
      </c>
      <c r="H160" s="3" t="str">
        <f>IF(Qn-(F160-Ta)&gt;2*ENT,"Fara E","Ok")</f>
        <v>Ok</v>
      </c>
    </row>
    <row r="161" spans="5:8" x14ac:dyDescent="0.25">
      <c r="E161">
        <v>149</v>
      </c>
      <c r="F161" s="56">
        <v>20.04</v>
      </c>
      <c r="G161" t="s">
        <v>211</v>
      </c>
      <c r="H161" s="3" t="str">
        <f>IF(Qn-(F161-Ta)&gt;2*ENT,"Fara E","Ok")</f>
        <v>Ok</v>
      </c>
    </row>
    <row r="162" spans="5:8" x14ac:dyDescent="0.25">
      <c r="E162">
        <v>150</v>
      </c>
      <c r="F162" s="56">
        <v>20.02</v>
      </c>
      <c r="G162" t="s">
        <v>212</v>
      </c>
      <c r="H162" s="3" t="str">
        <f>IF(Qn-(F162-Ta)&gt;2*ENT,"Fara E","Ok")</f>
        <v>Ok</v>
      </c>
    </row>
    <row r="163" spans="5:8" x14ac:dyDescent="0.25">
      <c r="E163">
        <v>151</v>
      </c>
      <c r="F163" s="56">
        <v>20.02</v>
      </c>
      <c r="G163" t="s">
        <v>213</v>
      </c>
      <c r="H163" s="3" t="str">
        <f>IF(Qn-(F163-Ta)&gt;2*ENT,"Fara E","Ok")</f>
        <v>Ok</v>
      </c>
    </row>
    <row r="164" spans="5:8" x14ac:dyDescent="0.25">
      <c r="E164">
        <v>152</v>
      </c>
      <c r="F164" s="56">
        <v>20.04</v>
      </c>
      <c r="G164" t="s">
        <v>214</v>
      </c>
      <c r="H164" s="3" t="str">
        <f>IF(Qn-(F164-Ta)&gt;2*ENT,"Fara E","Ok")</f>
        <v>Ok</v>
      </c>
    </row>
    <row r="165" spans="5:8" x14ac:dyDescent="0.25">
      <c r="E165">
        <v>153</v>
      </c>
      <c r="F165" s="56">
        <v>20.04</v>
      </c>
      <c r="G165" t="s">
        <v>215</v>
      </c>
      <c r="H165" s="3" t="str">
        <f>IF(Qn-(F165-Ta)&gt;2*ENT,"Fara E","Ok")</f>
        <v>Ok</v>
      </c>
    </row>
    <row r="166" spans="5:8" x14ac:dyDescent="0.25">
      <c r="E166">
        <v>154</v>
      </c>
      <c r="F166" s="56">
        <v>20.02</v>
      </c>
      <c r="G166" t="s">
        <v>216</v>
      </c>
      <c r="H166" s="3" t="str">
        <f>IF(Qn-(F166-Ta)&gt;2*ENT,"Fara E","Ok")</f>
        <v>Ok</v>
      </c>
    </row>
    <row r="167" spans="5:8" x14ac:dyDescent="0.25">
      <c r="E167">
        <v>155</v>
      </c>
      <c r="F167" s="56">
        <v>20.02</v>
      </c>
      <c r="G167" t="s">
        <v>217</v>
      </c>
      <c r="H167" s="3" t="str">
        <f>IF(Qn-(F167-Ta)&gt;2*ENT,"Fara E","Ok")</f>
        <v>Ok</v>
      </c>
    </row>
    <row r="168" spans="5:8" x14ac:dyDescent="0.25">
      <c r="E168">
        <v>156</v>
      </c>
      <c r="F168" s="56">
        <v>20</v>
      </c>
      <c r="G168" t="s">
        <v>218</v>
      </c>
      <c r="H168" s="3" t="str">
        <f>IF(Qn-(F168-Ta)&gt;2*ENT,"Fara E","Ok")</f>
        <v>Ok</v>
      </c>
    </row>
    <row r="169" spans="5:8" x14ac:dyDescent="0.25">
      <c r="E169">
        <v>157</v>
      </c>
      <c r="F169" s="56">
        <v>20</v>
      </c>
      <c r="G169" t="s">
        <v>219</v>
      </c>
      <c r="H169" s="3" t="str">
        <f>IF(Qn-(F169-Ta)&gt;2*ENT,"Fara E","Ok")</f>
        <v>Ok</v>
      </c>
    </row>
    <row r="170" spans="5:8" x14ac:dyDescent="0.25">
      <c r="E170">
        <v>158</v>
      </c>
      <c r="F170" s="56">
        <v>20</v>
      </c>
      <c r="G170">
        <v>2000</v>
      </c>
      <c r="H170" s="3" t="str">
        <f>IF(Qn-(F170-Ta)&gt;2*ENT,"Fara E","Ok")</f>
        <v>Ok</v>
      </c>
    </row>
    <row r="171" spans="5:8" x14ac:dyDescent="0.25">
      <c r="E171">
        <v>159</v>
      </c>
      <c r="F171" s="56">
        <v>20.02</v>
      </c>
      <c r="G171" t="s">
        <v>220</v>
      </c>
      <c r="H171" s="3" t="str">
        <f>IF(Qn-(F171-Ta)&gt;2*ENT,"Fara E","Ok")</f>
        <v>Ok</v>
      </c>
    </row>
    <row r="172" spans="5:8" x14ac:dyDescent="0.25">
      <c r="E172">
        <v>160</v>
      </c>
      <c r="F172" s="56">
        <v>20.04</v>
      </c>
      <c r="G172" t="s">
        <v>221</v>
      </c>
      <c r="H172" s="3" t="str">
        <f>IF(Qn-(F172-Ta)&gt;2*ENT,"Fara E","Ok")</f>
        <v>Ok</v>
      </c>
    </row>
    <row r="173" spans="5:8" x14ac:dyDescent="0.25">
      <c r="E173">
        <v>161</v>
      </c>
      <c r="F173" s="56">
        <v>20.02</v>
      </c>
      <c r="G173" t="s">
        <v>222</v>
      </c>
      <c r="H173" s="3" t="str">
        <f>IF(Qn-(F173-Ta)&gt;2*ENT,"Fara E","Ok")</f>
        <v>Ok</v>
      </c>
    </row>
    <row r="174" spans="5:8" x14ac:dyDescent="0.25">
      <c r="E174">
        <v>162</v>
      </c>
      <c r="F174" s="56">
        <v>20.02</v>
      </c>
      <c r="G174" t="s">
        <v>223</v>
      </c>
      <c r="H174" s="3" t="str">
        <f>IF(Qn-(F174-Ta)&gt;2*ENT,"Fara E","Ok")</f>
        <v>Ok</v>
      </c>
    </row>
    <row r="175" spans="5:8" x14ac:dyDescent="0.25">
      <c r="E175">
        <v>163</v>
      </c>
      <c r="F175" s="56">
        <v>20.02</v>
      </c>
      <c r="G175" t="s">
        <v>224</v>
      </c>
      <c r="H175" s="3" t="str">
        <f>IF(Qn-(F175-Ta)&gt;2*ENT,"Fara E","Ok")</f>
        <v>Ok</v>
      </c>
    </row>
    <row r="176" spans="5:8" x14ac:dyDescent="0.25">
      <c r="E176">
        <v>164</v>
      </c>
      <c r="F176" s="56">
        <v>20.02</v>
      </c>
      <c r="G176" t="s">
        <v>225</v>
      </c>
      <c r="H176" s="3" t="str">
        <f>IF(Qn-(F176-Ta)&gt;2*ENT,"Fara E","Ok")</f>
        <v>Ok</v>
      </c>
    </row>
    <row r="177" spans="5:8" x14ac:dyDescent="0.25">
      <c r="E177">
        <v>165</v>
      </c>
      <c r="F177" s="56">
        <v>20</v>
      </c>
      <c r="G177" t="s">
        <v>226</v>
      </c>
      <c r="H177" s="3" t="str">
        <f>IF(Qn-(F177-Ta)&gt;2*ENT,"Fara E","Ok")</f>
        <v>Ok</v>
      </c>
    </row>
    <row r="178" spans="5:8" x14ac:dyDescent="0.25">
      <c r="E178">
        <v>166</v>
      </c>
      <c r="F178" s="56">
        <v>20.02</v>
      </c>
      <c r="G178" t="s">
        <v>227</v>
      </c>
      <c r="H178" s="3" t="str">
        <f>IF(Qn-(F178-Ta)&gt;2*ENT,"Fara E","Ok")</f>
        <v>Ok</v>
      </c>
    </row>
    <row r="179" spans="5:8" x14ac:dyDescent="0.25">
      <c r="E179">
        <v>167</v>
      </c>
      <c r="F179" s="56">
        <v>20.04</v>
      </c>
      <c r="G179" t="s">
        <v>228</v>
      </c>
      <c r="H179" s="3" t="str">
        <f>IF(Qn-(F179-Ta)&gt;2*ENT,"Fara E","Ok")</f>
        <v>Ok</v>
      </c>
    </row>
    <row r="180" spans="5:8" x14ac:dyDescent="0.25">
      <c r="E180">
        <v>168</v>
      </c>
      <c r="F180" s="56">
        <v>20.02</v>
      </c>
      <c r="G180" t="s">
        <v>229</v>
      </c>
      <c r="H180" s="3" t="str">
        <f>IF(Qn-(F180-Ta)&gt;2*ENT,"Fara E","Ok")</f>
        <v>Ok</v>
      </c>
    </row>
    <row r="181" spans="5:8" x14ac:dyDescent="0.25">
      <c r="E181">
        <v>169</v>
      </c>
      <c r="F181" s="56">
        <v>20</v>
      </c>
      <c r="G181" t="s">
        <v>230</v>
      </c>
      <c r="H181" s="3" t="str">
        <f>IF(Qn-(F181-Ta)&gt;2*ENT,"Fara E","Ok")</f>
        <v>Ok</v>
      </c>
    </row>
    <row r="182" spans="5:8" x14ac:dyDescent="0.25">
      <c r="E182">
        <v>170</v>
      </c>
      <c r="F182" s="56">
        <v>20</v>
      </c>
      <c r="G182" t="s">
        <v>231</v>
      </c>
      <c r="H182" s="3" t="str">
        <f>IF(Qn-(F182-Ta)&gt;2*ENT,"Fara E","Ok")</f>
        <v>Ok</v>
      </c>
    </row>
    <row r="183" spans="5:8" x14ac:dyDescent="0.25">
      <c r="E183">
        <v>171</v>
      </c>
      <c r="F183" s="56">
        <v>20.02</v>
      </c>
      <c r="G183" t="s">
        <v>232</v>
      </c>
      <c r="H183" s="3" t="str">
        <f>IF(Qn-(F183-Ta)&gt;2*ENT,"Fara E","Ok")</f>
        <v>Ok</v>
      </c>
    </row>
    <row r="184" spans="5:8" x14ac:dyDescent="0.25">
      <c r="E184">
        <v>172</v>
      </c>
      <c r="F184" s="56">
        <v>20</v>
      </c>
      <c r="G184">
        <v>2000</v>
      </c>
      <c r="H184" s="3" t="str">
        <f>IF(Qn-(F184-Ta)&gt;2*ENT,"Fara E","Ok")</f>
        <v>Ok</v>
      </c>
    </row>
    <row r="185" spans="5:8" x14ac:dyDescent="0.25">
      <c r="E185">
        <v>173</v>
      </c>
      <c r="F185" s="56">
        <v>20</v>
      </c>
      <c r="G185">
        <v>2000</v>
      </c>
      <c r="H185" s="3" t="str">
        <f>IF(Qn-(F185-Ta)&gt;2*ENT,"Fara E","Ok")</f>
        <v>Ok</v>
      </c>
    </row>
    <row r="186" spans="5:8" x14ac:dyDescent="0.25">
      <c r="E186">
        <v>174</v>
      </c>
      <c r="F186" s="56">
        <v>19.98</v>
      </c>
      <c r="G186" t="s">
        <v>233</v>
      </c>
      <c r="H186" s="3" t="str">
        <f>IF(Qn-(F186-Ta)&gt;2*ENT,"Fara E","Ok")</f>
        <v>Ok</v>
      </c>
    </row>
    <row r="187" spans="5:8" x14ac:dyDescent="0.25">
      <c r="E187">
        <v>175</v>
      </c>
      <c r="F187" s="56">
        <v>20</v>
      </c>
      <c r="G187" t="s">
        <v>234</v>
      </c>
      <c r="H187" s="3" t="str">
        <f>IF(Qn-(F187-Ta)&gt;2*ENT,"Fara E","Ok")</f>
        <v>Ok</v>
      </c>
    </row>
    <row r="188" spans="5:8" x14ac:dyDescent="0.25">
      <c r="E188">
        <v>176</v>
      </c>
      <c r="F188" s="56">
        <v>20</v>
      </c>
      <c r="G188">
        <v>2000</v>
      </c>
      <c r="H188" s="3" t="str">
        <f>IF(Qn-(F188-Ta)&gt;2*ENT,"Fara E","Ok")</f>
        <v>Ok</v>
      </c>
    </row>
    <row r="189" spans="5:8" x14ac:dyDescent="0.25">
      <c r="E189">
        <v>177</v>
      </c>
      <c r="F189" s="56">
        <v>20</v>
      </c>
      <c r="G189">
        <v>2000</v>
      </c>
      <c r="H189" s="3" t="str">
        <f>IF(Qn-(F189-Ta)&gt;2*ENT,"Fara E","Ok")</f>
        <v>Ok</v>
      </c>
    </row>
    <row r="190" spans="5:8" x14ac:dyDescent="0.25">
      <c r="E190">
        <v>178</v>
      </c>
      <c r="F190" s="56">
        <v>20.02</v>
      </c>
      <c r="G190" t="s">
        <v>235</v>
      </c>
      <c r="H190" s="3" t="str">
        <f>IF(Qn-(F190-Ta)&gt;2*ENT,"Fara E","Ok")</f>
        <v>Ok</v>
      </c>
    </row>
    <row r="191" spans="5:8" x14ac:dyDescent="0.25">
      <c r="E191">
        <v>179</v>
      </c>
      <c r="F191" s="56">
        <v>20</v>
      </c>
      <c r="G191">
        <v>2000</v>
      </c>
      <c r="H191" s="3" t="str">
        <f>IF(Qn-(F191-Ta)&gt;2*ENT,"Fara E","Ok")</f>
        <v>Ok</v>
      </c>
    </row>
    <row r="192" spans="5:8" x14ac:dyDescent="0.25">
      <c r="E192">
        <v>180</v>
      </c>
      <c r="F192" s="56">
        <v>20.02</v>
      </c>
      <c r="G192" t="s">
        <v>236</v>
      </c>
      <c r="H192" s="3" t="str">
        <f>IF(Qn-(F192-Ta)&gt;2*ENT,"Fara E","Ok")</f>
        <v>Ok</v>
      </c>
    </row>
    <row r="193" spans="5:8" x14ac:dyDescent="0.25">
      <c r="E193">
        <v>181</v>
      </c>
      <c r="F193" s="56">
        <v>20.02</v>
      </c>
      <c r="G193" t="s">
        <v>237</v>
      </c>
      <c r="H193" s="3" t="str">
        <f>IF(Qn-(F193-Ta)&gt;2*ENT,"Fara E","Ok")</f>
        <v>Ok</v>
      </c>
    </row>
    <row r="194" spans="5:8" x14ac:dyDescent="0.25">
      <c r="E194">
        <v>182</v>
      </c>
      <c r="F194" s="56">
        <v>20.02</v>
      </c>
      <c r="G194" t="s">
        <v>238</v>
      </c>
      <c r="H194" s="3" t="str">
        <f>IF(Qn-(F194-Ta)&gt;2*ENT,"Fara E","Ok")</f>
        <v>Ok</v>
      </c>
    </row>
    <row r="195" spans="5:8" x14ac:dyDescent="0.25">
      <c r="E195">
        <v>183</v>
      </c>
      <c r="F195" s="56">
        <v>20.02</v>
      </c>
      <c r="G195" t="s">
        <v>239</v>
      </c>
      <c r="H195" s="3" t="str">
        <f>IF(Qn-(F195-Ta)&gt;2*ENT,"Fara E","Ok")</f>
        <v>Ok</v>
      </c>
    </row>
    <row r="196" spans="5:8" x14ac:dyDescent="0.25">
      <c r="E196">
        <v>184</v>
      </c>
      <c r="F196" s="56">
        <v>20</v>
      </c>
      <c r="G196" t="s">
        <v>240</v>
      </c>
      <c r="H196" s="3" t="str">
        <f>IF(Qn-(F196-Ta)&gt;2*ENT,"Fara E","Ok")</f>
        <v>Ok</v>
      </c>
    </row>
    <row r="197" spans="5:8" x14ac:dyDescent="0.25">
      <c r="E197">
        <v>185</v>
      </c>
      <c r="F197" s="56">
        <v>20</v>
      </c>
      <c r="G197">
        <v>2000</v>
      </c>
      <c r="H197" s="3" t="str">
        <f>IF(Qn-(F197-Ta)&gt;2*ENT,"Fara E","Ok")</f>
        <v>Ok</v>
      </c>
    </row>
    <row r="198" spans="5:8" x14ac:dyDescent="0.25">
      <c r="E198">
        <v>186</v>
      </c>
      <c r="F198" s="56">
        <v>20</v>
      </c>
      <c r="G198" t="s">
        <v>241</v>
      </c>
      <c r="H198" s="3" t="str">
        <f>IF(Qn-(F198-Ta)&gt;2*ENT,"Fara E","Ok")</f>
        <v>Ok</v>
      </c>
    </row>
    <row r="199" spans="5:8" x14ac:dyDescent="0.25">
      <c r="E199">
        <v>187</v>
      </c>
      <c r="F199" s="56">
        <v>20</v>
      </c>
      <c r="G199" t="s">
        <v>242</v>
      </c>
      <c r="H199" s="3" t="str">
        <f>IF(Qn-(F199-Ta)&gt;2*ENT,"Fara E","Ok")</f>
        <v>Ok</v>
      </c>
    </row>
    <row r="200" spans="5:8" x14ac:dyDescent="0.25">
      <c r="E200">
        <v>188</v>
      </c>
      <c r="F200" s="56">
        <v>20.02</v>
      </c>
      <c r="G200" t="s">
        <v>243</v>
      </c>
      <c r="H200" s="3" t="str">
        <f>IF(Qn-(F200-Ta)&gt;2*ENT,"Fara E","Ok")</f>
        <v>Ok</v>
      </c>
    </row>
    <row r="201" spans="5:8" x14ac:dyDescent="0.25">
      <c r="E201">
        <v>189</v>
      </c>
      <c r="F201" s="56">
        <v>20</v>
      </c>
      <c r="G201">
        <v>2000</v>
      </c>
      <c r="H201" s="3" t="str">
        <f>IF(Qn-(F201-Ta)&gt;2*ENT,"Fara E","Ok")</f>
        <v>Ok</v>
      </c>
    </row>
    <row r="202" spans="5:8" x14ac:dyDescent="0.25">
      <c r="E202">
        <v>190</v>
      </c>
      <c r="F202" s="56">
        <v>20.02</v>
      </c>
      <c r="G202" t="s">
        <v>244</v>
      </c>
      <c r="H202" s="3" t="str">
        <f>IF(Qn-(F202-Ta)&gt;2*ENT,"Fara E","Ok")</f>
        <v>Ok</v>
      </c>
    </row>
    <row r="203" spans="5:8" x14ac:dyDescent="0.25">
      <c r="E203">
        <v>191</v>
      </c>
      <c r="F203" s="56">
        <v>20</v>
      </c>
      <c r="G203" t="s">
        <v>245</v>
      </c>
      <c r="H203" s="3" t="str">
        <f>IF(Qn-(F203-Ta)&gt;2*ENT,"Fara E","Ok")</f>
        <v>Ok</v>
      </c>
    </row>
    <row r="204" spans="5:8" x14ac:dyDescent="0.25">
      <c r="E204">
        <v>192</v>
      </c>
      <c r="F204" s="56">
        <v>20.04</v>
      </c>
      <c r="G204" t="s">
        <v>246</v>
      </c>
      <c r="H204" s="3" t="str">
        <f>IF(Qn-(F204-Ta)&gt;2*ENT,"Fara E","Ok")</f>
        <v>Ok</v>
      </c>
    </row>
    <row r="205" spans="5:8" x14ac:dyDescent="0.25">
      <c r="E205">
        <v>193</v>
      </c>
      <c r="F205" s="56">
        <v>20.04</v>
      </c>
      <c r="G205" t="s">
        <v>247</v>
      </c>
      <c r="H205" s="3" t="str">
        <f>IF(Qn-(F205-Ta)&gt;2*ENT,"Fara E","Ok")</f>
        <v>Ok</v>
      </c>
    </row>
    <row r="206" spans="5:8" x14ac:dyDescent="0.25">
      <c r="E206">
        <v>194</v>
      </c>
      <c r="F206" s="56">
        <v>20.02</v>
      </c>
      <c r="G206" t="s">
        <v>248</v>
      </c>
      <c r="H206" s="3" t="str">
        <f>IF(Qn-(F206-Ta)&gt;2*ENT,"Fara E","Ok")</f>
        <v>Ok</v>
      </c>
    </row>
    <row r="207" spans="5:8" x14ac:dyDescent="0.25">
      <c r="E207">
        <v>195</v>
      </c>
      <c r="F207" s="56">
        <v>20.02</v>
      </c>
      <c r="G207" t="s">
        <v>249</v>
      </c>
      <c r="H207" s="3" t="str">
        <f>IF(Qn-(F207-Ta)&gt;2*ENT,"Fara E","Ok")</f>
        <v>Ok</v>
      </c>
    </row>
    <row r="208" spans="5:8" x14ac:dyDescent="0.25">
      <c r="E208">
        <v>196</v>
      </c>
      <c r="F208" s="56">
        <v>20.02</v>
      </c>
      <c r="G208" t="s">
        <v>250</v>
      </c>
      <c r="H208" s="3" t="str">
        <f>IF(Qn-(F208-Ta)&gt;2*ENT,"Fara E","Ok")</f>
        <v>Ok</v>
      </c>
    </row>
    <row r="209" spans="5:8" x14ac:dyDescent="0.25">
      <c r="E209">
        <v>197</v>
      </c>
      <c r="F209" s="56">
        <v>20</v>
      </c>
      <c r="G209" t="s">
        <v>251</v>
      </c>
      <c r="H209" s="3" t="str">
        <f>IF(Qn-(F209-Ta)&gt;2*ENT,"Fara E","Ok")</f>
        <v>Ok</v>
      </c>
    </row>
    <row r="210" spans="5:8" x14ac:dyDescent="0.25">
      <c r="E210">
        <v>198</v>
      </c>
      <c r="F210" s="56">
        <v>20</v>
      </c>
      <c r="G210" t="s">
        <v>252</v>
      </c>
      <c r="H210" s="3" t="str">
        <f>IF(Qn-(F210-Ta)&gt;2*ENT,"Fara E","Ok")</f>
        <v>Ok</v>
      </c>
    </row>
    <row r="211" spans="5:8" x14ac:dyDescent="0.25">
      <c r="E211">
        <v>199</v>
      </c>
      <c r="F211" s="56">
        <v>20.02</v>
      </c>
      <c r="G211" t="s">
        <v>253</v>
      </c>
      <c r="H211" s="3" t="str">
        <f>IF(Qn-(F211-Ta)&gt;2*ENT,"Fara E","Ok")</f>
        <v>Ok</v>
      </c>
    </row>
    <row r="212" spans="5:8" x14ac:dyDescent="0.25">
      <c r="E212">
        <v>200</v>
      </c>
      <c r="F212" s="56">
        <v>19.98</v>
      </c>
      <c r="G212" t="s">
        <v>254</v>
      </c>
      <c r="H212" s="3" t="str">
        <f>IF(Qn-(F212-Ta)&gt;2*ENT,"Fara E","Ok")</f>
        <v>Ok</v>
      </c>
    </row>
    <row r="213" spans="5:8" x14ac:dyDescent="0.25">
      <c r="E213">
        <v>201</v>
      </c>
      <c r="F213" s="56">
        <v>20.02</v>
      </c>
      <c r="G213" t="s">
        <v>255</v>
      </c>
      <c r="H213" s="3" t="str">
        <f>IF(Qn-(F213-Ta)&gt;2*ENT,"Fara E","Ok")</f>
        <v>Ok</v>
      </c>
    </row>
    <row r="214" spans="5:8" x14ac:dyDescent="0.25">
      <c r="E214">
        <v>202</v>
      </c>
      <c r="F214" s="56">
        <v>20.02</v>
      </c>
      <c r="G214" t="s">
        <v>256</v>
      </c>
      <c r="H214" s="3" t="str">
        <f>IF(Qn-(F214-Ta)&gt;2*ENT,"Fara E","Ok")</f>
        <v>Ok</v>
      </c>
    </row>
    <row r="215" spans="5:8" x14ac:dyDescent="0.25">
      <c r="E215">
        <v>203</v>
      </c>
      <c r="F215" s="56">
        <v>20.02</v>
      </c>
      <c r="G215" t="s">
        <v>257</v>
      </c>
      <c r="H215" s="3" t="str">
        <f>IF(Qn-(F215-Ta)&gt;2*ENT,"Fara E","Ok")</f>
        <v>Ok</v>
      </c>
    </row>
    <row r="216" spans="5:8" x14ac:dyDescent="0.25">
      <c r="E216">
        <v>204</v>
      </c>
      <c r="F216" s="56">
        <v>20.02</v>
      </c>
      <c r="G216" t="s">
        <v>258</v>
      </c>
      <c r="H216" s="3" t="str">
        <f>IF(Qn-(F216-Ta)&gt;2*ENT,"Fara E","Ok")</f>
        <v>Ok</v>
      </c>
    </row>
    <row r="217" spans="5:8" x14ac:dyDescent="0.25">
      <c r="E217">
        <v>205</v>
      </c>
      <c r="F217" s="56">
        <v>20.02</v>
      </c>
      <c r="G217" t="s">
        <v>259</v>
      </c>
      <c r="H217" s="3" t="str">
        <f>IF(Qn-(F217-Ta)&gt;2*ENT,"Fara E","Ok")</f>
        <v>Ok</v>
      </c>
    </row>
    <row r="218" spans="5:8" x14ac:dyDescent="0.25">
      <c r="E218">
        <v>206</v>
      </c>
      <c r="F218" s="56">
        <v>20</v>
      </c>
      <c r="G218" t="s">
        <v>260</v>
      </c>
      <c r="H218" s="3" t="str">
        <f>IF(Qn-(F218-Ta)&gt;2*ENT,"Fara E","Ok")</f>
        <v>Ok</v>
      </c>
    </row>
    <row r="219" spans="5:8" x14ac:dyDescent="0.25">
      <c r="E219">
        <v>207</v>
      </c>
      <c r="F219" s="56">
        <v>20.04</v>
      </c>
      <c r="G219" t="s">
        <v>261</v>
      </c>
      <c r="H219" s="3" t="str">
        <f>IF(Qn-(F219-Ta)&gt;2*ENT,"Fara E","Ok")</f>
        <v>Ok</v>
      </c>
    </row>
    <row r="220" spans="5:8" x14ac:dyDescent="0.25">
      <c r="E220">
        <v>208</v>
      </c>
      <c r="F220" s="56">
        <v>20.02</v>
      </c>
      <c r="G220" t="s">
        <v>262</v>
      </c>
      <c r="H220" s="3" t="str">
        <f>IF(Qn-(F220-Ta)&gt;2*ENT,"Fara E","Ok")</f>
        <v>Ok</v>
      </c>
    </row>
    <row r="221" spans="5:8" x14ac:dyDescent="0.25">
      <c r="E221">
        <v>209</v>
      </c>
      <c r="F221" s="56">
        <v>20.02</v>
      </c>
      <c r="G221" t="s">
        <v>263</v>
      </c>
      <c r="H221" s="3" t="str">
        <f>IF(Qn-(F221-Ta)&gt;2*ENT,"Fara E","Ok")</f>
        <v>Ok</v>
      </c>
    </row>
    <row r="222" spans="5:8" x14ac:dyDescent="0.25">
      <c r="E222">
        <v>210</v>
      </c>
      <c r="F222" s="56">
        <v>20</v>
      </c>
      <c r="G222">
        <v>2000</v>
      </c>
      <c r="H222" s="3" t="str">
        <f>IF(Qn-(F222-Ta)&gt;2*ENT,"Fara E","Ok")</f>
        <v>Ok</v>
      </c>
    </row>
    <row r="223" spans="5:8" x14ac:dyDescent="0.25">
      <c r="E223">
        <v>211</v>
      </c>
      <c r="F223" s="56">
        <v>20.02</v>
      </c>
      <c r="G223" t="s">
        <v>264</v>
      </c>
      <c r="H223" s="3" t="str">
        <f>IF(Qn-(F223-Ta)&gt;2*ENT,"Fara E","Ok")</f>
        <v>Ok</v>
      </c>
    </row>
    <row r="224" spans="5:8" x14ac:dyDescent="0.25">
      <c r="E224">
        <v>212</v>
      </c>
      <c r="F224" s="56">
        <v>20</v>
      </c>
      <c r="G224">
        <v>2000</v>
      </c>
      <c r="H224" s="3" t="str">
        <f>IF(Qn-(F224-Ta)&gt;2*ENT,"Fara E","Ok")</f>
        <v>Ok</v>
      </c>
    </row>
    <row r="225" spans="5:8" x14ac:dyDescent="0.25">
      <c r="E225">
        <v>213</v>
      </c>
      <c r="F225" s="56">
        <v>20.02</v>
      </c>
      <c r="G225" t="s">
        <v>265</v>
      </c>
      <c r="H225" s="3" t="str">
        <f>IF(Qn-(F225-Ta)&gt;2*ENT,"Fara E","Ok")</f>
        <v>Ok</v>
      </c>
    </row>
    <row r="226" spans="5:8" x14ac:dyDescent="0.25">
      <c r="E226">
        <v>214</v>
      </c>
      <c r="F226" s="56">
        <v>20.04</v>
      </c>
      <c r="G226" t="s">
        <v>266</v>
      </c>
      <c r="H226" s="3" t="str">
        <f>IF(Qn-(F226-Ta)&gt;2*ENT,"Fara E","Ok")</f>
        <v>Ok</v>
      </c>
    </row>
    <row r="227" spans="5:8" x14ac:dyDescent="0.25">
      <c r="E227">
        <v>215</v>
      </c>
      <c r="F227" s="56">
        <v>20</v>
      </c>
      <c r="G227" t="s">
        <v>267</v>
      </c>
      <c r="H227" s="3" t="str">
        <f>IF(Qn-(F227-Ta)&gt;2*ENT,"Fara E","Ok")</f>
        <v>Ok</v>
      </c>
    </row>
    <row r="228" spans="5:8" x14ac:dyDescent="0.25">
      <c r="E228">
        <v>216</v>
      </c>
      <c r="F228" s="56">
        <v>20</v>
      </c>
      <c r="G228">
        <v>2000</v>
      </c>
      <c r="H228" s="3" t="str">
        <f>IF(Qn-(F228-Ta)&gt;2*ENT,"Fara E","Ok")</f>
        <v>Ok</v>
      </c>
    </row>
    <row r="229" spans="5:8" x14ac:dyDescent="0.25">
      <c r="E229">
        <v>217</v>
      </c>
      <c r="F229" s="56">
        <v>20.02</v>
      </c>
      <c r="G229" t="s">
        <v>268</v>
      </c>
      <c r="H229" s="3" t="str">
        <f>IF(Qn-(F229-Ta)&gt;2*ENT,"Fara E","Ok")</f>
        <v>Ok</v>
      </c>
    </row>
    <row r="230" spans="5:8" x14ac:dyDescent="0.25">
      <c r="E230">
        <v>218</v>
      </c>
      <c r="F230" s="56">
        <v>20</v>
      </c>
      <c r="G230">
        <v>2000</v>
      </c>
      <c r="H230" s="3" t="str">
        <f>IF(Qn-(F230-Ta)&gt;2*ENT,"Fara E","Ok")</f>
        <v>Ok</v>
      </c>
    </row>
    <row r="231" spans="5:8" x14ac:dyDescent="0.25">
      <c r="E231">
        <v>219</v>
      </c>
      <c r="F231" s="56">
        <v>20</v>
      </c>
      <c r="G231" t="s">
        <v>269</v>
      </c>
      <c r="H231" s="3" t="str">
        <f>IF(Qn-(F231-Ta)&gt;2*ENT,"Fara E","Ok")</f>
        <v>Ok</v>
      </c>
    </row>
    <row r="232" spans="5:8" x14ac:dyDescent="0.25">
      <c r="E232">
        <v>220</v>
      </c>
      <c r="F232" s="56">
        <v>20.02</v>
      </c>
      <c r="G232" t="s">
        <v>270</v>
      </c>
      <c r="H232" s="3" t="str">
        <f>IF(Qn-(F232-Ta)&gt;2*ENT,"Fara E","Ok")</f>
        <v>Ok</v>
      </c>
    </row>
    <row r="233" spans="5:8" x14ac:dyDescent="0.25">
      <c r="E233">
        <v>221</v>
      </c>
      <c r="F233" s="56">
        <v>19.98</v>
      </c>
      <c r="G233" t="s">
        <v>271</v>
      </c>
      <c r="H233" s="3" t="str">
        <f>IF(Qn-(F233-Ta)&gt;2*ENT,"Fara E","Ok")</f>
        <v>Ok</v>
      </c>
    </row>
    <row r="234" spans="5:8" x14ac:dyDescent="0.25">
      <c r="E234">
        <v>222</v>
      </c>
      <c r="F234" s="56">
        <v>20</v>
      </c>
      <c r="G234" t="s">
        <v>272</v>
      </c>
      <c r="H234" s="3" t="str">
        <f>IF(Qn-(F234-Ta)&gt;2*ENT,"Fara E","Ok")</f>
        <v>Ok</v>
      </c>
    </row>
    <row r="235" spans="5:8" x14ac:dyDescent="0.25">
      <c r="E235">
        <v>223</v>
      </c>
      <c r="F235" s="56">
        <v>19.98</v>
      </c>
      <c r="G235" t="s">
        <v>273</v>
      </c>
      <c r="H235" s="3" t="str">
        <f>IF(Qn-(F235-Ta)&gt;2*ENT,"Fara E","Ok")</f>
        <v>Ok</v>
      </c>
    </row>
    <row r="236" spans="5:8" x14ac:dyDescent="0.25">
      <c r="E236">
        <v>224</v>
      </c>
      <c r="F236" s="56">
        <v>20</v>
      </c>
      <c r="G236" t="s">
        <v>274</v>
      </c>
      <c r="H236" s="3" t="str">
        <f>IF(Qn-(F236-Ta)&gt;2*ENT,"Fara E","Ok")</f>
        <v>Ok</v>
      </c>
    </row>
    <row r="237" spans="5:8" x14ac:dyDescent="0.25">
      <c r="E237">
        <v>225</v>
      </c>
      <c r="F237" s="56">
        <v>20</v>
      </c>
      <c r="G237">
        <v>2000</v>
      </c>
      <c r="H237" s="3" t="str">
        <f>IF(Qn-(F237-Ta)&gt;2*ENT,"Fara E","Ok")</f>
        <v>Ok</v>
      </c>
    </row>
    <row r="238" spans="5:8" x14ac:dyDescent="0.25">
      <c r="E238">
        <v>226</v>
      </c>
      <c r="F238" s="56">
        <v>19.98</v>
      </c>
      <c r="G238" t="s">
        <v>275</v>
      </c>
      <c r="H238" s="3" t="str">
        <f>IF(Qn-(F238-Ta)&gt;2*ENT,"Fara E","Ok")</f>
        <v>Ok</v>
      </c>
    </row>
    <row r="239" spans="5:8" x14ac:dyDescent="0.25">
      <c r="E239">
        <v>227</v>
      </c>
      <c r="F239" s="56">
        <v>20</v>
      </c>
      <c r="G239">
        <v>2000</v>
      </c>
      <c r="H239" s="3" t="str">
        <f>IF(Qn-(F239-Ta)&gt;2*ENT,"Fara E","Ok")</f>
        <v>Ok</v>
      </c>
    </row>
    <row r="240" spans="5:8" x14ac:dyDescent="0.25">
      <c r="E240">
        <v>228</v>
      </c>
      <c r="F240" s="56">
        <v>20.02</v>
      </c>
      <c r="G240" t="s">
        <v>276</v>
      </c>
      <c r="H240" s="3" t="str">
        <f>IF(Qn-(F240-Ta)&gt;2*ENT,"Fara E","Ok")</f>
        <v>Ok</v>
      </c>
    </row>
    <row r="241" spans="5:8" x14ac:dyDescent="0.25">
      <c r="E241">
        <v>229</v>
      </c>
      <c r="F241" s="56">
        <v>20.02</v>
      </c>
      <c r="G241" t="s">
        <v>277</v>
      </c>
      <c r="H241" s="3" t="str">
        <f>IF(Qn-(F241-Ta)&gt;2*ENT,"Fara E","Ok")</f>
        <v>Ok</v>
      </c>
    </row>
    <row r="242" spans="5:8" x14ac:dyDescent="0.25">
      <c r="E242">
        <v>230</v>
      </c>
      <c r="F242" s="56">
        <v>20.02</v>
      </c>
      <c r="G242" t="s">
        <v>278</v>
      </c>
      <c r="H242" s="3" t="str">
        <f>IF(Qn-(F242-Ta)&gt;2*ENT,"Fara E","Ok")</f>
        <v>Ok</v>
      </c>
    </row>
    <row r="243" spans="5:8" x14ac:dyDescent="0.25">
      <c r="E243">
        <v>231</v>
      </c>
      <c r="F243" s="56">
        <v>20.02</v>
      </c>
      <c r="G243" t="s">
        <v>279</v>
      </c>
      <c r="H243" s="3" t="str">
        <f>IF(Qn-(F243-Ta)&gt;2*ENT,"Fara E","Ok")</f>
        <v>Ok</v>
      </c>
    </row>
    <row r="244" spans="5:8" x14ac:dyDescent="0.25">
      <c r="E244">
        <v>232</v>
      </c>
      <c r="F244" s="56">
        <v>20</v>
      </c>
      <c r="G244" t="s">
        <v>280</v>
      </c>
      <c r="H244" s="3" t="str">
        <f>IF(Qn-(F244-Ta)&gt;2*ENT,"Fara E","Ok")</f>
        <v>Ok</v>
      </c>
    </row>
    <row r="245" spans="5:8" x14ac:dyDescent="0.25">
      <c r="E245">
        <v>233</v>
      </c>
      <c r="F245" s="56">
        <v>20.04</v>
      </c>
      <c r="G245" t="s">
        <v>281</v>
      </c>
      <c r="H245" s="3" t="str">
        <f>IF(Qn-(F245-Ta)&gt;2*ENT,"Fara E","Ok")</f>
        <v>Ok</v>
      </c>
    </row>
    <row r="246" spans="5:8" x14ac:dyDescent="0.25">
      <c r="E246">
        <v>234</v>
      </c>
      <c r="F246" s="56">
        <v>20</v>
      </c>
      <c r="G246" t="s">
        <v>282</v>
      </c>
      <c r="H246" s="3" t="str">
        <f>IF(Qn-(F246-Ta)&gt;2*ENT,"Fara E","Ok")</f>
        <v>Ok</v>
      </c>
    </row>
    <row r="247" spans="5:8" x14ac:dyDescent="0.25">
      <c r="E247">
        <v>235</v>
      </c>
      <c r="F247" s="56">
        <v>20.02</v>
      </c>
      <c r="G247" t="s">
        <v>283</v>
      </c>
      <c r="H247" s="3" t="str">
        <f>IF(Qn-(F247-Ta)&gt;2*ENT,"Fara E","Ok")</f>
        <v>Ok</v>
      </c>
    </row>
    <row r="248" spans="5:8" x14ac:dyDescent="0.25">
      <c r="E248">
        <v>236</v>
      </c>
      <c r="F248" s="56">
        <v>20.02</v>
      </c>
      <c r="G248" t="s">
        <v>284</v>
      </c>
      <c r="H248" s="3" t="str">
        <f>IF(Qn-(F248-Ta)&gt;2*ENT,"Fara E","Ok")</f>
        <v>Ok</v>
      </c>
    </row>
    <row r="249" spans="5:8" x14ac:dyDescent="0.25">
      <c r="E249">
        <v>237</v>
      </c>
      <c r="F249" s="56">
        <v>20</v>
      </c>
      <c r="G249" t="s">
        <v>285</v>
      </c>
      <c r="H249" s="3" t="str">
        <f>IF(Qn-(F249-Ta)&gt;2*ENT,"Fara E","Ok")</f>
        <v>Ok</v>
      </c>
    </row>
    <row r="250" spans="5:8" x14ac:dyDescent="0.25">
      <c r="E250">
        <v>238</v>
      </c>
      <c r="F250" s="56">
        <v>20.02</v>
      </c>
      <c r="G250" t="s">
        <v>286</v>
      </c>
      <c r="H250" s="3" t="str">
        <f>IF(Qn-(F250-Ta)&gt;2*ENT,"Fara E","Ok")</f>
        <v>Ok</v>
      </c>
    </row>
    <row r="251" spans="5:8" x14ac:dyDescent="0.25">
      <c r="E251">
        <v>239</v>
      </c>
      <c r="F251" s="56">
        <v>20.02</v>
      </c>
      <c r="G251" t="s">
        <v>287</v>
      </c>
      <c r="H251" s="3" t="str">
        <f>IF(Qn-(F251-Ta)&gt;2*ENT,"Fara E","Ok")</f>
        <v>Ok</v>
      </c>
    </row>
    <row r="252" spans="5:8" x14ac:dyDescent="0.25">
      <c r="E252">
        <v>240</v>
      </c>
      <c r="F252" s="56">
        <v>20</v>
      </c>
      <c r="G252">
        <v>2000</v>
      </c>
      <c r="H252" s="3" t="str">
        <f>IF(Qn-(F252-Ta)&gt;2*ENT,"Fara E","Ok")</f>
        <v>Ok</v>
      </c>
    </row>
    <row r="253" spans="5:8" x14ac:dyDescent="0.25">
      <c r="E253">
        <v>241</v>
      </c>
      <c r="F253" s="56">
        <v>20.02</v>
      </c>
      <c r="G253" t="s">
        <v>288</v>
      </c>
      <c r="H253" s="3" t="str">
        <f>IF(Qn-(F253-Ta)&gt;2*ENT,"Fara E","Ok")</f>
        <v>Ok</v>
      </c>
    </row>
    <row r="254" spans="5:8" x14ac:dyDescent="0.25">
      <c r="E254">
        <v>242</v>
      </c>
      <c r="F254" s="56">
        <v>20</v>
      </c>
      <c r="G254">
        <v>2000</v>
      </c>
      <c r="H254" s="3" t="str">
        <f>IF(Qn-(F254-Ta)&gt;2*ENT,"Fara E","Ok")</f>
        <v>Ok</v>
      </c>
    </row>
    <row r="255" spans="5:8" x14ac:dyDescent="0.25">
      <c r="E255">
        <v>243</v>
      </c>
      <c r="F255" s="56">
        <v>20.02</v>
      </c>
      <c r="G255" t="s">
        <v>289</v>
      </c>
      <c r="H255" s="3" t="str">
        <f>IF(Qn-(F255-Ta)&gt;2*ENT,"Fara E","Ok")</f>
        <v>Ok</v>
      </c>
    </row>
    <row r="256" spans="5:8" x14ac:dyDescent="0.25">
      <c r="E256">
        <v>244</v>
      </c>
      <c r="F256" s="56">
        <v>20</v>
      </c>
      <c r="G256">
        <v>2000</v>
      </c>
      <c r="H256" s="3" t="str">
        <f>IF(Qn-(F256-Ta)&gt;2*ENT,"Fara E","Ok")</f>
        <v>Ok</v>
      </c>
    </row>
    <row r="257" spans="5:8" x14ac:dyDescent="0.25">
      <c r="E257">
        <v>245</v>
      </c>
      <c r="F257" s="56">
        <v>20.02</v>
      </c>
      <c r="G257" t="s">
        <v>290</v>
      </c>
      <c r="H257" s="3" t="str">
        <f>IF(Qn-(F257-Ta)&gt;2*ENT,"Fara E","Ok")</f>
        <v>Ok</v>
      </c>
    </row>
    <row r="258" spans="5:8" x14ac:dyDescent="0.25">
      <c r="E258">
        <v>246</v>
      </c>
      <c r="F258" s="56">
        <v>20</v>
      </c>
      <c r="G258">
        <v>2000</v>
      </c>
      <c r="H258" s="3" t="str">
        <f>IF(Qn-(F258-Ta)&gt;2*ENT,"Fara E","Ok")</f>
        <v>Ok</v>
      </c>
    </row>
    <row r="259" spans="5:8" x14ac:dyDescent="0.25">
      <c r="E259">
        <v>247</v>
      </c>
      <c r="F259" s="56">
        <v>20</v>
      </c>
      <c r="G259" t="s">
        <v>291</v>
      </c>
      <c r="H259" s="3" t="str">
        <f>IF(Qn-(F259-Ta)&gt;2*ENT,"Fara E","Ok")</f>
        <v>Ok</v>
      </c>
    </row>
    <row r="260" spans="5:8" x14ac:dyDescent="0.25">
      <c r="E260">
        <v>248</v>
      </c>
      <c r="F260" s="56">
        <v>20.04</v>
      </c>
      <c r="G260" t="s">
        <v>292</v>
      </c>
      <c r="H260" s="3" t="str">
        <f>IF(Qn-(F260-Ta)&gt;2*ENT,"Fara E","Ok")</f>
        <v>Ok</v>
      </c>
    </row>
    <row r="261" spans="5:8" x14ac:dyDescent="0.25">
      <c r="E261">
        <v>249</v>
      </c>
      <c r="F261" s="56">
        <v>20.02</v>
      </c>
      <c r="G261" t="s">
        <v>293</v>
      </c>
      <c r="H261" s="3" t="str">
        <f>IF(Qn-(F261-Ta)&gt;2*ENT,"Fara E","Ok")</f>
        <v>Ok</v>
      </c>
    </row>
    <row r="262" spans="5:8" x14ac:dyDescent="0.25">
      <c r="E262">
        <v>250</v>
      </c>
      <c r="F262" s="56">
        <v>20.02</v>
      </c>
      <c r="G262" t="s">
        <v>294</v>
      </c>
      <c r="H262" s="3" t="str">
        <f>IF(Qn-(F262-Ta)&gt;2*ENT,"Fara E","Ok")</f>
        <v>Ok</v>
      </c>
    </row>
    <row r="263" spans="5:8" x14ac:dyDescent="0.25">
      <c r="E263">
        <v>251</v>
      </c>
      <c r="F263" s="56">
        <v>20.02</v>
      </c>
      <c r="G263" t="s">
        <v>295</v>
      </c>
      <c r="H263" s="3" t="str">
        <f>IF(Qn-(F263-Ta)&gt;2*ENT,"Fara E","Ok")</f>
        <v>Ok</v>
      </c>
    </row>
    <row r="264" spans="5:8" x14ac:dyDescent="0.25">
      <c r="E264">
        <v>252</v>
      </c>
      <c r="F264" s="56">
        <v>20.04</v>
      </c>
      <c r="G264" t="s">
        <v>296</v>
      </c>
      <c r="H264" s="3" t="str">
        <f>IF(Qn-(F264-Ta)&gt;2*ENT,"Fara E","Ok")</f>
        <v>Ok</v>
      </c>
    </row>
    <row r="265" spans="5:8" x14ac:dyDescent="0.25">
      <c r="E265">
        <v>253</v>
      </c>
      <c r="F265" s="56">
        <v>19.98</v>
      </c>
      <c r="G265" t="s">
        <v>297</v>
      </c>
      <c r="H265" s="3" t="str">
        <f>IF(Qn-(F265-Ta)&gt;2*ENT,"Fara E","Ok")</f>
        <v>Ok</v>
      </c>
    </row>
    <row r="266" spans="5:8" x14ac:dyDescent="0.25">
      <c r="E266">
        <v>254</v>
      </c>
      <c r="F266" s="56">
        <v>20</v>
      </c>
      <c r="G266">
        <v>2000</v>
      </c>
      <c r="H266" s="3" t="str">
        <f>IF(Qn-(F266-Ta)&gt;2*ENT,"Fara E","Ok")</f>
        <v>Ok</v>
      </c>
    </row>
    <row r="267" spans="5:8" x14ac:dyDescent="0.25">
      <c r="E267">
        <v>255</v>
      </c>
      <c r="F267" s="56">
        <v>20</v>
      </c>
      <c r="G267">
        <v>2000</v>
      </c>
      <c r="H267" s="3" t="str">
        <f>IF(Qn-(F267-Ta)&gt;2*ENT,"Fara E","Ok")</f>
        <v>Ok</v>
      </c>
    </row>
    <row r="268" spans="5:8" x14ac:dyDescent="0.25">
      <c r="E268">
        <v>256</v>
      </c>
      <c r="F268" s="56">
        <v>20</v>
      </c>
      <c r="G268">
        <v>2000</v>
      </c>
      <c r="H268" s="3" t="str">
        <f>IF(Qn-(F268-Ta)&gt;2*ENT,"Fara E","Ok")</f>
        <v>Ok</v>
      </c>
    </row>
    <row r="269" spans="5:8" x14ac:dyDescent="0.25">
      <c r="E269">
        <v>257</v>
      </c>
      <c r="F269" s="56">
        <v>19.98</v>
      </c>
      <c r="G269" t="s">
        <v>298</v>
      </c>
      <c r="H269" s="3" t="str">
        <f>IF(Qn-(F269-Ta)&gt;2*ENT,"Fara E","Ok")</f>
        <v>Ok</v>
      </c>
    </row>
    <row r="270" spans="5:8" x14ac:dyDescent="0.25">
      <c r="E270">
        <v>258</v>
      </c>
      <c r="F270" s="56">
        <v>20.04</v>
      </c>
      <c r="G270" t="s">
        <v>299</v>
      </c>
      <c r="H270" s="3" t="str">
        <f>IF(Qn-(F270-Ta)&gt;2*ENT,"Fara E","Ok")</f>
        <v>Ok</v>
      </c>
    </row>
    <row r="271" spans="5:8" x14ac:dyDescent="0.25">
      <c r="E271">
        <v>259</v>
      </c>
      <c r="F271" s="56">
        <v>20.02</v>
      </c>
      <c r="G271" t="s">
        <v>300</v>
      </c>
      <c r="H271" s="3" t="str">
        <f>IF(Qn-(F271-Ta)&gt;2*ENT,"Fara E","Ok")</f>
        <v>Ok</v>
      </c>
    </row>
    <row r="272" spans="5:8" x14ac:dyDescent="0.25">
      <c r="E272">
        <v>260</v>
      </c>
      <c r="F272" s="56">
        <v>20.02</v>
      </c>
      <c r="G272" t="s">
        <v>301</v>
      </c>
      <c r="H272" s="3" t="str">
        <f>IF(Qn-(F272-Ta)&gt;2*ENT,"Fara E","Ok")</f>
        <v>Ok</v>
      </c>
    </row>
    <row r="273" spans="5:8" x14ac:dyDescent="0.25">
      <c r="E273">
        <v>261</v>
      </c>
      <c r="F273" s="56">
        <v>19.98</v>
      </c>
      <c r="G273" t="s">
        <v>302</v>
      </c>
      <c r="H273" s="3" t="str">
        <f>IF(Qn-(F273-Ta)&gt;2*ENT,"Fara E","Ok")</f>
        <v>Ok</v>
      </c>
    </row>
    <row r="274" spans="5:8" x14ac:dyDescent="0.25">
      <c r="E274">
        <v>262</v>
      </c>
      <c r="F274" s="56">
        <v>20</v>
      </c>
      <c r="G274">
        <v>2000</v>
      </c>
      <c r="H274" s="3" t="str">
        <f>IF(Qn-(F274-Ta)&gt;2*ENT,"Fara E","Ok")</f>
        <v>Ok</v>
      </c>
    </row>
    <row r="275" spans="5:8" x14ac:dyDescent="0.25">
      <c r="E275">
        <v>263</v>
      </c>
      <c r="F275" s="56">
        <v>20.02</v>
      </c>
      <c r="G275" t="s">
        <v>303</v>
      </c>
      <c r="H275" s="3" t="str">
        <f>IF(Qn-(F275-Ta)&gt;2*ENT,"Fara E","Ok")</f>
        <v>Ok</v>
      </c>
    </row>
    <row r="276" spans="5:8" x14ac:dyDescent="0.25">
      <c r="E276">
        <v>264</v>
      </c>
      <c r="F276" s="56">
        <v>20</v>
      </c>
      <c r="G276" t="s">
        <v>304</v>
      </c>
      <c r="H276" s="3" t="str">
        <f>IF(Qn-(F276-Ta)&gt;2*ENT,"Fara E","Ok")</f>
        <v>Ok</v>
      </c>
    </row>
    <row r="277" spans="5:8" x14ac:dyDescent="0.25">
      <c r="E277">
        <v>265</v>
      </c>
      <c r="F277" s="56">
        <v>20.04</v>
      </c>
      <c r="G277" t="s">
        <v>305</v>
      </c>
      <c r="H277" s="3" t="str">
        <f>IF(Qn-(F277-Ta)&gt;2*ENT,"Fara E","Ok")</f>
        <v>Ok</v>
      </c>
    </row>
    <row r="278" spans="5:8" x14ac:dyDescent="0.25">
      <c r="E278">
        <v>266</v>
      </c>
      <c r="F278" s="56">
        <v>20.02</v>
      </c>
      <c r="G278" t="s">
        <v>306</v>
      </c>
      <c r="H278" s="3" t="str">
        <f>IF(Qn-(F278-Ta)&gt;2*ENT,"Fara E","Ok")</f>
        <v>Ok</v>
      </c>
    </row>
    <row r="279" spans="5:8" x14ac:dyDescent="0.25">
      <c r="E279">
        <v>267</v>
      </c>
      <c r="F279" s="56">
        <v>20.04</v>
      </c>
      <c r="G279" t="s">
        <v>307</v>
      </c>
      <c r="H279" s="3" t="str">
        <f>IF(Qn-(F279-Ta)&gt;2*ENT,"Fara E","Ok")</f>
        <v>Ok</v>
      </c>
    </row>
    <row r="280" spans="5:8" x14ac:dyDescent="0.25">
      <c r="E280">
        <v>268</v>
      </c>
      <c r="F280" s="56">
        <v>20.02</v>
      </c>
      <c r="G280" t="s">
        <v>308</v>
      </c>
      <c r="H280" s="3" t="str">
        <f>IF(Qn-(F280-Ta)&gt;2*ENT,"Fara E","Ok")</f>
        <v>Ok</v>
      </c>
    </row>
    <row r="281" spans="5:8" x14ac:dyDescent="0.25">
      <c r="E281">
        <v>269</v>
      </c>
      <c r="F281" s="56">
        <v>20.04</v>
      </c>
      <c r="G281" t="s">
        <v>309</v>
      </c>
      <c r="H281" s="3" t="str">
        <f>IF(Qn-(F281-Ta)&gt;2*ENT,"Fara E","Ok")</f>
        <v>Ok</v>
      </c>
    </row>
    <row r="282" spans="5:8" x14ac:dyDescent="0.25">
      <c r="E282">
        <v>270</v>
      </c>
      <c r="F282" s="56">
        <v>19.98</v>
      </c>
      <c r="G282" t="s">
        <v>310</v>
      </c>
      <c r="H282" s="3" t="str">
        <f>IF(Qn-(F282-Ta)&gt;2*ENT,"Fara E","Ok")</f>
        <v>Ok</v>
      </c>
    </row>
    <row r="283" spans="5:8" x14ac:dyDescent="0.25">
      <c r="E283">
        <v>271</v>
      </c>
      <c r="F283" s="56">
        <v>20.04</v>
      </c>
      <c r="G283" t="s">
        <v>311</v>
      </c>
      <c r="H283" s="3" t="str">
        <f>IF(Qn-(F283-Ta)&gt;2*ENT,"Fara E","Ok")</f>
        <v>Ok</v>
      </c>
    </row>
    <row r="284" spans="5:8" x14ac:dyDescent="0.25">
      <c r="E284">
        <v>272</v>
      </c>
      <c r="F284" s="56">
        <v>20</v>
      </c>
      <c r="G284" t="s">
        <v>312</v>
      </c>
      <c r="H284" s="3" t="str">
        <f>IF(Qn-(F284-Ta)&gt;2*ENT,"Fara E","Ok")</f>
        <v>Ok</v>
      </c>
    </row>
    <row r="285" spans="5:8" x14ac:dyDescent="0.25">
      <c r="E285">
        <v>273</v>
      </c>
      <c r="F285" s="56">
        <v>20</v>
      </c>
      <c r="G285" t="s">
        <v>313</v>
      </c>
      <c r="H285" s="3" t="str">
        <f>IF(Qn-(F285-Ta)&gt;2*ENT,"Fara E","Ok")</f>
        <v>Ok</v>
      </c>
    </row>
    <row r="286" spans="5:8" x14ac:dyDescent="0.25">
      <c r="E286">
        <v>274</v>
      </c>
      <c r="F286" s="56">
        <v>20</v>
      </c>
      <c r="G286" t="s">
        <v>314</v>
      </c>
      <c r="H286" s="3" t="str">
        <f>IF(Qn-(F286-Ta)&gt;2*ENT,"Fara E","Ok")</f>
        <v>Ok</v>
      </c>
    </row>
    <row r="287" spans="5:8" x14ac:dyDescent="0.25">
      <c r="E287">
        <v>275</v>
      </c>
      <c r="F287" s="56">
        <v>20.02</v>
      </c>
      <c r="G287" t="s">
        <v>315</v>
      </c>
      <c r="H287" s="3" t="str">
        <f>IF(Qn-(F287-Ta)&gt;2*ENT,"Fara E","Ok")</f>
        <v>Ok</v>
      </c>
    </row>
    <row r="288" spans="5:8" x14ac:dyDescent="0.25">
      <c r="E288">
        <v>276</v>
      </c>
      <c r="F288" s="56">
        <v>20</v>
      </c>
      <c r="G288">
        <v>2000</v>
      </c>
      <c r="H288" s="3" t="str">
        <f>IF(Qn-(F288-Ta)&gt;2*ENT,"Fara E","Ok")</f>
        <v>Ok</v>
      </c>
    </row>
    <row r="289" spans="5:8" x14ac:dyDescent="0.25">
      <c r="E289">
        <v>277</v>
      </c>
      <c r="F289" s="56">
        <v>20</v>
      </c>
      <c r="G289">
        <v>2000</v>
      </c>
      <c r="H289" s="3" t="str">
        <f>IF(Qn-(F289-Ta)&gt;2*ENT,"Fara E","Ok")</f>
        <v>Ok</v>
      </c>
    </row>
    <row r="290" spans="5:8" x14ac:dyDescent="0.25">
      <c r="E290">
        <v>278</v>
      </c>
      <c r="F290" s="56">
        <v>20.02</v>
      </c>
      <c r="G290" t="s">
        <v>316</v>
      </c>
      <c r="H290" s="3" t="str">
        <f>IF(Qn-(F290-Ta)&gt;2*ENT,"Fara E","Ok")</f>
        <v>Ok</v>
      </c>
    </row>
    <row r="291" spans="5:8" x14ac:dyDescent="0.25">
      <c r="E291">
        <v>279</v>
      </c>
      <c r="F291" s="56">
        <v>20.02</v>
      </c>
      <c r="G291" t="s">
        <v>317</v>
      </c>
      <c r="H291" s="3" t="str">
        <f>IF(Qn-(F291-Ta)&gt;2*ENT,"Fara E","Ok")</f>
        <v>Ok</v>
      </c>
    </row>
    <row r="292" spans="5:8" x14ac:dyDescent="0.25">
      <c r="E292">
        <v>280</v>
      </c>
      <c r="F292" s="56">
        <v>20.02</v>
      </c>
      <c r="G292" t="s">
        <v>318</v>
      </c>
      <c r="H292" s="3" t="str">
        <f>IF(Qn-(F292-Ta)&gt;2*ENT,"Fara E","Ok")</f>
        <v>Ok</v>
      </c>
    </row>
    <row r="293" spans="5:8" x14ac:dyDescent="0.25">
      <c r="E293">
        <v>281</v>
      </c>
      <c r="F293" s="56">
        <v>20</v>
      </c>
      <c r="G293" t="s">
        <v>319</v>
      </c>
      <c r="H293" s="3" t="str">
        <f>IF(Qn-(F293-Ta)&gt;2*ENT,"Fara E","Ok")</f>
        <v>Ok</v>
      </c>
    </row>
    <row r="294" spans="5:8" x14ac:dyDescent="0.25">
      <c r="E294">
        <v>282</v>
      </c>
      <c r="F294" s="56">
        <v>20.02</v>
      </c>
      <c r="G294" t="s">
        <v>320</v>
      </c>
      <c r="H294" s="3" t="str">
        <f>IF(Qn-(F294-Ta)&gt;2*ENT,"Fara E","Ok")</f>
        <v>Ok</v>
      </c>
    </row>
    <row r="295" spans="5:8" x14ac:dyDescent="0.25">
      <c r="E295">
        <v>283</v>
      </c>
      <c r="F295" s="56">
        <v>20.02</v>
      </c>
      <c r="G295" t="s">
        <v>321</v>
      </c>
      <c r="H295" s="3" t="str">
        <f>IF(Qn-(F295-Ta)&gt;2*ENT,"Fara E","Ok")</f>
        <v>Ok</v>
      </c>
    </row>
    <row r="296" spans="5:8" x14ac:dyDescent="0.25">
      <c r="E296">
        <v>284</v>
      </c>
      <c r="F296" s="56">
        <v>20</v>
      </c>
      <c r="G296">
        <v>2000</v>
      </c>
      <c r="H296" s="3" t="str">
        <f>IF(Qn-(F296-Ta)&gt;2*ENT,"Fara E","Ok")</f>
        <v>Ok</v>
      </c>
    </row>
    <row r="297" spans="5:8" x14ac:dyDescent="0.25">
      <c r="E297">
        <v>285</v>
      </c>
      <c r="F297" s="56">
        <v>20</v>
      </c>
      <c r="G297">
        <v>2000</v>
      </c>
      <c r="H297" s="3" t="str">
        <f>IF(Qn-(F297-Ta)&gt;2*ENT,"Fara E","Ok")</f>
        <v>Ok</v>
      </c>
    </row>
    <row r="298" spans="5:8" x14ac:dyDescent="0.25">
      <c r="E298">
        <v>286</v>
      </c>
      <c r="F298" s="56">
        <v>20.059999999999999</v>
      </c>
      <c r="G298" t="s">
        <v>322</v>
      </c>
      <c r="H298" s="3" t="str">
        <f>IF(Qn-(F298-Ta)&gt;2*ENT,"Fara E","Ok")</f>
        <v>Ok</v>
      </c>
    </row>
    <row r="299" spans="5:8" x14ac:dyDescent="0.25">
      <c r="E299">
        <v>287</v>
      </c>
      <c r="F299" s="56">
        <v>20.02</v>
      </c>
      <c r="G299" t="s">
        <v>323</v>
      </c>
      <c r="H299" s="3" t="str">
        <f>IF(Qn-(F299-Ta)&gt;2*ENT,"Fara E","Ok")</f>
        <v>Ok</v>
      </c>
    </row>
    <row r="300" spans="5:8" x14ac:dyDescent="0.25">
      <c r="E300">
        <v>288</v>
      </c>
      <c r="F300" s="56">
        <v>20.04</v>
      </c>
      <c r="G300" t="s">
        <v>324</v>
      </c>
      <c r="H300" s="3" t="str">
        <f>IF(Qn-(F300-Ta)&gt;2*ENT,"Fara E","Ok")</f>
        <v>Ok</v>
      </c>
    </row>
    <row r="301" spans="5:8" x14ac:dyDescent="0.25">
      <c r="E301">
        <v>289</v>
      </c>
      <c r="F301" s="56">
        <v>20.02</v>
      </c>
      <c r="G301" t="s">
        <v>325</v>
      </c>
      <c r="H301" s="3" t="str">
        <f>IF(Qn-(F301-Ta)&gt;2*ENT,"Fara E","Ok")</f>
        <v>Ok</v>
      </c>
    </row>
    <row r="302" spans="5:8" x14ac:dyDescent="0.25">
      <c r="E302">
        <v>290</v>
      </c>
      <c r="F302" s="56">
        <v>20.04</v>
      </c>
      <c r="G302" t="s">
        <v>326</v>
      </c>
      <c r="H302" s="3" t="str">
        <f>IF(Qn-(F302-Ta)&gt;2*ENT,"Fara E","Ok")</f>
        <v>Ok</v>
      </c>
    </row>
    <row r="303" spans="5:8" x14ac:dyDescent="0.25">
      <c r="E303">
        <v>291</v>
      </c>
      <c r="F303" s="56">
        <v>20.04</v>
      </c>
      <c r="G303" t="s">
        <v>327</v>
      </c>
      <c r="H303" s="3" t="str">
        <f>IF(Qn-(F303-Ta)&gt;2*ENT,"Fara E","Ok")</f>
        <v>Ok</v>
      </c>
    </row>
    <row r="304" spans="5:8" x14ac:dyDescent="0.25">
      <c r="E304">
        <v>292</v>
      </c>
      <c r="F304" s="56">
        <v>20.02</v>
      </c>
      <c r="G304" t="s">
        <v>328</v>
      </c>
      <c r="H304" s="3" t="str">
        <f>IF(Qn-(F304-Ta)&gt;2*ENT,"Fara E","Ok")</f>
        <v>Ok</v>
      </c>
    </row>
    <row r="305" spans="5:8" x14ac:dyDescent="0.25">
      <c r="E305">
        <v>293</v>
      </c>
      <c r="F305" s="56">
        <v>19.98</v>
      </c>
      <c r="G305" t="s">
        <v>329</v>
      </c>
      <c r="H305" s="3" t="str">
        <f>IF(Qn-(F305-Ta)&gt;2*ENT,"Fara E","Ok")</f>
        <v>Ok</v>
      </c>
    </row>
    <row r="306" spans="5:8" x14ac:dyDescent="0.25">
      <c r="E306">
        <v>294</v>
      </c>
      <c r="F306" s="56">
        <v>20.02</v>
      </c>
      <c r="G306" t="s">
        <v>330</v>
      </c>
      <c r="H306" s="3" t="str">
        <f>IF(Qn-(F306-Ta)&gt;2*ENT,"Fara E","Ok")</f>
        <v>Ok</v>
      </c>
    </row>
    <row r="307" spans="5:8" x14ac:dyDescent="0.25">
      <c r="E307">
        <v>295</v>
      </c>
      <c r="F307" s="56">
        <v>20.02</v>
      </c>
      <c r="G307" t="s">
        <v>331</v>
      </c>
      <c r="H307" s="3" t="str">
        <f>IF(Qn-(F307-Ta)&gt;2*ENT,"Fara E","Ok")</f>
        <v>Ok</v>
      </c>
    </row>
    <row r="308" spans="5:8" x14ac:dyDescent="0.25">
      <c r="E308">
        <v>296</v>
      </c>
      <c r="F308" s="56">
        <v>20.02</v>
      </c>
      <c r="G308" t="s">
        <v>332</v>
      </c>
      <c r="H308" s="3" t="str">
        <f>IF(Qn-(F308-Ta)&gt;2*ENT,"Fara E","Ok")</f>
        <v>Ok</v>
      </c>
    </row>
    <row r="309" spans="5:8" x14ac:dyDescent="0.25">
      <c r="E309">
        <v>297</v>
      </c>
      <c r="F309" s="56">
        <v>20.02</v>
      </c>
      <c r="G309" t="s">
        <v>333</v>
      </c>
      <c r="H309" s="3" t="str">
        <f>IF(Qn-(F309-Ta)&gt;2*ENT,"Fara E","Ok")</f>
        <v>Ok</v>
      </c>
    </row>
    <row r="310" spans="5:8" x14ac:dyDescent="0.25">
      <c r="E310">
        <v>298</v>
      </c>
      <c r="F310" s="56">
        <v>20.04</v>
      </c>
      <c r="G310" t="s">
        <v>334</v>
      </c>
      <c r="H310" s="3" t="str">
        <f>IF(Qn-(F310-Ta)&gt;2*ENT,"Fara E","Ok")</f>
        <v>Ok</v>
      </c>
    </row>
    <row r="311" spans="5:8" x14ac:dyDescent="0.25">
      <c r="E311">
        <v>299</v>
      </c>
      <c r="F311" s="56">
        <v>20.04</v>
      </c>
      <c r="G311" t="s">
        <v>335</v>
      </c>
      <c r="H311" s="3" t="str">
        <f>IF(Qn-(F311-Ta)&gt;2*ENT,"Fara E","Ok")</f>
        <v>Ok</v>
      </c>
    </row>
    <row r="312" spans="5:8" x14ac:dyDescent="0.25">
      <c r="E312">
        <v>300</v>
      </c>
      <c r="F312" s="56">
        <v>20</v>
      </c>
      <c r="G312" t="s">
        <v>336</v>
      </c>
      <c r="H312" s="3" t="str">
        <f>IF(Qn-(F312-Ta)&gt;2*ENT,"Fara E","Ok")</f>
        <v>Ok</v>
      </c>
    </row>
    <row r="313" spans="5:8" x14ac:dyDescent="0.25">
      <c r="E313">
        <v>301</v>
      </c>
      <c r="F313" s="56">
        <v>20</v>
      </c>
      <c r="G313">
        <v>2000</v>
      </c>
      <c r="H313" s="3" t="str">
        <f>IF(Qn-(F313-Ta)&gt;2*ENT,"Fara E","Ok")</f>
        <v>Ok</v>
      </c>
    </row>
    <row r="314" spans="5:8" x14ac:dyDescent="0.25">
      <c r="E314">
        <v>302</v>
      </c>
      <c r="F314" s="56">
        <v>20.02</v>
      </c>
      <c r="G314" t="s">
        <v>337</v>
      </c>
      <c r="H314" s="3" t="str">
        <f>IF(Qn-(F314-Ta)&gt;2*ENT,"Fara E","Ok")</f>
        <v>Ok</v>
      </c>
    </row>
    <row r="315" spans="5:8" x14ac:dyDescent="0.25">
      <c r="E315">
        <v>303</v>
      </c>
      <c r="F315" s="56">
        <v>20.02</v>
      </c>
      <c r="G315" t="s">
        <v>338</v>
      </c>
      <c r="H315" s="3" t="str">
        <f>IF(Qn-(F315-Ta)&gt;2*ENT,"Fara E","Ok")</f>
        <v>Ok</v>
      </c>
    </row>
    <row r="316" spans="5:8" x14ac:dyDescent="0.25">
      <c r="E316">
        <v>304</v>
      </c>
      <c r="F316" s="56">
        <v>20.04</v>
      </c>
      <c r="G316" t="s">
        <v>339</v>
      </c>
      <c r="H316" s="3" t="str">
        <f>IF(Qn-(F316-Ta)&gt;2*ENT,"Fara E","Ok")</f>
        <v>Ok</v>
      </c>
    </row>
    <row r="317" spans="5:8" x14ac:dyDescent="0.25">
      <c r="E317">
        <v>305</v>
      </c>
      <c r="F317" s="56">
        <v>20.02</v>
      </c>
      <c r="G317" t="s">
        <v>340</v>
      </c>
      <c r="H317" s="3" t="str">
        <f>IF(Qn-(F317-Ta)&gt;2*ENT,"Fara E","Ok")</f>
        <v>Ok</v>
      </c>
    </row>
    <row r="318" spans="5:8" x14ac:dyDescent="0.25">
      <c r="E318">
        <v>306</v>
      </c>
      <c r="F318" s="56">
        <v>20.02</v>
      </c>
      <c r="G318" t="s">
        <v>341</v>
      </c>
      <c r="H318" s="3" t="str">
        <f>IF(Qn-(F318-Ta)&gt;2*ENT,"Fara E","Ok")</f>
        <v>Ok</v>
      </c>
    </row>
    <row r="319" spans="5:8" x14ac:dyDescent="0.25">
      <c r="E319">
        <v>307</v>
      </c>
      <c r="F319" s="56">
        <v>20.02</v>
      </c>
      <c r="G319" t="s">
        <v>342</v>
      </c>
      <c r="H319" s="3" t="str">
        <f>IF(Qn-(F319-Ta)&gt;2*ENT,"Fara E","Ok")</f>
        <v>Ok</v>
      </c>
    </row>
    <row r="320" spans="5:8" x14ac:dyDescent="0.25">
      <c r="E320">
        <v>308</v>
      </c>
      <c r="F320" s="56">
        <v>20</v>
      </c>
      <c r="G320">
        <v>2000</v>
      </c>
      <c r="H320" s="3" t="str">
        <f>IF(Qn-(F320-Ta)&gt;2*ENT,"Fara E","Ok")</f>
        <v>Ok</v>
      </c>
    </row>
    <row r="321" spans="5:8" x14ac:dyDescent="0.25">
      <c r="E321">
        <v>309</v>
      </c>
      <c r="F321" s="56">
        <v>20.02</v>
      </c>
      <c r="G321" t="s">
        <v>343</v>
      </c>
      <c r="H321" s="3" t="str">
        <f>IF(Qn-(F321-Ta)&gt;2*ENT,"Fara E","Ok")</f>
        <v>Ok</v>
      </c>
    </row>
    <row r="322" spans="5:8" x14ac:dyDescent="0.25">
      <c r="E322">
        <v>310</v>
      </c>
      <c r="F322" s="56">
        <v>20.02</v>
      </c>
      <c r="G322" t="s">
        <v>344</v>
      </c>
      <c r="H322" s="3" t="str">
        <f>IF(Qn-(F322-Ta)&gt;2*ENT,"Fara E","Ok")</f>
        <v>Ok</v>
      </c>
    </row>
    <row r="323" spans="5:8" x14ac:dyDescent="0.25">
      <c r="E323">
        <v>311</v>
      </c>
      <c r="F323" s="56">
        <v>20.04</v>
      </c>
      <c r="G323" t="s">
        <v>345</v>
      </c>
      <c r="H323" s="3" t="str">
        <f>IF(Qn-(F323-Ta)&gt;2*ENT,"Fara E","Ok")</f>
        <v>Ok</v>
      </c>
    </row>
    <row r="324" spans="5:8" x14ac:dyDescent="0.25">
      <c r="E324">
        <v>312</v>
      </c>
      <c r="F324" s="56">
        <v>20</v>
      </c>
      <c r="G324">
        <v>2000</v>
      </c>
      <c r="H324" s="3" t="str">
        <f>IF(Qn-(F324-Ta)&gt;2*ENT,"Fara E","Ok")</f>
        <v>Ok</v>
      </c>
    </row>
    <row r="325" spans="5:8" x14ac:dyDescent="0.25">
      <c r="E325">
        <v>313</v>
      </c>
      <c r="F325" s="56">
        <v>20.04</v>
      </c>
      <c r="G325" t="s">
        <v>346</v>
      </c>
      <c r="H325" s="3" t="str">
        <f>IF(Qn-(F325-Ta)&gt;2*ENT,"Fara E","Ok")</f>
        <v>Ok</v>
      </c>
    </row>
    <row r="326" spans="5:8" x14ac:dyDescent="0.25">
      <c r="E326">
        <v>314</v>
      </c>
      <c r="F326" s="56">
        <v>20</v>
      </c>
      <c r="G326" t="s">
        <v>347</v>
      </c>
      <c r="H326" s="3" t="str">
        <f>IF(Qn-(F326-Ta)&gt;2*ENT,"Fara E","Ok")</f>
        <v>Ok</v>
      </c>
    </row>
    <row r="327" spans="5:8" x14ac:dyDescent="0.25">
      <c r="E327">
        <v>315</v>
      </c>
      <c r="F327" s="56">
        <v>20.02</v>
      </c>
      <c r="G327" t="s">
        <v>348</v>
      </c>
      <c r="H327" s="3" t="str">
        <f>IF(Qn-(F327-Ta)&gt;2*ENT,"Fara E","Ok")</f>
        <v>Ok</v>
      </c>
    </row>
    <row r="328" spans="5:8" x14ac:dyDescent="0.25">
      <c r="E328">
        <v>316</v>
      </c>
      <c r="F328" s="56">
        <v>20.02</v>
      </c>
      <c r="G328" t="s">
        <v>349</v>
      </c>
      <c r="H328" s="3" t="str">
        <f>IF(Qn-(F328-Ta)&gt;2*ENT,"Fara E","Ok")</f>
        <v>Ok</v>
      </c>
    </row>
    <row r="329" spans="5:8" x14ac:dyDescent="0.25">
      <c r="E329">
        <v>317</v>
      </c>
      <c r="F329" s="56">
        <v>20</v>
      </c>
      <c r="G329" t="s">
        <v>350</v>
      </c>
      <c r="H329" s="3" t="str">
        <f>IF(Qn-(F329-Ta)&gt;2*ENT,"Fara E","Ok")</f>
        <v>Ok</v>
      </c>
    </row>
    <row r="330" spans="5:8" x14ac:dyDescent="0.25">
      <c r="E330">
        <v>318</v>
      </c>
      <c r="F330" s="56">
        <v>19.98</v>
      </c>
      <c r="G330" t="s">
        <v>351</v>
      </c>
      <c r="H330" s="3" t="str">
        <f>IF(Qn-(F330-Ta)&gt;2*ENT,"Fara E","Ok")</f>
        <v>Ok</v>
      </c>
    </row>
    <row r="331" spans="5:8" x14ac:dyDescent="0.25">
      <c r="E331">
        <v>319</v>
      </c>
      <c r="F331" s="56">
        <v>20</v>
      </c>
      <c r="G331" t="s">
        <v>352</v>
      </c>
      <c r="H331" s="3" t="str">
        <f>IF(Qn-(F331-Ta)&gt;2*ENT,"Fara E","Ok")</f>
        <v>Ok</v>
      </c>
    </row>
    <row r="332" spans="5:8" x14ac:dyDescent="0.25">
      <c r="E332">
        <v>320</v>
      </c>
      <c r="F332" s="56">
        <v>20.04</v>
      </c>
      <c r="G332" t="s">
        <v>353</v>
      </c>
      <c r="H332" s="3" t="str">
        <f>IF(Qn-(F332-Ta)&gt;2*ENT,"Fara E","Ok")</f>
        <v>Ok</v>
      </c>
    </row>
    <row r="333" spans="5:8" x14ac:dyDescent="0.25">
      <c r="E333">
        <v>321</v>
      </c>
      <c r="F333" s="56">
        <v>20</v>
      </c>
      <c r="G333" t="s">
        <v>354</v>
      </c>
      <c r="H333" s="3" t="str">
        <f>IF(Qn-(F333-Ta)&gt;2*ENT,"Fara E","Ok")</f>
        <v>Ok</v>
      </c>
    </row>
    <row r="334" spans="5:8" x14ac:dyDescent="0.25">
      <c r="E334">
        <v>322</v>
      </c>
      <c r="F334" s="56">
        <v>20</v>
      </c>
      <c r="G334" t="s">
        <v>355</v>
      </c>
      <c r="H334" s="3" t="str">
        <f>IF(Qn-(F334-Ta)&gt;2*ENT,"Fara E","Ok")</f>
        <v>Ok</v>
      </c>
    </row>
    <row r="335" spans="5:8" x14ac:dyDescent="0.25">
      <c r="E335">
        <v>323</v>
      </c>
      <c r="F335" s="56">
        <v>20</v>
      </c>
      <c r="G335" t="s">
        <v>356</v>
      </c>
      <c r="H335" s="3" t="str">
        <f>IF(Qn-(F335-Ta)&gt;2*ENT,"Fara E","Ok")</f>
        <v>Ok</v>
      </c>
    </row>
    <row r="336" spans="5:8" x14ac:dyDescent="0.25">
      <c r="E336">
        <v>324</v>
      </c>
      <c r="F336" s="56">
        <v>20.04</v>
      </c>
      <c r="G336" t="s">
        <v>357</v>
      </c>
      <c r="H336" s="3" t="str">
        <f>IF(Qn-(F336-Ta)&gt;2*ENT,"Fara E","Ok")</f>
        <v>Ok</v>
      </c>
    </row>
    <row r="337" spans="5:8" x14ac:dyDescent="0.25">
      <c r="E337">
        <v>325</v>
      </c>
      <c r="F337" s="56">
        <v>20</v>
      </c>
      <c r="G337" t="s">
        <v>358</v>
      </c>
      <c r="H337" s="3" t="str">
        <f>IF(Qn-(F337-Ta)&gt;2*ENT,"Fara E","Ok")</f>
        <v>Ok</v>
      </c>
    </row>
    <row r="338" spans="5:8" x14ac:dyDescent="0.25">
      <c r="E338">
        <v>326</v>
      </c>
      <c r="F338" s="56">
        <v>20.02</v>
      </c>
      <c r="G338" t="s">
        <v>359</v>
      </c>
      <c r="H338" s="3" t="str">
        <f>IF(Qn-(F338-Ta)&gt;2*ENT,"Fara E","Ok")</f>
        <v>Ok</v>
      </c>
    </row>
    <row r="339" spans="5:8" x14ac:dyDescent="0.25">
      <c r="E339">
        <v>327</v>
      </c>
      <c r="F339" s="56">
        <v>20.02</v>
      </c>
      <c r="G339" t="s">
        <v>360</v>
      </c>
      <c r="H339" s="3" t="str">
        <f>IF(Qn-(F339-Ta)&gt;2*ENT,"Fara E","Ok")</f>
        <v>Ok</v>
      </c>
    </row>
    <row r="340" spans="5:8" x14ac:dyDescent="0.25">
      <c r="E340">
        <v>328</v>
      </c>
      <c r="F340" s="56">
        <v>19.98</v>
      </c>
      <c r="G340" t="s">
        <v>361</v>
      </c>
      <c r="H340" s="3" t="str">
        <f>IF(Qn-(F340-Ta)&gt;2*ENT,"Fara E","Ok")</f>
        <v>Ok</v>
      </c>
    </row>
    <row r="341" spans="5:8" x14ac:dyDescent="0.25">
      <c r="E341">
        <v>329</v>
      </c>
      <c r="F341" s="56">
        <v>20.02</v>
      </c>
      <c r="G341" t="s">
        <v>362</v>
      </c>
      <c r="H341" s="3" t="str">
        <f>IF(Qn-(F341-Ta)&gt;2*ENT,"Fara E","Ok")</f>
        <v>Ok</v>
      </c>
    </row>
    <row r="342" spans="5:8" x14ac:dyDescent="0.25">
      <c r="E342">
        <v>330</v>
      </c>
      <c r="F342" s="56">
        <v>20</v>
      </c>
      <c r="G342" t="s">
        <v>363</v>
      </c>
      <c r="H342" s="3" t="str">
        <f>IF(Qn-(F342-Ta)&gt;2*ENT,"Fara E","Ok")</f>
        <v>Ok</v>
      </c>
    </row>
    <row r="343" spans="5:8" x14ac:dyDescent="0.25">
      <c r="E343">
        <v>331</v>
      </c>
      <c r="F343" s="56">
        <v>20</v>
      </c>
      <c r="G343" t="s">
        <v>364</v>
      </c>
      <c r="H343" s="3" t="str">
        <f>IF(Qn-(F343-Ta)&gt;2*ENT,"Fara E","Ok")</f>
        <v>Ok</v>
      </c>
    </row>
    <row r="344" spans="5:8" x14ac:dyDescent="0.25">
      <c r="E344">
        <v>332</v>
      </c>
      <c r="F344" s="56">
        <v>20.02</v>
      </c>
      <c r="G344" t="s">
        <v>365</v>
      </c>
      <c r="H344" s="3" t="str">
        <f>IF(Qn-(F344-Ta)&gt;2*ENT,"Fara E","Ok")</f>
        <v>Ok</v>
      </c>
    </row>
    <row r="345" spans="5:8" x14ac:dyDescent="0.25">
      <c r="E345">
        <v>333</v>
      </c>
      <c r="F345" s="56">
        <v>20.04</v>
      </c>
      <c r="G345" t="s">
        <v>366</v>
      </c>
      <c r="H345" s="3" t="str">
        <f>IF(Qn-(F345-Ta)&gt;2*ENT,"Fara E","Ok")</f>
        <v>Ok</v>
      </c>
    </row>
    <row r="346" spans="5:8" x14ac:dyDescent="0.25">
      <c r="E346">
        <v>334</v>
      </c>
      <c r="F346" s="56">
        <v>20.02</v>
      </c>
      <c r="G346" t="s">
        <v>367</v>
      </c>
      <c r="H346" s="3" t="str">
        <f>IF(Qn-(F346-Ta)&gt;2*ENT,"Fara E","Ok")</f>
        <v>Ok</v>
      </c>
    </row>
    <row r="347" spans="5:8" x14ac:dyDescent="0.25">
      <c r="E347">
        <v>335</v>
      </c>
      <c r="F347" s="56">
        <v>20.02</v>
      </c>
      <c r="G347" t="s">
        <v>368</v>
      </c>
      <c r="H347" s="3" t="str">
        <f>IF(Qn-(F347-Ta)&gt;2*ENT,"Fara E","Ok")</f>
        <v>Ok</v>
      </c>
    </row>
    <row r="348" spans="5:8" x14ac:dyDescent="0.25">
      <c r="E348">
        <v>336</v>
      </c>
      <c r="F348" s="56">
        <v>20</v>
      </c>
      <c r="G348" t="s">
        <v>369</v>
      </c>
      <c r="H348" s="3" t="str">
        <f>IF(Qn-(F348-Ta)&gt;2*ENT,"Fara E","Ok")</f>
        <v>Ok</v>
      </c>
    </row>
    <row r="349" spans="5:8" x14ac:dyDescent="0.25">
      <c r="E349">
        <v>337</v>
      </c>
      <c r="F349" s="56">
        <v>20</v>
      </c>
      <c r="G349">
        <v>2000</v>
      </c>
      <c r="H349" s="3" t="str">
        <f>IF(Qn-(F349-Ta)&gt;2*ENT,"Fara E","Ok")</f>
        <v>Ok</v>
      </c>
    </row>
    <row r="350" spans="5:8" x14ac:dyDescent="0.25">
      <c r="E350">
        <v>338</v>
      </c>
      <c r="F350" s="56">
        <v>20.02</v>
      </c>
      <c r="G350" t="s">
        <v>370</v>
      </c>
      <c r="H350" s="3" t="str">
        <f>IF(Qn-(F350-Ta)&gt;2*ENT,"Fara E","Ok")</f>
        <v>Ok</v>
      </c>
    </row>
    <row r="351" spans="5:8" x14ac:dyDescent="0.25">
      <c r="E351">
        <v>339</v>
      </c>
      <c r="F351" s="56">
        <v>20</v>
      </c>
      <c r="G351">
        <v>2000</v>
      </c>
      <c r="H351" s="3" t="str">
        <f>IF(Qn-(F351-Ta)&gt;2*ENT,"Fara E","Ok")</f>
        <v>Ok</v>
      </c>
    </row>
    <row r="352" spans="5:8" x14ac:dyDescent="0.25">
      <c r="E352">
        <v>340</v>
      </c>
      <c r="F352" s="56">
        <v>20.02</v>
      </c>
      <c r="G352" t="s">
        <v>371</v>
      </c>
      <c r="H352" s="3" t="str">
        <f>IF(Qn-(F352-Ta)&gt;2*ENT,"Fara E","Ok")</f>
        <v>Ok</v>
      </c>
    </row>
    <row r="353" spans="5:8" x14ac:dyDescent="0.25">
      <c r="E353">
        <v>341</v>
      </c>
      <c r="F353" s="56">
        <v>20</v>
      </c>
      <c r="G353">
        <v>2000</v>
      </c>
      <c r="H353" s="3" t="str">
        <f>IF(Qn-(F353-Ta)&gt;2*ENT,"Fara E","Ok")</f>
        <v>Ok</v>
      </c>
    </row>
    <row r="354" spans="5:8" x14ac:dyDescent="0.25">
      <c r="E354">
        <v>342</v>
      </c>
      <c r="F354" s="56">
        <v>20</v>
      </c>
      <c r="G354">
        <v>2000</v>
      </c>
      <c r="H354" s="3" t="str">
        <f>IF(Qn-(F354-Ta)&gt;2*ENT,"Fara E","Ok")</f>
        <v>Ok</v>
      </c>
    </row>
    <row r="355" spans="5:8" x14ac:dyDescent="0.25">
      <c r="E355">
        <v>343</v>
      </c>
      <c r="F355" s="56">
        <v>20</v>
      </c>
      <c r="G355">
        <v>2000</v>
      </c>
      <c r="H355" s="3" t="str">
        <f>IF(Qn-(F355-Ta)&gt;2*ENT,"Fara E","Ok")</f>
        <v>Ok</v>
      </c>
    </row>
    <row r="356" spans="5:8" x14ac:dyDescent="0.25">
      <c r="E356">
        <v>344</v>
      </c>
      <c r="F356" s="56">
        <v>20.04</v>
      </c>
      <c r="G356" t="s">
        <v>372</v>
      </c>
      <c r="H356" s="3" t="str">
        <f>IF(Qn-(F356-Ta)&gt;2*ENT,"Fara E","Ok")</f>
        <v>Ok</v>
      </c>
    </row>
    <row r="357" spans="5:8" x14ac:dyDescent="0.25">
      <c r="E357">
        <v>345</v>
      </c>
      <c r="F357" s="56">
        <v>19.98</v>
      </c>
      <c r="G357" t="s">
        <v>373</v>
      </c>
      <c r="H357" s="3" t="str">
        <f>IF(Qn-(F357-Ta)&gt;2*ENT,"Fara E","Ok")</f>
        <v>Ok</v>
      </c>
    </row>
    <row r="358" spans="5:8" x14ac:dyDescent="0.25">
      <c r="E358">
        <v>346</v>
      </c>
      <c r="F358" s="56">
        <v>20</v>
      </c>
      <c r="G358">
        <v>2000</v>
      </c>
      <c r="H358" s="3" t="str">
        <f>IF(Qn-(F358-Ta)&gt;2*ENT,"Fara E","Ok")</f>
        <v>Ok</v>
      </c>
    </row>
    <row r="359" spans="5:8" x14ac:dyDescent="0.25">
      <c r="E359">
        <v>347</v>
      </c>
      <c r="F359" s="56">
        <v>20.02</v>
      </c>
      <c r="G359" t="s">
        <v>374</v>
      </c>
      <c r="H359" s="3" t="str">
        <f>IF(Qn-(F359-Ta)&gt;2*ENT,"Fara E","Ok")</f>
        <v>Ok</v>
      </c>
    </row>
    <row r="360" spans="5:8" x14ac:dyDescent="0.25">
      <c r="E360">
        <v>348</v>
      </c>
      <c r="F360" s="56">
        <v>20.02</v>
      </c>
      <c r="G360" t="s">
        <v>375</v>
      </c>
      <c r="H360" s="3" t="str">
        <f>IF(Qn-(F360-Ta)&gt;2*ENT,"Fara E","Ok")</f>
        <v>Ok</v>
      </c>
    </row>
    <row r="361" spans="5:8" x14ac:dyDescent="0.25">
      <c r="E361">
        <v>349</v>
      </c>
      <c r="F361" s="56">
        <v>20.04</v>
      </c>
      <c r="G361" t="s">
        <v>376</v>
      </c>
      <c r="H361" s="3" t="str">
        <f>IF(Qn-(F361-Ta)&gt;2*ENT,"Fara E","Ok")</f>
        <v>Ok</v>
      </c>
    </row>
    <row r="362" spans="5:8" x14ac:dyDescent="0.25">
      <c r="E362">
        <v>350</v>
      </c>
      <c r="F362" s="56">
        <v>20.04</v>
      </c>
      <c r="G362" t="s">
        <v>377</v>
      </c>
      <c r="H362" s="3" t="str">
        <f>IF(Qn-(F362-Ta)&gt;2*ENT,"Fara E","Ok")</f>
        <v>Ok</v>
      </c>
    </row>
    <row r="363" spans="5:8" x14ac:dyDescent="0.25">
      <c r="E363"/>
      <c r="F363" s="56"/>
      <c r="G363"/>
    </row>
    <row r="364" spans="5:8" x14ac:dyDescent="0.25">
      <c r="E364"/>
      <c r="F364" s="56"/>
      <c r="G364"/>
    </row>
    <row r="365" spans="5:8" x14ac:dyDescent="0.25">
      <c r="E365"/>
      <c r="F365" s="56"/>
      <c r="G365"/>
    </row>
    <row r="366" spans="5:8" x14ac:dyDescent="0.25">
      <c r="E366"/>
      <c r="F366" s="56"/>
      <c r="G366"/>
    </row>
    <row r="367" spans="5:8" x14ac:dyDescent="0.25">
      <c r="E367"/>
      <c r="F367" s="56"/>
      <c r="G367"/>
    </row>
    <row r="368" spans="5:8" x14ac:dyDescent="0.25">
      <c r="E368"/>
      <c r="F368" s="56"/>
      <c r="G368"/>
    </row>
    <row r="369" spans="5:7" x14ac:dyDescent="0.25">
      <c r="E369"/>
      <c r="F369" s="56"/>
      <c r="G369"/>
    </row>
    <row r="370" spans="5:7" x14ac:dyDescent="0.25">
      <c r="E370"/>
      <c r="F370" s="56"/>
      <c r="G370"/>
    </row>
    <row r="371" spans="5:7" x14ac:dyDescent="0.25">
      <c r="E371"/>
      <c r="F371" s="56"/>
      <c r="G371"/>
    </row>
    <row r="372" spans="5:7" x14ac:dyDescent="0.25">
      <c r="E372"/>
      <c r="F372" s="56"/>
      <c r="G372"/>
    </row>
    <row r="373" spans="5:7" x14ac:dyDescent="0.25">
      <c r="E373"/>
      <c r="F373" s="56"/>
      <c r="G373"/>
    </row>
    <row r="374" spans="5:7" x14ac:dyDescent="0.25">
      <c r="E374"/>
      <c r="F374" s="56"/>
      <c r="G374"/>
    </row>
    <row r="375" spans="5:7" x14ac:dyDescent="0.25">
      <c r="E375"/>
      <c r="F375" s="56"/>
      <c r="G375"/>
    </row>
    <row r="376" spans="5:7" x14ac:dyDescent="0.25">
      <c r="E376"/>
      <c r="F376" s="56"/>
      <c r="G376"/>
    </row>
    <row r="377" spans="5:7" x14ac:dyDescent="0.25">
      <c r="E377"/>
      <c r="F377" s="56"/>
      <c r="G377"/>
    </row>
    <row r="378" spans="5:7" x14ac:dyDescent="0.25">
      <c r="E378"/>
      <c r="F378" s="56"/>
      <c r="G378"/>
    </row>
    <row r="379" spans="5:7" x14ac:dyDescent="0.25">
      <c r="E379"/>
      <c r="F379" s="56"/>
      <c r="G379"/>
    </row>
    <row r="380" spans="5:7" x14ac:dyDescent="0.25">
      <c r="E380"/>
      <c r="F380" s="56"/>
      <c r="G380"/>
    </row>
    <row r="381" spans="5:7" x14ac:dyDescent="0.25">
      <c r="E381"/>
      <c r="F381" s="56"/>
      <c r="G381"/>
    </row>
    <row r="382" spans="5:7" x14ac:dyDescent="0.25">
      <c r="E382"/>
      <c r="F382" s="56"/>
      <c r="G382"/>
    </row>
    <row r="383" spans="5:7" x14ac:dyDescent="0.25">
      <c r="E383"/>
      <c r="F383" s="56"/>
      <c r="G383"/>
    </row>
    <row r="384" spans="5:7" x14ac:dyDescent="0.25">
      <c r="E384"/>
      <c r="F384" s="56"/>
      <c r="G384"/>
    </row>
    <row r="385" spans="5:7" x14ac:dyDescent="0.25">
      <c r="E385"/>
      <c r="F385" s="56"/>
      <c r="G385"/>
    </row>
    <row r="386" spans="5:7" x14ac:dyDescent="0.25">
      <c r="E386"/>
      <c r="F386" s="56"/>
      <c r="G386"/>
    </row>
    <row r="387" spans="5:7" x14ac:dyDescent="0.25">
      <c r="E387"/>
      <c r="F387" s="56"/>
      <c r="G387"/>
    </row>
    <row r="388" spans="5:7" x14ac:dyDescent="0.25">
      <c r="E388"/>
      <c r="F388" s="56"/>
      <c r="G388"/>
    </row>
    <row r="389" spans="5:7" x14ac:dyDescent="0.25">
      <c r="E389"/>
      <c r="F389" s="56"/>
      <c r="G389"/>
    </row>
    <row r="390" spans="5:7" x14ac:dyDescent="0.25">
      <c r="E390"/>
      <c r="F390" s="56"/>
      <c r="G390"/>
    </row>
    <row r="391" spans="5:7" x14ac:dyDescent="0.25">
      <c r="E391"/>
      <c r="F391" s="56"/>
      <c r="G391"/>
    </row>
    <row r="392" spans="5:7" x14ac:dyDescent="0.25">
      <c r="E392"/>
      <c r="F392" s="56"/>
      <c r="G392"/>
    </row>
    <row r="393" spans="5:7" x14ac:dyDescent="0.25">
      <c r="E393"/>
      <c r="F393" s="56"/>
      <c r="G393"/>
    </row>
    <row r="394" spans="5:7" x14ac:dyDescent="0.25">
      <c r="E394"/>
      <c r="F394" s="56"/>
      <c r="G394"/>
    </row>
    <row r="395" spans="5:7" x14ac:dyDescent="0.25">
      <c r="E395"/>
      <c r="F395" s="56"/>
      <c r="G395"/>
    </row>
    <row r="396" spans="5:7" x14ac:dyDescent="0.25">
      <c r="E396"/>
      <c r="F396" s="56"/>
      <c r="G396"/>
    </row>
    <row r="397" spans="5:7" x14ac:dyDescent="0.25">
      <c r="E397"/>
      <c r="F397" s="56"/>
      <c r="G397"/>
    </row>
    <row r="398" spans="5:7" x14ac:dyDescent="0.25">
      <c r="E398"/>
      <c r="F398" s="56"/>
      <c r="G398"/>
    </row>
    <row r="399" spans="5:7" x14ac:dyDescent="0.25">
      <c r="E399"/>
      <c r="F399" s="56"/>
      <c r="G399"/>
    </row>
    <row r="400" spans="5:7" x14ac:dyDescent="0.25">
      <c r="E400"/>
      <c r="F400" s="56"/>
      <c r="G400"/>
    </row>
    <row r="401" spans="5:7" x14ac:dyDescent="0.25">
      <c r="E401"/>
      <c r="F401" s="56"/>
      <c r="G401"/>
    </row>
    <row r="402" spans="5:7" x14ac:dyDescent="0.25">
      <c r="E402"/>
      <c r="F402" s="56"/>
      <c r="G402"/>
    </row>
    <row r="403" spans="5:7" x14ac:dyDescent="0.25">
      <c r="E403"/>
      <c r="F403" s="56"/>
      <c r="G403" s="1"/>
    </row>
    <row r="404" spans="5:7" x14ac:dyDescent="0.25">
      <c r="E404"/>
      <c r="F404" s="56"/>
      <c r="G404" s="1"/>
    </row>
    <row r="405" spans="5:7" x14ac:dyDescent="0.25">
      <c r="E405"/>
      <c r="F405" s="56"/>
      <c r="G405" s="1"/>
    </row>
    <row r="406" spans="5:7" x14ac:dyDescent="0.25">
      <c r="E406"/>
      <c r="F406" s="56"/>
      <c r="G406" s="1"/>
    </row>
    <row r="407" spans="5:7" x14ac:dyDescent="0.25">
      <c r="E407"/>
      <c r="F407" s="56"/>
      <c r="G407" s="1"/>
    </row>
    <row r="408" spans="5:7" x14ac:dyDescent="0.25">
      <c r="E408"/>
      <c r="F408" s="56"/>
      <c r="G408" s="1"/>
    </row>
    <row r="409" spans="5:7" x14ac:dyDescent="0.25">
      <c r="E409"/>
      <c r="F409" s="56"/>
      <c r="G409" s="1"/>
    </row>
    <row r="410" spans="5:7" x14ac:dyDescent="0.25">
      <c r="E410"/>
      <c r="F410" s="56"/>
      <c r="G410" s="1"/>
    </row>
    <row r="411" spans="5:7" x14ac:dyDescent="0.25">
      <c r="E411"/>
      <c r="F411" s="56"/>
      <c r="G411" s="1"/>
    </row>
    <row r="412" spans="5:7" x14ac:dyDescent="0.25">
      <c r="E412"/>
      <c r="F412" s="56"/>
      <c r="G412" s="1"/>
    </row>
    <row r="413" spans="5:7" x14ac:dyDescent="0.25">
      <c r="E413"/>
      <c r="F413" s="56"/>
      <c r="G413" s="1"/>
    </row>
    <row r="414" spans="5:7" x14ac:dyDescent="0.25">
      <c r="E414"/>
      <c r="F414" s="56"/>
      <c r="G414" s="1"/>
    </row>
    <row r="415" spans="5:7" x14ac:dyDescent="0.25">
      <c r="E415"/>
      <c r="F415" s="56"/>
      <c r="G415" s="1"/>
    </row>
    <row r="416" spans="5:7" x14ac:dyDescent="0.25">
      <c r="E416"/>
      <c r="F416" s="56"/>
      <c r="G416" s="1"/>
    </row>
    <row r="417" spans="5:7" x14ac:dyDescent="0.25">
      <c r="E417"/>
      <c r="F417" s="56"/>
      <c r="G417" s="1"/>
    </row>
    <row r="418" spans="5:7" x14ac:dyDescent="0.25">
      <c r="E418"/>
      <c r="F418" s="56"/>
      <c r="G418" s="1"/>
    </row>
    <row r="419" spans="5:7" x14ac:dyDescent="0.25">
      <c r="E419"/>
      <c r="F419" s="56"/>
      <c r="G419" s="1"/>
    </row>
    <row r="420" spans="5:7" x14ac:dyDescent="0.25">
      <c r="E420"/>
      <c r="F420" s="56"/>
      <c r="G420" s="1"/>
    </row>
    <row r="421" spans="5:7" x14ac:dyDescent="0.25">
      <c r="E421"/>
      <c r="F421" s="56"/>
      <c r="G421" s="1"/>
    </row>
    <row r="422" spans="5:7" x14ac:dyDescent="0.25">
      <c r="E422"/>
      <c r="F422" s="56"/>
      <c r="G422" s="1"/>
    </row>
    <row r="423" spans="5:7" x14ac:dyDescent="0.25">
      <c r="E423"/>
      <c r="F423" s="56"/>
      <c r="G423" s="1"/>
    </row>
    <row r="424" spans="5:7" x14ac:dyDescent="0.25">
      <c r="E424"/>
      <c r="F424" s="56"/>
      <c r="G424" s="1"/>
    </row>
    <row r="425" spans="5:7" x14ac:dyDescent="0.25">
      <c r="E425"/>
      <c r="F425" s="56"/>
      <c r="G425" s="1"/>
    </row>
    <row r="426" spans="5:7" x14ac:dyDescent="0.25">
      <c r="E426"/>
      <c r="F426" s="56"/>
      <c r="G426" s="1"/>
    </row>
    <row r="427" spans="5:7" x14ac:dyDescent="0.25">
      <c r="E427"/>
      <c r="F427" s="56"/>
      <c r="G427" s="1"/>
    </row>
    <row r="428" spans="5:7" x14ac:dyDescent="0.25">
      <c r="E428"/>
      <c r="F428" s="56"/>
      <c r="G428" s="1"/>
    </row>
    <row r="429" spans="5:7" x14ac:dyDescent="0.25">
      <c r="E429"/>
      <c r="F429" s="56"/>
      <c r="G429" s="1"/>
    </row>
    <row r="430" spans="5:7" x14ac:dyDescent="0.25">
      <c r="E430"/>
      <c r="F430" s="56"/>
      <c r="G430" s="1"/>
    </row>
    <row r="431" spans="5:7" x14ac:dyDescent="0.25">
      <c r="E431"/>
      <c r="F431" s="56"/>
      <c r="G431" s="1"/>
    </row>
    <row r="432" spans="5:7" x14ac:dyDescent="0.25">
      <c r="E432"/>
      <c r="F432" s="56"/>
      <c r="G432" s="1"/>
    </row>
    <row r="433" spans="5:7" x14ac:dyDescent="0.25">
      <c r="E433"/>
      <c r="F433" s="56"/>
      <c r="G433" s="1"/>
    </row>
    <row r="434" spans="5:7" x14ac:dyDescent="0.25">
      <c r="E434"/>
      <c r="F434" s="56"/>
      <c r="G434" s="1"/>
    </row>
    <row r="435" spans="5:7" x14ac:dyDescent="0.25">
      <c r="E435"/>
      <c r="F435" s="56"/>
      <c r="G435" s="1"/>
    </row>
    <row r="436" spans="5:7" x14ac:dyDescent="0.25">
      <c r="E436"/>
      <c r="F436" s="56"/>
      <c r="G436" s="1"/>
    </row>
    <row r="437" spans="5:7" x14ac:dyDescent="0.25">
      <c r="E437"/>
      <c r="F437" s="56"/>
      <c r="G437" s="1"/>
    </row>
    <row r="438" spans="5:7" x14ac:dyDescent="0.25">
      <c r="E438"/>
      <c r="F438" s="56"/>
      <c r="G438" s="1"/>
    </row>
    <row r="439" spans="5:7" x14ac:dyDescent="0.25">
      <c r="E439"/>
      <c r="F439" s="56"/>
      <c r="G439" s="1"/>
    </row>
    <row r="440" spans="5:7" x14ac:dyDescent="0.25">
      <c r="E440"/>
      <c r="F440" s="56"/>
      <c r="G440" s="1"/>
    </row>
    <row r="441" spans="5:7" x14ac:dyDescent="0.25">
      <c r="E441"/>
      <c r="F441" s="56"/>
      <c r="G441" s="1"/>
    </row>
    <row r="442" spans="5:7" x14ac:dyDescent="0.25">
      <c r="E442"/>
      <c r="F442" s="56"/>
      <c r="G442" s="1"/>
    </row>
    <row r="443" spans="5:7" x14ac:dyDescent="0.25">
      <c r="E443"/>
      <c r="F443" s="56"/>
      <c r="G443" s="1"/>
    </row>
    <row r="444" spans="5:7" x14ac:dyDescent="0.25">
      <c r="E444"/>
      <c r="F444" s="56"/>
      <c r="G444" s="1"/>
    </row>
    <row r="445" spans="5:7" x14ac:dyDescent="0.25">
      <c r="E445"/>
      <c r="F445" s="56"/>
      <c r="G445" s="1"/>
    </row>
    <row r="446" spans="5:7" x14ac:dyDescent="0.25">
      <c r="E446"/>
      <c r="F446" s="56"/>
      <c r="G446" s="1"/>
    </row>
    <row r="447" spans="5:7" x14ac:dyDescent="0.25">
      <c r="E447"/>
      <c r="F447" s="56"/>
      <c r="G447" s="1"/>
    </row>
    <row r="448" spans="5:7" x14ac:dyDescent="0.25">
      <c r="E448"/>
      <c r="F448" s="56"/>
      <c r="G448" s="1"/>
    </row>
    <row r="449" spans="5:7" x14ac:dyDescent="0.25">
      <c r="E449"/>
      <c r="F449" s="56"/>
      <c r="G449" s="1"/>
    </row>
    <row r="450" spans="5:7" x14ac:dyDescent="0.25">
      <c r="E450"/>
      <c r="F450" s="56"/>
      <c r="G450" s="1"/>
    </row>
    <row r="451" spans="5:7" x14ac:dyDescent="0.25">
      <c r="E451"/>
      <c r="F451" s="56"/>
      <c r="G451" s="1"/>
    </row>
    <row r="452" spans="5:7" x14ac:dyDescent="0.25">
      <c r="E452"/>
      <c r="F452" s="56"/>
      <c r="G452" s="1"/>
    </row>
    <row r="453" spans="5:7" x14ac:dyDescent="0.25">
      <c r="E453"/>
      <c r="F453" s="56"/>
      <c r="G453" s="1"/>
    </row>
    <row r="454" spans="5:7" x14ac:dyDescent="0.25">
      <c r="E454"/>
      <c r="F454" s="56"/>
      <c r="G454" s="1"/>
    </row>
    <row r="455" spans="5:7" x14ac:dyDescent="0.25">
      <c r="E455"/>
      <c r="F455" s="56"/>
      <c r="G455" s="1"/>
    </row>
    <row r="456" spans="5:7" x14ac:dyDescent="0.25">
      <c r="E456"/>
      <c r="F456" s="56"/>
      <c r="G456" s="1"/>
    </row>
    <row r="457" spans="5:7" x14ac:dyDescent="0.25">
      <c r="E457"/>
      <c r="F457" s="56"/>
      <c r="G457" s="1"/>
    </row>
    <row r="458" spans="5:7" x14ac:dyDescent="0.25">
      <c r="E458"/>
      <c r="F458" s="56"/>
      <c r="G458" s="1"/>
    </row>
    <row r="459" spans="5:7" x14ac:dyDescent="0.25">
      <c r="E459"/>
      <c r="F459" s="56"/>
      <c r="G459" s="1"/>
    </row>
    <row r="460" spans="5:7" x14ac:dyDescent="0.25">
      <c r="E460"/>
      <c r="F460" s="56"/>
      <c r="G460" s="1"/>
    </row>
    <row r="461" spans="5:7" x14ac:dyDescent="0.25">
      <c r="E461"/>
      <c r="F461" s="56"/>
      <c r="G461" s="1"/>
    </row>
    <row r="462" spans="5:7" x14ac:dyDescent="0.25">
      <c r="E462"/>
      <c r="F462" s="56"/>
      <c r="G462" s="1"/>
    </row>
    <row r="463" spans="5:7" x14ac:dyDescent="0.25">
      <c r="E463"/>
      <c r="F463" s="56"/>
      <c r="G463" s="1"/>
    </row>
    <row r="464" spans="5:7" x14ac:dyDescent="0.25">
      <c r="E464"/>
      <c r="F464" s="56"/>
      <c r="G464" s="1"/>
    </row>
    <row r="465" spans="5:7" x14ac:dyDescent="0.25">
      <c r="E465"/>
      <c r="F465" s="56"/>
      <c r="G465" s="1"/>
    </row>
    <row r="466" spans="5:7" x14ac:dyDescent="0.25">
      <c r="E466"/>
      <c r="F466" s="56"/>
      <c r="G466" s="1"/>
    </row>
    <row r="467" spans="5:7" x14ac:dyDescent="0.25">
      <c r="E467"/>
      <c r="F467" s="56"/>
      <c r="G467" s="1"/>
    </row>
    <row r="468" spans="5:7" x14ac:dyDescent="0.25">
      <c r="E468"/>
      <c r="F468" s="56"/>
      <c r="G468" s="1"/>
    </row>
    <row r="469" spans="5:7" x14ac:dyDescent="0.25">
      <c r="E469"/>
      <c r="F469" s="56"/>
      <c r="G469" s="1"/>
    </row>
    <row r="470" spans="5:7" x14ac:dyDescent="0.25">
      <c r="E470"/>
      <c r="F470" s="56"/>
      <c r="G470" s="1"/>
    </row>
    <row r="471" spans="5:7" x14ac:dyDescent="0.25">
      <c r="E471"/>
      <c r="F471" s="56"/>
      <c r="G471" s="1"/>
    </row>
    <row r="472" spans="5:7" x14ac:dyDescent="0.25">
      <c r="E472"/>
      <c r="F472" s="56"/>
      <c r="G472" s="1"/>
    </row>
    <row r="473" spans="5:7" x14ac:dyDescent="0.25">
      <c r="E473"/>
      <c r="F473" s="56"/>
      <c r="G473" s="1"/>
    </row>
    <row r="474" spans="5:7" x14ac:dyDescent="0.25">
      <c r="E474"/>
      <c r="F474" s="56"/>
      <c r="G474" s="1"/>
    </row>
    <row r="475" spans="5:7" x14ac:dyDescent="0.25">
      <c r="E475"/>
      <c r="F475" s="56"/>
      <c r="G475" s="1"/>
    </row>
    <row r="476" spans="5:7" x14ac:dyDescent="0.25">
      <c r="E476"/>
      <c r="F476" s="56"/>
      <c r="G476" s="1"/>
    </row>
    <row r="477" spans="5:7" x14ac:dyDescent="0.25">
      <c r="E477"/>
      <c r="F477" s="56"/>
      <c r="G477" s="1"/>
    </row>
    <row r="478" spans="5:7" x14ac:dyDescent="0.25">
      <c r="E478"/>
      <c r="F478" s="56"/>
      <c r="G478" s="1"/>
    </row>
    <row r="479" spans="5:7" x14ac:dyDescent="0.25">
      <c r="E479"/>
      <c r="F479" s="56"/>
      <c r="G479" s="1"/>
    </row>
    <row r="480" spans="5:7" x14ac:dyDescent="0.25">
      <c r="E480"/>
      <c r="F480" s="56"/>
      <c r="G480" s="1"/>
    </row>
    <row r="481" spans="5:7" x14ac:dyDescent="0.25">
      <c r="E481"/>
      <c r="F481" s="56"/>
      <c r="G481" s="1"/>
    </row>
    <row r="482" spans="5:7" x14ac:dyDescent="0.25">
      <c r="E482"/>
      <c r="F482" s="56"/>
      <c r="G482" s="1"/>
    </row>
    <row r="483" spans="5:7" x14ac:dyDescent="0.25">
      <c r="E483"/>
      <c r="F483" s="56"/>
      <c r="G483" s="1"/>
    </row>
    <row r="484" spans="5:7" x14ac:dyDescent="0.25">
      <c r="E484"/>
      <c r="F484" s="56"/>
      <c r="G484" s="1"/>
    </row>
    <row r="485" spans="5:7" x14ac:dyDescent="0.25">
      <c r="E485"/>
      <c r="F485" s="56"/>
      <c r="G485" s="1"/>
    </row>
    <row r="486" spans="5:7" x14ac:dyDescent="0.25">
      <c r="E486"/>
      <c r="F486" s="56"/>
      <c r="G486" s="1"/>
    </row>
    <row r="487" spans="5:7" x14ac:dyDescent="0.25">
      <c r="E487"/>
      <c r="F487" s="56"/>
      <c r="G487" s="1"/>
    </row>
    <row r="488" spans="5:7" x14ac:dyDescent="0.25">
      <c r="E488"/>
      <c r="F488" s="56"/>
      <c r="G488" s="1"/>
    </row>
    <row r="489" spans="5:7" x14ac:dyDescent="0.25">
      <c r="E489"/>
      <c r="F489" s="56"/>
      <c r="G489" s="1"/>
    </row>
    <row r="490" spans="5:7" x14ac:dyDescent="0.25">
      <c r="E490"/>
      <c r="F490" s="56"/>
      <c r="G490" s="1"/>
    </row>
    <row r="491" spans="5:7" x14ac:dyDescent="0.25">
      <c r="E491"/>
      <c r="F491" s="56"/>
      <c r="G491" s="1"/>
    </row>
    <row r="492" spans="5:7" x14ac:dyDescent="0.25">
      <c r="E492"/>
      <c r="F492" s="56"/>
      <c r="G492" s="1"/>
    </row>
    <row r="493" spans="5:7" x14ac:dyDescent="0.25">
      <c r="E493"/>
      <c r="F493" s="56"/>
      <c r="G493" s="1"/>
    </row>
    <row r="494" spans="5:7" x14ac:dyDescent="0.25">
      <c r="E494"/>
      <c r="F494" s="56"/>
      <c r="G494" s="1"/>
    </row>
    <row r="495" spans="5:7" x14ac:dyDescent="0.25">
      <c r="E495"/>
      <c r="F495" s="56"/>
      <c r="G495" s="1"/>
    </row>
    <row r="496" spans="5:7" x14ac:dyDescent="0.25">
      <c r="E496"/>
      <c r="F496" s="56"/>
      <c r="G496" s="1"/>
    </row>
    <row r="497" spans="5:7" x14ac:dyDescent="0.25">
      <c r="E497"/>
      <c r="F497" s="56"/>
      <c r="G497" s="1"/>
    </row>
    <row r="498" spans="5:7" x14ac:dyDescent="0.25">
      <c r="E498"/>
      <c r="F498" s="56"/>
      <c r="G498" s="1"/>
    </row>
    <row r="499" spans="5:7" x14ac:dyDescent="0.25">
      <c r="E499"/>
      <c r="F499" s="56"/>
      <c r="G499" s="1"/>
    </row>
    <row r="500" spans="5:7" x14ac:dyDescent="0.25">
      <c r="E500"/>
      <c r="F500" s="56"/>
      <c r="G500" s="1"/>
    </row>
    <row r="501" spans="5:7" x14ac:dyDescent="0.25">
      <c r="E501"/>
      <c r="F501" s="56"/>
      <c r="G501" s="1"/>
    </row>
    <row r="502" spans="5:7" x14ac:dyDescent="0.25">
      <c r="E502"/>
      <c r="F502" s="56"/>
      <c r="G502" s="1"/>
    </row>
    <row r="503" spans="5:7" x14ac:dyDescent="0.25">
      <c r="E503"/>
      <c r="F503" s="56"/>
      <c r="G503" s="1"/>
    </row>
    <row r="504" spans="5:7" x14ac:dyDescent="0.25">
      <c r="E504"/>
      <c r="F504" s="56"/>
      <c r="G504" s="1"/>
    </row>
    <row r="505" spans="5:7" x14ac:dyDescent="0.25">
      <c r="E505"/>
      <c r="F505" s="56"/>
      <c r="G505" s="1"/>
    </row>
    <row r="506" spans="5:7" x14ac:dyDescent="0.25">
      <c r="E506"/>
      <c r="F506" s="56"/>
      <c r="G506" s="1"/>
    </row>
    <row r="507" spans="5:7" x14ac:dyDescent="0.25">
      <c r="E507"/>
      <c r="F507" s="56"/>
      <c r="G507" s="1"/>
    </row>
    <row r="508" spans="5:7" x14ac:dyDescent="0.25">
      <c r="E508"/>
      <c r="F508" s="56"/>
      <c r="G508" s="1"/>
    </row>
    <row r="509" spans="5:7" x14ac:dyDescent="0.25">
      <c r="E509"/>
      <c r="F509" s="56"/>
      <c r="G509" s="1"/>
    </row>
    <row r="510" spans="5:7" x14ac:dyDescent="0.25">
      <c r="E510"/>
      <c r="F510" s="56"/>
      <c r="G510" s="1"/>
    </row>
    <row r="511" spans="5:7" x14ac:dyDescent="0.25">
      <c r="E511"/>
      <c r="F511" s="56"/>
      <c r="G511" s="1"/>
    </row>
    <row r="512" spans="5:7" x14ac:dyDescent="0.25">
      <c r="E512"/>
      <c r="F512" s="56"/>
      <c r="G512" s="1"/>
    </row>
    <row r="513" spans="5:7" x14ac:dyDescent="0.25">
      <c r="E513"/>
      <c r="F513" s="56"/>
      <c r="G513" s="1"/>
    </row>
    <row r="514" spans="5:7" x14ac:dyDescent="0.25">
      <c r="E514"/>
      <c r="F514" s="56"/>
      <c r="G514" s="1"/>
    </row>
    <row r="515" spans="5:7" x14ac:dyDescent="0.25">
      <c r="E515"/>
      <c r="F515" s="56"/>
      <c r="G515" s="1"/>
    </row>
    <row r="516" spans="5:7" x14ac:dyDescent="0.25">
      <c r="E516"/>
      <c r="F516" s="56"/>
      <c r="G516" s="1"/>
    </row>
    <row r="517" spans="5:7" x14ac:dyDescent="0.25">
      <c r="E517"/>
      <c r="F517" s="56"/>
      <c r="G517" s="1"/>
    </row>
    <row r="518" spans="5:7" x14ac:dyDescent="0.25">
      <c r="E518"/>
      <c r="F518" s="56"/>
      <c r="G518" s="1"/>
    </row>
    <row r="519" spans="5:7" x14ac:dyDescent="0.25">
      <c r="E519"/>
      <c r="F519" s="56"/>
      <c r="G519" s="1"/>
    </row>
    <row r="520" spans="5:7" x14ac:dyDescent="0.25">
      <c r="E520"/>
      <c r="F520" s="56"/>
      <c r="G520" s="1"/>
    </row>
    <row r="521" spans="5:7" x14ac:dyDescent="0.25">
      <c r="E521"/>
      <c r="F521" s="56"/>
      <c r="G521" s="1"/>
    </row>
    <row r="522" spans="5:7" x14ac:dyDescent="0.25">
      <c r="E522"/>
      <c r="F522" s="56"/>
      <c r="G522" s="1"/>
    </row>
    <row r="523" spans="5:7" x14ac:dyDescent="0.25">
      <c r="E523"/>
      <c r="F523" s="56"/>
      <c r="G523" s="1"/>
    </row>
    <row r="524" spans="5:7" x14ac:dyDescent="0.25">
      <c r="E524"/>
      <c r="F524" s="56"/>
      <c r="G524" s="1"/>
    </row>
    <row r="525" spans="5:7" x14ac:dyDescent="0.25">
      <c r="E525"/>
      <c r="F525" s="56"/>
      <c r="G525" s="1"/>
    </row>
    <row r="526" spans="5:7" x14ac:dyDescent="0.25">
      <c r="E526"/>
      <c r="F526" s="56"/>
      <c r="G526" s="1"/>
    </row>
    <row r="527" spans="5:7" x14ac:dyDescent="0.25">
      <c r="E527"/>
      <c r="F527" s="56"/>
      <c r="G527" s="1"/>
    </row>
    <row r="528" spans="5:7" x14ac:dyDescent="0.25">
      <c r="E528"/>
      <c r="F528" s="56"/>
      <c r="G528" s="1"/>
    </row>
    <row r="529" spans="5:7" x14ac:dyDescent="0.25">
      <c r="E529"/>
      <c r="F529" s="56"/>
      <c r="G529" s="1"/>
    </row>
    <row r="530" spans="5:7" x14ac:dyDescent="0.25">
      <c r="E530"/>
      <c r="F530" s="56"/>
      <c r="G530" s="1"/>
    </row>
    <row r="531" spans="5:7" x14ac:dyDescent="0.25">
      <c r="E531"/>
      <c r="F531" s="56"/>
      <c r="G531" s="1"/>
    </row>
    <row r="532" spans="5:7" x14ac:dyDescent="0.25">
      <c r="E532"/>
      <c r="F532" s="56"/>
      <c r="G532" s="1"/>
    </row>
    <row r="533" spans="5:7" x14ac:dyDescent="0.25">
      <c r="E533"/>
      <c r="F533" s="56"/>
      <c r="G533" s="1"/>
    </row>
    <row r="534" spans="5:7" x14ac:dyDescent="0.25">
      <c r="E534"/>
      <c r="F534" s="56"/>
      <c r="G534" s="1"/>
    </row>
    <row r="535" spans="5:7" x14ac:dyDescent="0.25">
      <c r="E535"/>
      <c r="F535" s="56"/>
      <c r="G535" s="1"/>
    </row>
    <row r="536" spans="5:7" x14ac:dyDescent="0.25">
      <c r="E536"/>
      <c r="F536" s="56"/>
      <c r="G536" s="1"/>
    </row>
    <row r="537" spans="5:7" x14ac:dyDescent="0.25">
      <c r="E537"/>
      <c r="F537" s="56"/>
      <c r="G537" s="1"/>
    </row>
    <row r="538" spans="5:7" x14ac:dyDescent="0.25">
      <c r="E538"/>
      <c r="F538" s="56"/>
      <c r="G538" s="1"/>
    </row>
    <row r="539" spans="5:7" x14ac:dyDescent="0.25">
      <c r="E539"/>
      <c r="F539" s="56"/>
      <c r="G539" s="1"/>
    </row>
    <row r="540" spans="5:7" x14ac:dyDescent="0.25">
      <c r="E540"/>
      <c r="F540" s="56"/>
      <c r="G540" s="1"/>
    </row>
    <row r="541" spans="5:7" x14ac:dyDescent="0.25">
      <c r="E541"/>
      <c r="F541" s="56"/>
      <c r="G541" s="1"/>
    </row>
    <row r="542" spans="5:7" x14ac:dyDescent="0.25">
      <c r="E542"/>
      <c r="F542" s="56"/>
      <c r="G542" s="1"/>
    </row>
    <row r="543" spans="5:7" x14ac:dyDescent="0.25">
      <c r="E543"/>
      <c r="F543" s="56"/>
      <c r="G543" s="1"/>
    </row>
    <row r="544" spans="5:7" x14ac:dyDescent="0.25">
      <c r="E544"/>
      <c r="F544" s="56"/>
      <c r="G544" s="1"/>
    </row>
    <row r="545" spans="5:7" x14ac:dyDescent="0.25">
      <c r="E545"/>
      <c r="F545" s="56"/>
      <c r="G545" s="1"/>
    </row>
    <row r="546" spans="5:7" x14ac:dyDescent="0.25">
      <c r="E546"/>
      <c r="F546" s="56"/>
      <c r="G546" s="1"/>
    </row>
    <row r="547" spans="5:7" x14ac:dyDescent="0.25">
      <c r="E547"/>
      <c r="F547" s="56"/>
      <c r="G547" s="1"/>
    </row>
    <row r="548" spans="5:7" x14ac:dyDescent="0.25">
      <c r="E548"/>
      <c r="F548" s="56"/>
      <c r="G548" s="1"/>
    </row>
    <row r="549" spans="5:7" x14ac:dyDescent="0.25">
      <c r="E549"/>
      <c r="F549" s="56"/>
      <c r="G549" s="1"/>
    </row>
    <row r="550" spans="5:7" x14ac:dyDescent="0.25">
      <c r="E550"/>
      <c r="F550" s="56"/>
      <c r="G550" s="1"/>
    </row>
    <row r="551" spans="5:7" x14ac:dyDescent="0.25">
      <c r="E551"/>
      <c r="F551" s="56"/>
      <c r="G551" s="1"/>
    </row>
    <row r="552" spans="5:7" x14ac:dyDescent="0.25">
      <c r="E552"/>
      <c r="F552" s="56"/>
      <c r="G552" s="1"/>
    </row>
    <row r="553" spans="5:7" x14ac:dyDescent="0.25">
      <c r="E553"/>
      <c r="F553" s="56"/>
      <c r="G553" s="1"/>
    </row>
    <row r="554" spans="5:7" x14ac:dyDescent="0.25">
      <c r="E554"/>
      <c r="F554" s="56"/>
      <c r="G554" s="1"/>
    </row>
    <row r="555" spans="5:7" x14ac:dyDescent="0.25">
      <c r="E555"/>
      <c r="F555" s="56"/>
      <c r="G555" s="1"/>
    </row>
    <row r="556" spans="5:7" x14ac:dyDescent="0.25">
      <c r="E556"/>
      <c r="F556" s="56"/>
      <c r="G556" s="1"/>
    </row>
    <row r="557" spans="5:7" x14ac:dyDescent="0.25">
      <c r="E557"/>
      <c r="F557" s="56"/>
      <c r="G557" s="1"/>
    </row>
    <row r="558" spans="5:7" x14ac:dyDescent="0.25">
      <c r="E558"/>
      <c r="F558" s="56"/>
      <c r="G558" s="1"/>
    </row>
    <row r="559" spans="5:7" x14ac:dyDescent="0.25">
      <c r="E559"/>
      <c r="F559" s="56"/>
      <c r="G559" s="1"/>
    </row>
    <row r="560" spans="5:7" x14ac:dyDescent="0.25">
      <c r="E560"/>
      <c r="F560" s="56"/>
      <c r="G560" s="1"/>
    </row>
    <row r="561" spans="5:7" x14ac:dyDescent="0.25">
      <c r="E561"/>
      <c r="F561" s="56"/>
      <c r="G561" s="1"/>
    </row>
    <row r="562" spans="5:7" x14ac:dyDescent="0.25">
      <c r="E562"/>
      <c r="F562" s="56"/>
      <c r="G562" s="1"/>
    </row>
    <row r="563" spans="5:7" x14ac:dyDescent="0.25">
      <c r="E563"/>
      <c r="F563" s="56"/>
      <c r="G563" s="1"/>
    </row>
    <row r="564" spans="5:7" x14ac:dyDescent="0.25">
      <c r="E564"/>
      <c r="F564" s="56"/>
      <c r="G564" s="1"/>
    </row>
    <row r="565" spans="5:7" x14ac:dyDescent="0.25">
      <c r="E565"/>
      <c r="F565" s="56"/>
      <c r="G565" s="1"/>
    </row>
    <row r="566" spans="5:7" x14ac:dyDescent="0.25">
      <c r="E566"/>
      <c r="F566" s="56"/>
      <c r="G566" s="1"/>
    </row>
    <row r="567" spans="5:7" x14ac:dyDescent="0.25">
      <c r="E567"/>
      <c r="F567" s="56"/>
      <c r="G567" s="1"/>
    </row>
    <row r="568" spans="5:7" x14ac:dyDescent="0.25">
      <c r="E568"/>
      <c r="F568" s="56"/>
      <c r="G568" s="1"/>
    </row>
    <row r="569" spans="5:7" x14ac:dyDescent="0.25">
      <c r="E569"/>
      <c r="F569" s="56"/>
      <c r="G569" s="1"/>
    </row>
    <row r="570" spans="5:7" x14ac:dyDescent="0.25">
      <c r="E570"/>
      <c r="F570" s="56"/>
      <c r="G570" s="1"/>
    </row>
    <row r="571" spans="5:7" x14ac:dyDescent="0.25">
      <c r="E571"/>
      <c r="F571" s="56"/>
      <c r="G571" s="1"/>
    </row>
    <row r="572" spans="5:7" x14ac:dyDescent="0.25">
      <c r="E572"/>
      <c r="F572" s="56"/>
      <c r="G572" s="1"/>
    </row>
    <row r="573" spans="5:7" x14ac:dyDescent="0.25">
      <c r="E573"/>
      <c r="F573" s="56"/>
      <c r="G573" s="1"/>
    </row>
    <row r="574" spans="5:7" x14ac:dyDescent="0.25">
      <c r="E574"/>
      <c r="F574" s="56"/>
      <c r="G574" s="1"/>
    </row>
    <row r="575" spans="5:7" x14ac:dyDescent="0.25">
      <c r="E575"/>
      <c r="F575" s="56"/>
      <c r="G575" s="1"/>
    </row>
    <row r="576" spans="5:7" x14ac:dyDescent="0.25">
      <c r="E576"/>
      <c r="F576" s="56"/>
      <c r="G576" s="1"/>
    </row>
    <row r="577" spans="5:7" x14ac:dyDescent="0.25">
      <c r="E577"/>
      <c r="F577" s="56"/>
      <c r="G577" s="1"/>
    </row>
    <row r="578" spans="5:7" x14ac:dyDescent="0.25">
      <c r="E578"/>
      <c r="F578" s="56"/>
      <c r="G578" s="1"/>
    </row>
    <row r="579" spans="5:7" x14ac:dyDescent="0.25">
      <c r="E579"/>
      <c r="F579" s="56"/>
      <c r="G579" s="1"/>
    </row>
    <row r="580" spans="5:7" x14ac:dyDescent="0.25">
      <c r="E580"/>
      <c r="F580" s="56"/>
      <c r="G580" s="1"/>
    </row>
    <row r="581" spans="5:7" x14ac:dyDescent="0.25">
      <c r="E581"/>
      <c r="F581" s="56"/>
      <c r="G581" s="1"/>
    </row>
    <row r="582" spans="5:7" x14ac:dyDescent="0.25">
      <c r="E582"/>
      <c r="F582" s="56"/>
      <c r="G582" s="1"/>
    </row>
    <row r="583" spans="5:7" x14ac:dyDescent="0.25">
      <c r="E583"/>
      <c r="F583" s="56"/>
      <c r="G583" s="1"/>
    </row>
    <row r="584" spans="5:7" x14ac:dyDescent="0.25">
      <c r="E584"/>
      <c r="F584" s="56"/>
      <c r="G584" s="1"/>
    </row>
    <row r="585" spans="5:7" x14ac:dyDescent="0.25">
      <c r="E585"/>
      <c r="F585" s="56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30"/>
  <sheetViews>
    <sheetView workbookViewId="0">
      <selection activeCell="A5" sqref="A5"/>
    </sheetView>
  </sheetViews>
  <sheetFormatPr defaultRowHeight="15" x14ac:dyDescent="0.25"/>
  <cols>
    <col min="1" max="1" width="4" customWidth="1"/>
    <col min="2" max="2" width="22.85546875" customWidth="1"/>
    <col min="3" max="3" width="11.7109375" customWidth="1"/>
    <col min="4" max="4" width="7" customWidth="1"/>
    <col min="5" max="5" width="27.5703125" customWidth="1"/>
    <col min="6" max="6" width="21.5703125" customWidth="1"/>
    <col min="7" max="7" width="8.140625" customWidth="1"/>
    <col min="8" max="8" width="6.140625" customWidth="1"/>
    <col min="9" max="9" width="10.855468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100013</v>
      </c>
      <c r="E1" t="s">
        <v>93</v>
      </c>
      <c r="F1" t="s">
        <v>89</v>
      </c>
      <c r="G1" t="s">
        <v>90</v>
      </c>
      <c r="H1" t="s">
        <v>91</v>
      </c>
      <c r="I1" t="s">
        <v>92</v>
      </c>
      <c r="O1"/>
      <c r="V1" s="32"/>
      <c r="W1" s="32"/>
      <c r="X1" s="32"/>
      <c r="Y1" s="32"/>
    </row>
    <row r="2" spans="1:25" x14ac:dyDescent="0.25">
      <c r="A2">
        <v>1</v>
      </c>
      <c r="B2">
        <v>20020</v>
      </c>
      <c r="C2" t="s">
        <v>94</v>
      </c>
      <c r="O2"/>
    </row>
    <row r="3" spans="1:25" x14ac:dyDescent="0.25">
      <c r="A3">
        <v>2</v>
      </c>
      <c r="B3">
        <v>20000</v>
      </c>
      <c r="C3">
        <v>2000</v>
      </c>
      <c r="O3"/>
    </row>
    <row r="4" spans="1:25" x14ac:dyDescent="0.25">
      <c r="A4">
        <v>3</v>
      </c>
      <c r="B4">
        <v>20020</v>
      </c>
      <c r="C4" t="s">
        <v>95</v>
      </c>
      <c r="O4"/>
    </row>
    <row r="5" spans="1:25" x14ac:dyDescent="0.25">
      <c r="A5">
        <v>4</v>
      </c>
      <c r="B5">
        <v>20020</v>
      </c>
      <c r="C5" t="s">
        <v>96</v>
      </c>
      <c r="O5"/>
    </row>
    <row r="6" spans="1:25" x14ac:dyDescent="0.25">
      <c r="A6">
        <v>5</v>
      </c>
      <c r="B6">
        <v>20000</v>
      </c>
      <c r="C6">
        <v>2000</v>
      </c>
      <c r="O6"/>
    </row>
    <row r="7" spans="1:25" x14ac:dyDescent="0.25">
      <c r="A7">
        <v>6</v>
      </c>
      <c r="B7">
        <v>20000</v>
      </c>
      <c r="C7">
        <v>2000</v>
      </c>
      <c r="O7"/>
    </row>
    <row r="8" spans="1:25" x14ac:dyDescent="0.25">
      <c r="A8">
        <v>7</v>
      </c>
      <c r="B8">
        <v>20020</v>
      </c>
      <c r="C8" t="s">
        <v>97</v>
      </c>
      <c r="O8"/>
    </row>
    <row r="9" spans="1:25" x14ac:dyDescent="0.25">
      <c r="A9">
        <v>8</v>
      </c>
      <c r="B9">
        <v>20020</v>
      </c>
      <c r="C9" t="s">
        <v>98</v>
      </c>
      <c r="O9"/>
    </row>
    <row r="10" spans="1:25" x14ac:dyDescent="0.25">
      <c r="A10">
        <v>9</v>
      </c>
      <c r="B10">
        <v>20020</v>
      </c>
      <c r="C10" t="s">
        <v>99</v>
      </c>
      <c r="O10"/>
    </row>
    <row r="11" spans="1:25" x14ac:dyDescent="0.25">
      <c r="A11">
        <v>10</v>
      </c>
      <c r="B11">
        <v>20020</v>
      </c>
      <c r="C11" t="s">
        <v>100</v>
      </c>
      <c r="O11"/>
    </row>
    <row r="12" spans="1:25" x14ac:dyDescent="0.25">
      <c r="A12">
        <v>11</v>
      </c>
      <c r="B12">
        <v>20020</v>
      </c>
      <c r="C12" t="s">
        <v>101</v>
      </c>
      <c r="O12"/>
    </row>
    <row r="13" spans="1:25" x14ac:dyDescent="0.25">
      <c r="A13">
        <v>12</v>
      </c>
      <c r="B13">
        <v>20020</v>
      </c>
      <c r="C13" t="s">
        <v>102</v>
      </c>
      <c r="O13"/>
    </row>
    <row r="14" spans="1:25" x14ac:dyDescent="0.25">
      <c r="A14">
        <v>13</v>
      </c>
      <c r="B14">
        <v>20020</v>
      </c>
      <c r="C14" t="s">
        <v>103</v>
      </c>
      <c r="O14"/>
    </row>
    <row r="15" spans="1:25" x14ac:dyDescent="0.25">
      <c r="A15">
        <v>14</v>
      </c>
      <c r="B15">
        <v>20020</v>
      </c>
      <c r="C15" t="s">
        <v>104</v>
      </c>
      <c r="O15"/>
    </row>
    <row r="16" spans="1:25" x14ac:dyDescent="0.25">
      <c r="A16">
        <v>15</v>
      </c>
      <c r="B16">
        <v>20040</v>
      </c>
      <c r="C16" t="s">
        <v>105</v>
      </c>
      <c r="O16"/>
    </row>
    <row r="17" spans="1:15" x14ac:dyDescent="0.25">
      <c r="A17">
        <v>16</v>
      </c>
      <c r="B17">
        <v>20040</v>
      </c>
      <c r="C17" t="s">
        <v>106</v>
      </c>
      <c r="O17"/>
    </row>
    <row r="18" spans="1:15" x14ac:dyDescent="0.25">
      <c r="A18">
        <v>17</v>
      </c>
      <c r="B18">
        <v>20020</v>
      </c>
      <c r="C18" t="s">
        <v>107</v>
      </c>
      <c r="O18"/>
    </row>
    <row r="19" spans="1:15" x14ac:dyDescent="0.25">
      <c r="A19">
        <v>18</v>
      </c>
      <c r="B19">
        <v>20040</v>
      </c>
      <c r="C19" t="s">
        <v>108</v>
      </c>
      <c r="O19"/>
    </row>
    <row r="20" spans="1:15" x14ac:dyDescent="0.25">
      <c r="A20">
        <v>19</v>
      </c>
      <c r="B20">
        <v>20020</v>
      </c>
      <c r="C20" t="s">
        <v>109</v>
      </c>
      <c r="O20"/>
    </row>
    <row r="21" spans="1:15" x14ac:dyDescent="0.25">
      <c r="A21">
        <v>20</v>
      </c>
      <c r="B21">
        <v>20000</v>
      </c>
      <c r="C21">
        <v>2000</v>
      </c>
      <c r="O21"/>
    </row>
    <row r="22" spans="1:15" x14ac:dyDescent="0.25">
      <c r="A22">
        <v>21</v>
      </c>
      <c r="B22">
        <v>20000</v>
      </c>
      <c r="C22">
        <v>2000</v>
      </c>
      <c r="O22"/>
    </row>
    <row r="23" spans="1:15" x14ac:dyDescent="0.25">
      <c r="A23">
        <v>22</v>
      </c>
      <c r="B23">
        <v>20040</v>
      </c>
      <c r="C23" t="s">
        <v>110</v>
      </c>
      <c r="O23"/>
    </row>
    <row r="24" spans="1:15" x14ac:dyDescent="0.25">
      <c r="A24">
        <v>23</v>
      </c>
      <c r="B24">
        <v>20020</v>
      </c>
      <c r="C24" t="s">
        <v>111</v>
      </c>
      <c r="O24"/>
    </row>
    <row r="25" spans="1:15" x14ac:dyDescent="0.25">
      <c r="A25">
        <v>24</v>
      </c>
      <c r="B25">
        <v>20020</v>
      </c>
      <c r="C25" t="s">
        <v>112</v>
      </c>
      <c r="O25"/>
    </row>
    <row r="26" spans="1:15" x14ac:dyDescent="0.25">
      <c r="A26">
        <v>25</v>
      </c>
      <c r="B26">
        <v>20040</v>
      </c>
      <c r="C26" t="s">
        <v>113</v>
      </c>
      <c r="O26"/>
    </row>
    <row r="27" spans="1:15" x14ac:dyDescent="0.25">
      <c r="A27">
        <v>26</v>
      </c>
      <c r="B27">
        <v>20000</v>
      </c>
      <c r="C27" t="s">
        <v>114</v>
      </c>
      <c r="O27"/>
    </row>
    <row r="28" spans="1:15" x14ac:dyDescent="0.25">
      <c r="A28">
        <v>27</v>
      </c>
      <c r="B28">
        <v>20000</v>
      </c>
      <c r="C28" t="s">
        <v>115</v>
      </c>
      <c r="O28"/>
    </row>
    <row r="29" spans="1:15" x14ac:dyDescent="0.25">
      <c r="A29">
        <v>28</v>
      </c>
      <c r="B29">
        <v>20020</v>
      </c>
      <c r="C29" t="s">
        <v>116</v>
      </c>
      <c r="O29"/>
    </row>
    <row r="30" spans="1:15" x14ac:dyDescent="0.25">
      <c r="A30">
        <v>29</v>
      </c>
      <c r="B30">
        <v>20040</v>
      </c>
      <c r="C30" t="s">
        <v>117</v>
      </c>
      <c r="O30"/>
    </row>
    <row r="31" spans="1:15" x14ac:dyDescent="0.25">
      <c r="A31">
        <v>30</v>
      </c>
      <c r="B31">
        <v>20000</v>
      </c>
      <c r="C31" t="s">
        <v>118</v>
      </c>
      <c r="O31"/>
    </row>
    <row r="32" spans="1:15" x14ac:dyDescent="0.25">
      <c r="A32">
        <v>31</v>
      </c>
      <c r="B32">
        <v>20000</v>
      </c>
      <c r="C32">
        <v>2000</v>
      </c>
      <c r="O32"/>
    </row>
    <row r="33" spans="1:15" x14ac:dyDescent="0.25">
      <c r="A33">
        <v>32</v>
      </c>
      <c r="B33">
        <v>20000</v>
      </c>
      <c r="C33">
        <v>2000</v>
      </c>
      <c r="O33"/>
    </row>
    <row r="34" spans="1:15" x14ac:dyDescent="0.25">
      <c r="A34">
        <v>33</v>
      </c>
      <c r="B34">
        <v>20020</v>
      </c>
      <c r="C34" t="s">
        <v>119</v>
      </c>
      <c r="O34"/>
    </row>
    <row r="35" spans="1:15" x14ac:dyDescent="0.25">
      <c r="A35">
        <v>34</v>
      </c>
      <c r="B35">
        <v>20020</v>
      </c>
      <c r="C35" t="s">
        <v>120</v>
      </c>
      <c r="O35"/>
    </row>
    <row r="36" spans="1:15" x14ac:dyDescent="0.25">
      <c r="A36">
        <v>35</v>
      </c>
      <c r="B36">
        <v>20040</v>
      </c>
      <c r="C36" t="s">
        <v>121</v>
      </c>
      <c r="O36"/>
    </row>
    <row r="37" spans="1:15" x14ac:dyDescent="0.25">
      <c r="A37">
        <v>36</v>
      </c>
      <c r="B37">
        <v>20000</v>
      </c>
      <c r="C37">
        <v>2000</v>
      </c>
      <c r="O37"/>
    </row>
    <row r="38" spans="1:15" x14ac:dyDescent="0.25">
      <c r="A38">
        <v>37</v>
      </c>
      <c r="B38">
        <v>20020</v>
      </c>
      <c r="C38" t="s">
        <v>122</v>
      </c>
      <c r="O38"/>
    </row>
    <row r="39" spans="1:15" x14ac:dyDescent="0.25">
      <c r="A39">
        <v>38</v>
      </c>
      <c r="B39">
        <v>20000</v>
      </c>
      <c r="C39">
        <v>2000</v>
      </c>
      <c r="O39"/>
    </row>
    <row r="40" spans="1:15" x14ac:dyDescent="0.25">
      <c r="A40">
        <v>39</v>
      </c>
      <c r="B40">
        <v>20020</v>
      </c>
      <c r="C40" t="s">
        <v>123</v>
      </c>
      <c r="O40"/>
    </row>
    <row r="41" spans="1:15" x14ac:dyDescent="0.25">
      <c r="A41">
        <v>40</v>
      </c>
      <c r="B41">
        <v>20000</v>
      </c>
      <c r="C41" t="s">
        <v>124</v>
      </c>
      <c r="O41"/>
    </row>
    <row r="42" spans="1:15" x14ac:dyDescent="0.25">
      <c r="A42">
        <v>41</v>
      </c>
      <c r="B42">
        <v>20000</v>
      </c>
      <c r="C42" t="s">
        <v>125</v>
      </c>
      <c r="O42"/>
    </row>
    <row r="43" spans="1:15" x14ac:dyDescent="0.25">
      <c r="A43">
        <v>42</v>
      </c>
      <c r="B43">
        <v>20000</v>
      </c>
      <c r="C43">
        <v>2000</v>
      </c>
      <c r="O43"/>
    </row>
    <row r="44" spans="1:15" x14ac:dyDescent="0.25">
      <c r="A44">
        <v>43</v>
      </c>
      <c r="B44">
        <v>20000</v>
      </c>
      <c r="C44" t="s">
        <v>126</v>
      </c>
      <c r="O44"/>
    </row>
    <row r="45" spans="1:15" x14ac:dyDescent="0.25">
      <c r="A45">
        <v>44</v>
      </c>
      <c r="B45">
        <v>20000</v>
      </c>
      <c r="C45" t="s">
        <v>127</v>
      </c>
      <c r="O45"/>
    </row>
    <row r="46" spans="1:15" x14ac:dyDescent="0.25">
      <c r="A46">
        <v>45</v>
      </c>
      <c r="B46">
        <v>20000</v>
      </c>
      <c r="C46">
        <v>2000</v>
      </c>
      <c r="O46"/>
    </row>
    <row r="47" spans="1:15" x14ac:dyDescent="0.25">
      <c r="A47">
        <v>46</v>
      </c>
      <c r="B47">
        <v>20000</v>
      </c>
      <c r="C47">
        <v>2000</v>
      </c>
      <c r="O47"/>
    </row>
    <row r="48" spans="1:15" x14ac:dyDescent="0.25">
      <c r="A48">
        <v>47</v>
      </c>
      <c r="B48">
        <v>20020</v>
      </c>
      <c r="C48" t="s">
        <v>128</v>
      </c>
      <c r="O48"/>
    </row>
    <row r="49" spans="1:15" x14ac:dyDescent="0.25">
      <c r="A49">
        <v>48</v>
      </c>
      <c r="B49">
        <v>20040</v>
      </c>
      <c r="C49" t="s">
        <v>129</v>
      </c>
      <c r="O49"/>
    </row>
    <row r="50" spans="1:15" x14ac:dyDescent="0.25">
      <c r="A50">
        <v>49</v>
      </c>
      <c r="B50">
        <v>20040</v>
      </c>
      <c r="C50" t="s">
        <v>130</v>
      </c>
      <c r="O50"/>
    </row>
    <row r="51" spans="1:15" x14ac:dyDescent="0.25">
      <c r="A51">
        <v>50</v>
      </c>
      <c r="B51">
        <v>20000</v>
      </c>
      <c r="C51" t="s">
        <v>131</v>
      </c>
      <c r="O51"/>
    </row>
    <row r="52" spans="1:15" x14ac:dyDescent="0.25">
      <c r="A52">
        <v>51</v>
      </c>
      <c r="B52">
        <v>20040</v>
      </c>
      <c r="C52" t="s">
        <v>132</v>
      </c>
      <c r="O52"/>
    </row>
    <row r="53" spans="1:15" x14ac:dyDescent="0.25">
      <c r="A53">
        <v>52</v>
      </c>
      <c r="B53">
        <v>20020</v>
      </c>
      <c r="C53" t="s">
        <v>133</v>
      </c>
      <c r="O53"/>
    </row>
    <row r="54" spans="1:15" x14ac:dyDescent="0.25">
      <c r="A54">
        <v>53</v>
      </c>
      <c r="B54">
        <v>20000</v>
      </c>
      <c r="C54">
        <v>2000</v>
      </c>
      <c r="O54"/>
    </row>
    <row r="55" spans="1:15" x14ac:dyDescent="0.25">
      <c r="A55">
        <v>54</v>
      </c>
      <c r="B55">
        <v>20040</v>
      </c>
      <c r="C55" t="s">
        <v>134</v>
      </c>
      <c r="O55"/>
    </row>
    <row r="56" spans="1:15" x14ac:dyDescent="0.25">
      <c r="A56">
        <v>55</v>
      </c>
      <c r="B56">
        <v>20020</v>
      </c>
      <c r="C56" t="s">
        <v>135</v>
      </c>
      <c r="O56"/>
    </row>
    <row r="57" spans="1:15" x14ac:dyDescent="0.25">
      <c r="A57">
        <v>56</v>
      </c>
      <c r="B57">
        <v>20000</v>
      </c>
      <c r="C57" t="s">
        <v>136</v>
      </c>
      <c r="O57"/>
    </row>
    <row r="58" spans="1:15" x14ac:dyDescent="0.25">
      <c r="A58">
        <v>57</v>
      </c>
      <c r="B58">
        <v>20000</v>
      </c>
      <c r="C58" t="s">
        <v>137</v>
      </c>
      <c r="O58"/>
    </row>
    <row r="59" spans="1:15" x14ac:dyDescent="0.25">
      <c r="A59">
        <v>58</v>
      </c>
      <c r="B59">
        <v>20060</v>
      </c>
      <c r="C59" t="s">
        <v>138</v>
      </c>
      <c r="O59"/>
    </row>
    <row r="60" spans="1:15" x14ac:dyDescent="0.25">
      <c r="A60">
        <v>59</v>
      </c>
      <c r="B60">
        <v>20040</v>
      </c>
      <c r="C60" t="s">
        <v>139</v>
      </c>
      <c r="O60"/>
    </row>
    <row r="61" spans="1:15" x14ac:dyDescent="0.25">
      <c r="A61">
        <v>60</v>
      </c>
      <c r="B61">
        <v>20020</v>
      </c>
      <c r="C61" t="s">
        <v>140</v>
      </c>
      <c r="O61"/>
    </row>
    <row r="62" spans="1:15" x14ac:dyDescent="0.25">
      <c r="A62">
        <v>61</v>
      </c>
      <c r="B62">
        <v>20000</v>
      </c>
      <c r="C62">
        <v>2000</v>
      </c>
      <c r="O62"/>
    </row>
    <row r="63" spans="1:15" x14ac:dyDescent="0.25">
      <c r="A63">
        <v>62</v>
      </c>
      <c r="B63">
        <v>20040</v>
      </c>
      <c r="C63" t="s">
        <v>141</v>
      </c>
      <c r="O63"/>
    </row>
    <row r="64" spans="1:15" x14ac:dyDescent="0.25">
      <c r="A64">
        <v>63</v>
      </c>
      <c r="B64">
        <v>20000</v>
      </c>
      <c r="C64" t="s">
        <v>142</v>
      </c>
      <c r="O64"/>
    </row>
    <row r="65" spans="1:15" x14ac:dyDescent="0.25">
      <c r="A65">
        <v>64</v>
      </c>
      <c r="B65">
        <v>20020</v>
      </c>
      <c r="C65" t="s">
        <v>143</v>
      </c>
      <c r="O65"/>
    </row>
    <row r="66" spans="1:15" x14ac:dyDescent="0.25">
      <c r="A66">
        <v>65</v>
      </c>
      <c r="B66">
        <v>20000</v>
      </c>
      <c r="C66" t="s">
        <v>144</v>
      </c>
      <c r="O66"/>
    </row>
    <row r="67" spans="1:15" x14ac:dyDescent="0.25">
      <c r="A67">
        <v>66</v>
      </c>
      <c r="B67">
        <v>20020</v>
      </c>
      <c r="C67" t="s">
        <v>145</v>
      </c>
      <c r="O67"/>
    </row>
    <row r="68" spans="1:15" x14ac:dyDescent="0.25">
      <c r="A68">
        <v>67</v>
      </c>
      <c r="B68">
        <v>20020</v>
      </c>
      <c r="C68" t="s">
        <v>146</v>
      </c>
      <c r="O68"/>
    </row>
    <row r="69" spans="1:15" x14ac:dyDescent="0.25">
      <c r="A69">
        <v>68</v>
      </c>
      <c r="B69">
        <v>20040</v>
      </c>
      <c r="C69" t="s">
        <v>147</v>
      </c>
      <c r="O69"/>
    </row>
    <row r="70" spans="1:15" x14ac:dyDescent="0.25">
      <c r="A70">
        <v>69</v>
      </c>
      <c r="B70">
        <v>20020</v>
      </c>
      <c r="C70" t="s">
        <v>148</v>
      </c>
      <c r="O70"/>
    </row>
    <row r="71" spans="1:15" x14ac:dyDescent="0.25">
      <c r="A71">
        <v>70</v>
      </c>
      <c r="B71">
        <v>20000</v>
      </c>
      <c r="C71">
        <v>2000</v>
      </c>
      <c r="O71"/>
    </row>
    <row r="72" spans="1:15" x14ac:dyDescent="0.25">
      <c r="A72">
        <v>71</v>
      </c>
      <c r="B72">
        <v>20040</v>
      </c>
      <c r="C72" t="s">
        <v>149</v>
      </c>
      <c r="O72"/>
    </row>
    <row r="73" spans="1:15" x14ac:dyDescent="0.25">
      <c r="A73">
        <v>72</v>
      </c>
      <c r="B73">
        <v>20000</v>
      </c>
      <c r="C73" t="s">
        <v>150</v>
      </c>
      <c r="O73"/>
    </row>
    <row r="74" spans="1:15" x14ac:dyDescent="0.25">
      <c r="A74">
        <v>73</v>
      </c>
      <c r="B74">
        <v>20020</v>
      </c>
      <c r="C74" t="s">
        <v>151</v>
      </c>
      <c r="O74"/>
    </row>
    <row r="75" spans="1:15" x14ac:dyDescent="0.25">
      <c r="A75">
        <v>74</v>
      </c>
      <c r="B75">
        <v>20000</v>
      </c>
      <c r="C75" t="s">
        <v>152</v>
      </c>
      <c r="O75"/>
    </row>
    <row r="76" spans="1:15" x14ac:dyDescent="0.25">
      <c r="A76">
        <v>75</v>
      </c>
      <c r="B76">
        <v>20000</v>
      </c>
      <c r="C76" t="s">
        <v>153</v>
      </c>
      <c r="O76"/>
    </row>
    <row r="77" spans="1:15" x14ac:dyDescent="0.25">
      <c r="A77">
        <v>76</v>
      </c>
      <c r="B77">
        <v>20020</v>
      </c>
      <c r="C77" t="s">
        <v>154</v>
      </c>
      <c r="O77"/>
    </row>
    <row r="78" spans="1:15" x14ac:dyDescent="0.25">
      <c r="A78">
        <v>77</v>
      </c>
      <c r="B78">
        <v>20020</v>
      </c>
      <c r="C78" t="s">
        <v>155</v>
      </c>
      <c r="O78"/>
    </row>
    <row r="79" spans="1:15" x14ac:dyDescent="0.25">
      <c r="A79">
        <v>78</v>
      </c>
      <c r="B79">
        <v>20020</v>
      </c>
      <c r="C79" t="s">
        <v>156</v>
      </c>
      <c r="O79"/>
    </row>
    <row r="80" spans="1:15" x14ac:dyDescent="0.25">
      <c r="A80">
        <v>79</v>
      </c>
      <c r="B80">
        <v>20000</v>
      </c>
      <c r="C80">
        <v>2000</v>
      </c>
      <c r="O80"/>
    </row>
    <row r="81" spans="1:15" x14ac:dyDescent="0.25">
      <c r="A81">
        <v>80</v>
      </c>
      <c r="B81">
        <v>20000</v>
      </c>
      <c r="C81">
        <v>2000</v>
      </c>
      <c r="O81"/>
    </row>
    <row r="82" spans="1:15" x14ac:dyDescent="0.25">
      <c r="A82">
        <v>81</v>
      </c>
      <c r="B82">
        <v>20040</v>
      </c>
      <c r="C82" t="s">
        <v>157</v>
      </c>
      <c r="O82"/>
    </row>
    <row r="83" spans="1:15" x14ac:dyDescent="0.25">
      <c r="A83">
        <v>82</v>
      </c>
      <c r="B83">
        <v>20020</v>
      </c>
      <c r="C83" t="s">
        <v>158</v>
      </c>
      <c r="O83"/>
    </row>
    <row r="84" spans="1:15" x14ac:dyDescent="0.25">
      <c r="A84">
        <v>83</v>
      </c>
      <c r="B84">
        <v>20040</v>
      </c>
      <c r="C84" t="s">
        <v>159</v>
      </c>
      <c r="O84"/>
    </row>
    <row r="85" spans="1:15" x14ac:dyDescent="0.25">
      <c r="A85">
        <v>84</v>
      </c>
      <c r="B85">
        <v>20000</v>
      </c>
      <c r="C85" t="s">
        <v>160</v>
      </c>
      <c r="O85"/>
    </row>
    <row r="86" spans="1:15" x14ac:dyDescent="0.25">
      <c r="A86">
        <v>85</v>
      </c>
      <c r="B86">
        <v>20040</v>
      </c>
      <c r="C86" t="s">
        <v>161</v>
      </c>
      <c r="O86"/>
    </row>
    <row r="87" spans="1:15" x14ac:dyDescent="0.25">
      <c r="A87">
        <v>86</v>
      </c>
      <c r="B87">
        <v>20020</v>
      </c>
      <c r="C87" t="s">
        <v>162</v>
      </c>
      <c r="O87"/>
    </row>
    <row r="88" spans="1:15" x14ac:dyDescent="0.25">
      <c r="A88">
        <v>87</v>
      </c>
      <c r="B88">
        <v>20020</v>
      </c>
      <c r="C88" t="s">
        <v>163</v>
      </c>
      <c r="O88"/>
    </row>
    <row r="89" spans="1:15" x14ac:dyDescent="0.25">
      <c r="A89">
        <v>88</v>
      </c>
      <c r="B89">
        <v>20040</v>
      </c>
      <c r="C89" t="s">
        <v>164</v>
      </c>
      <c r="O89"/>
    </row>
    <row r="90" spans="1:15" x14ac:dyDescent="0.25">
      <c r="A90">
        <v>89</v>
      </c>
      <c r="B90">
        <v>20020</v>
      </c>
      <c r="C90" t="s">
        <v>165</v>
      </c>
      <c r="O90"/>
    </row>
    <row r="91" spans="1:15" x14ac:dyDescent="0.25">
      <c r="A91">
        <v>90</v>
      </c>
      <c r="B91">
        <v>20020</v>
      </c>
      <c r="C91" t="s">
        <v>166</v>
      </c>
      <c r="O91"/>
    </row>
    <row r="92" spans="1:15" x14ac:dyDescent="0.25">
      <c r="A92">
        <v>91</v>
      </c>
      <c r="B92">
        <v>20000</v>
      </c>
      <c r="C92" t="s">
        <v>167</v>
      </c>
      <c r="O92"/>
    </row>
    <row r="93" spans="1:15" x14ac:dyDescent="0.25">
      <c r="A93">
        <v>92</v>
      </c>
      <c r="B93">
        <v>19980</v>
      </c>
      <c r="C93" t="s">
        <v>168</v>
      </c>
      <c r="O93"/>
    </row>
    <row r="94" spans="1:15" x14ac:dyDescent="0.25">
      <c r="A94">
        <v>93</v>
      </c>
      <c r="B94">
        <v>20020</v>
      </c>
      <c r="C94" t="s">
        <v>169</v>
      </c>
      <c r="O94"/>
    </row>
    <row r="95" spans="1:15" x14ac:dyDescent="0.25">
      <c r="A95">
        <v>94</v>
      </c>
      <c r="B95">
        <v>20000</v>
      </c>
      <c r="C95" t="s">
        <v>170</v>
      </c>
      <c r="O95"/>
    </row>
    <row r="96" spans="1:15" x14ac:dyDescent="0.25">
      <c r="A96">
        <v>95</v>
      </c>
      <c r="B96">
        <v>20000</v>
      </c>
      <c r="C96" t="s">
        <v>171</v>
      </c>
      <c r="O96"/>
    </row>
    <row r="97" spans="1:15" x14ac:dyDescent="0.25">
      <c r="A97">
        <v>96</v>
      </c>
      <c r="B97">
        <v>20000</v>
      </c>
      <c r="C97">
        <v>2000</v>
      </c>
      <c r="O97"/>
    </row>
    <row r="98" spans="1:15" x14ac:dyDescent="0.25">
      <c r="A98">
        <v>97</v>
      </c>
      <c r="B98">
        <v>20120</v>
      </c>
      <c r="C98" t="s">
        <v>172</v>
      </c>
      <c r="O98"/>
    </row>
    <row r="99" spans="1:15" x14ac:dyDescent="0.25">
      <c r="A99">
        <v>98</v>
      </c>
      <c r="B99">
        <v>20000</v>
      </c>
      <c r="C99" t="s">
        <v>173</v>
      </c>
      <c r="O99"/>
    </row>
    <row r="100" spans="1:15" x14ac:dyDescent="0.25">
      <c r="A100">
        <v>99</v>
      </c>
      <c r="B100">
        <v>20020</v>
      </c>
      <c r="C100" t="s">
        <v>174</v>
      </c>
      <c r="O100"/>
    </row>
    <row r="101" spans="1:15" x14ac:dyDescent="0.25">
      <c r="A101">
        <v>100</v>
      </c>
      <c r="B101">
        <v>20000</v>
      </c>
      <c r="C101" t="s">
        <v>175</v>
      </c>
      <c r="O101"/>
    </row>
    <row r="102" spans="1:15" x14ac:dyDescent="0.25">
      <c r="A102">
        <v>101</v>
      </c>
      <c r="B102">
        <v>20000</v>
      </c>
      <c r="C102" t="s">
        <v>176</v>
      </c>
      <c r="O102"/>
    </row>
    <row r="103" spans="1:15" x14ac:dyDescent="0.25">
      <c r="A103">
        <v>102</v>
      </c>
      <c r="B103">
        <v>20000</v>
      </c>
      <c r="C103" t="s">
        <v>177</v>
      </c>
      <c r="O103"/>
    </row>
    <row r="104" spans="1:15" x14ac:dyDescent="0.25">
      <c r="A104">
        <v>103</v>
      </c>
      <c r="B104">
        <v>20020</v>
      </c>
      <c r="C104" t="s">
        <v>178</v>
      </c>
      <c r="O104"/>
    </row>
    <row r="105" spans="1:15" x14ac:dyDescent="0.25">
      <c r="A105">
        <v>104</v>
      </c>
      <c r="B105">
        <v>20000</v>
      </c>
      <c r="C105" t="s">
        <v>179</v>
      </c>
      <c r="O105"/>
    </row>
    <row r="106" spans="1:15" x14ac:dyDescent="0.25">
      <c r="A106">
        <v>105</v>
      </c>
      <c r="B106">
        <v>20020</v>
      </c>
      <c r="C106" t="s">
        <v>180</v>
      </c>
      <c r="O106"/>
    </row>
    <row r="107" spans="1:15" x14ac:dyDescent="0.25">
      <c r="A107">
        <v>106</v>
      </c>
      <c r="B107">
        <v>20020</v>
      </c>
      <c r="C107" t="s">
        <v>181</v>
      </c>
      <c r="O107"/>
    </row>
    <row r="108" spans="1:15" x14ac:dyDescent="0.25">
      <c r="A108">
        <v>107</v>
      </c>
      <c r="B108">
        <v>20020</v>
      </c>
      <c r="C108" t="s">
        <v>182</v>
      </c>
      <c r="O108"/>
    </row>
    <row r="109" spans="1:15" x14ac:dyDescent="0.25">
      <c r="A109">
        <v>108</v>
      </c>
      <c r="B109">
        <v>19980</v>
      </c>
      <c r="C109" t="s">
        <v>183</v>
      </c>
      <c r="O109"/>
    </row>
    <row r="110" spans="1:15" x14ac:dyDescent="0.25">
      <c r="A110">
        <v>109</v>
      </c>
      <c r="B110">
        <v>20000</v>
      </c>
      <c r="C110" t="s">
        <v>184</v>
      </c>
      <c r="O110"/>
    </row>
    <row r="111" spans="1:15" x14ac:dyDescent="0.25">
      <c r="A111">
        <v>110</v>
      </c>
      <c r="B111">
        <v>20020</v>
      </c>
      <c r="C111" t="s">
        <v>185</v>
      </c>
      <c r="O111"/>
    </row>
    <row r="112" spans="1:15" x14ac:dyDescent="0.25">
      <c r="A112">
        <v>111</v>
      </c>
      <c r="B112">
        <v>20040</v>
      </c>
      <c r="C112" t="s">
        <v>186</v>
      </c>
      <c r="O112"/>
    </row>
    <row r="113" spans="1:15" x14ac:dyDescent="0.25">
      <c r="A113">
        <v>112</v>
      </c>
      <c r="B113">
        <v>20000</v>
      </c>
      <c r="C113" t="s">
        <v>187</v>
      </c>
      <c r="O113"/>
    </row>
    <row r="114" spans="1:15" x14ac:dyDescent="0.25">
      <c r="A114">
        <v>113</v>
      </c>
      <c r="B114">
        <v>20000</v>
      </c>
      <c r="C114" t="s">
        <v>188</v>
      </c>
      <c r="O114"/>
    </row>
    <row r="115" spans="1:15" x14ac:dyDescent="0.25">
      <c r="A115">
        <v>114</v>
      </c>
      <c r="B115">
        <v>20040</v>
      </c>
      <c r="C115" t="s">
        <v>189</v>
      </c>
      <c r="O115"/>
    </row>
    <row r="116" spans="1:15" x14ac:dyDescent="0.25">
      <c r="A116">
        <v>115</v>
      </c>
      <c r="B116">
        <v>20000</v>
      </c>
      <c r="C116">
        <v>2000</v>
      </c>
      <c r="O116"/>
    </row>
    <row r="117" spans="1:15" x14ac:dyDescent="0.25">
      <c r="A117">
        <v>116</v>
      </c>
      <c r="B117">
        <v>20020</v>
      </c>
      <c r="C117" t="s">
        <v>190</v>
      </c>
      <c r="O117"/>
    </row>
    <row r="118" spans="1:15" x14ac:dyDescent="0.25">
      <c r="A118">
        <v>117</v>
      </c>
      <c r="B118">
        <v>20000</v>
      </c>
      <c r="C118" t="s">
        <v>191</v>
      </c>
      <c r="O118"/>
    </row>
    <row r="119" spans="1:15" x14ac:dyDescent="0.25">
      <c r="A119">
        <v>118</v>
      </c>
      <c r="B119">
        <v>20020</v>
      </c>
      <c r="C119" t="s">
        <v>192</v>
      </c>
      <c r="O119"/>
    </row>
    <row r="120" spans="1:15" x14ac:dyDescent="0.25">
      <c r="A120">
        <v>119</v>
      </c>
      <c r="B120">
        <v>20020</v>
      </c>
      <c r="C120" t="s">
        <v>193</v>
      </c>
      <c r="O120"/>
    </row>
    <row r="121" spans="1:15" x14ac:dyDescent="0.25">
      <c r="A121">
        <v>120</v>
      </c>
      <c r="B121">
        <v>20040</v>
      </c>
      <c r="C121" t="s">
        <v>194</v>
      </c>
      <c r="O121"/>
    </row>
    <row r="122" spans="1:15" x14ac:dyDescent="0.25">
      <c r="A122">
        <v>121</v>
      </c>
      <c r="B122">
        <v>20000</v>
      </c>
      <c r="C122">
        <v>2000</v>
      </c>
      <c r="O122"/>
    </row>
    <row r="123" spans="1:15" x14ac:dyDescent="0.25">
      <c r="A123">
        <v>122</v>
      </c>
      <c r="B123">
        <v>20000</v>
      </c>
      <c r="C123" t="s">
        <v>195</v>
      </c>
      <c r="O123"/>
    </row>
    <row r="124" spans="1:15" x14ac:dyDescent="0.25">
      <c r="A124">
        <v>123</v>
      </c>
      <c r="B124">
        <v>20020</v>
      </c>
      <c r="C124" t="s">
        <v>196</v>
      </c>
      <c r="O124"/>
    </row>
    <row r="125" spans="1:15" x14ac:dyDescent="0.25">
      <c r="A125">
        <v>124</v>
      </c>
      <c r="B125">
        <v>19980</v>
      </c>
      <c r="C125" t="s">
        <v>197</v>
      </c>
      <c r="O125"/>
    </row>
    <row r="126" spans="1:15" x14ac:dyDescent="0.25">
      <c r="A126">
        <v>125</v>
      </c>
      <c r="B126">
        <v>20000</v>
      </c>
      <c r="C126">
        <v>2000</v>
      </c>
      <c r="O126"/>
    </row>
    <row r="127" spans="1:15" x14ac:dyDescent="0.25">
      <c r="A127">
        <v>126</v>
      </c>
      <c r="B127">
        <v>20000</v>
      </c>
      <c r="C127">
        <v>2000</v>
      </c>
      <c r="O127"/>
    </row>
    <row r="128" spans="1:15" x14ac:dyDescent="0.25">
      <c r="A128">
        <v>127</v>
      </c>
      <c r="B128">
        <v>20000</v>
      </c>
      <c r="C128">
        <v>2000</v>
      </c>
      <c r="O128"/>
    </row>
    <row r="129" spans="1:15" x14ac:dyDescent="0.25">
      <c r="A129">
        <v>128</v>
      </c>
      <c r="B129">
        <v>20000</v>
      </c>
      <c r="C129" t="s">
        <v>198</v>
      </c>
      <c r="O129"/>
    </row>
    <row r="130" spans="1:15" x14ac:dyDescent="0.25">
      <c r="A130">
        <v>129</v>
      </c>
      <c r="B130">
        <v>20040</v>
      </c>
      <c r="C130" t="s">
        <v>199</v>
      </c>
      <c r="O130"/>
    </row>
    <row r="131" spans="1:15" x14ac:dyDescent="0.25">
      <c r="A131">
        <v>130</v>
      </c>
      <c r="B131">
        <v>20040</v>
      </c>
      <c r="C131" t="s">
        <v>200</v>
      </c>
      <c r="O131"/>
    </row>
    <row r="132" spans="1:15" x14ac:dyDescent="0.25">
      <c r="A132">
        <v>131</v>
      </c>
      <c r="B132">
        <v>20020</v>
      </c>
      <c r="C132" t="s">
        <v>201</v>
      </c>
      <c r="O132"/>
    </row>
    <row r="133" spans="1:15" x14ac:dyDescent="0.25">
      <c r="A133">
        <v>132</v>
      </c>
      <c r="B133">
        <v>20000</v>
      </c>
      <c r="C133">
        <v>2000</v>
      </c>
      <c r="O133"/>
    </row>
    <row r="134" spans="1:15" x14ac:dyDescent="0.25">
      <c r="A134">
        <v>133</v>
      </c>
      <c r="B134">
        <v>20020</v>
      </c>
      <c r="C134" t="s">
        <v>202</v>
      </c>
      <c r="O134"/>
    </row>
    <row r="135" spans="1:15" x14ac:dyDescent="0.25">
      <c r="A135">
        <v>134</v>
      </c>
      <c r="B135">
        <v>20000</v>
      </c>
      <c r="C135">
        <v>2000</v>
      </c>
      <c r="O135"/>
    </row>
    <row r="136" spans="1:15" x14ac:dyDescent="0.25">
      <c r="A136">
        <v>135</v>
      </c>
      <c r="B136">
        <v>20020</v>
      </c>
      <c r="C136" t="s">
        <v>203</v>
      </c>
      <c r="O136"/>
    </row>
    <row r="137" spans="1:15" x14ac:dyDescent="0.25">
      <c r="A137">
        <v>136</v>
      </c>
      <c r="B137">
        <v>20040</v>
      </c>
      <c r="C137" t="s">
        <v>204</v>
      </c>
      <c r="O137"/>
    </row>
    <row r="138" spans="1:15" x14ac:dyDescent="0.25">
      <c r="A138">
        <v>137</v>
      </c>
      <c r="B138">
        <v>20020</v>
      </c>
      <c r="C138" t="s">
        <v>205</v>
      </c>
      <c r="O138"/>
    </row>
    <row r="139" spans="1:15" x14ac:dyDescent="0.25">
      <c r="A139">
        <v>138</v>
      </c>
      <c r="B139">
        <v>20000</v>
      </c>
      <c r="C139" t="s">
        <v>206</v>
      </c>
      <c r="O139"/>
    </row>
    <row r="140" spans="1:15" x14ac:dyDescent="0.25">
      <c r="A140">
        <v>139</v>
      </c>
      <c r="B140">
        <v>20000</v>
      </c>
      <c r="C140">
        <v>2000</v>
      </c>
      <c r="O140"/>
    </row>
    <row r="141" spans="1:15" x14ac:dyDescent="0.25">
      <c r="A141">
        <v>140</v>
      </c>
      <c r="B141">
        <v>20000</v>
      </c>
      <c r="C141" t="s">
        <v>207</v>
      </c>
      <c r="O141"/>
    </row>
    <row r="142" spans="1:15" x14ac:dyDescent="0.25">
      <c r="A142">
        <v>141</v>
      </c>
      <c r="B142">
        <v>20000</v>
      </c>
      <c r="C142">
        <v>2000</v>
      </c>
      <c r="O142"/>
    </row>
    <row r="143" spans="1:15" x14ac:dyDescent="0.25">
      <c r="A143">
        <v>142</v>
      </c>
      <c r="B143">
        <v>20000</v>
      </c>
      <c r="C143">
        <v>2000</v>
      </c>
      <c r="O143"/>
    </row>
    <row r="144" spans="1:15" x14ac:dyDescent="0.25">
      <c r="A144">
        <v>143</v>
      </c>
      <c r="B144">
        <v>20000</v>
      </c>
      <c r="C144">
        <v>2000</v>
      </c>
      <c r="O144"/>
    </row>
    <row r="145" spans="1:15" x14ac:dyDescent="0.25">
      <c r="A145">
        <v>144</v>
      </c>
      <c r="B145">
        <v>20000</v>
      </c>
      <c r="C145">
        <v>2000</v>
      </c>
      <c r="O145"/>
    </row>
    <row r="146" spans="1:15" x14ac:dyDescent="0.25">
      <c r="A146">
        <v>145</v>
      </c>
      <c r="B146">
        <v>20020</v>
      </c>
      <c r="C146" t="s">
        <v>208</v>
      </c>
      <c r="O146"/>
    </row>
    <row r="147" spans="1:15" x14ac:dyDescent="0.25">
      <c r="A147">
        <v>146</v>
      </c>
      <c r="B147">
        <v>20020</v>
      </c>
      <c r="C147" t="s">
        <v>209</v>
      </c>
      <c r="O147"/>
    </row>
    <row r="148" spans="1:15" x14ac:dyDescent="0.25">
      <c r="A148">
        <v>147</v>
      </c>
      <c r="B148">
        <v>20020</v>
      </c>
      <c r="C148" t="s">
        <v>210</v>
      </c>
      <c r="O148"/>
    </row>
    <row r="149" spans="1:15" x14ac:dyDescent="0.25">
      <c r="A149">
        <v>148</v>
      </c>
      <c r="B149">
        <v>20000</v>
      </c>
      <c r="C149">
        <v>2000</v>
      </c>
      <c r="O149"/>
    </row>
    <row r="150" spans="1:15" x14ac:dyDescent="0.25">
      <c r="A150">
        <v>149</v>
      </c>
      <c r="B150">
        <v>20040</v>
      </c>
      <c r="C150" t="s">
        <v>211</v>
      </c>
      <c r="O150"/>
    </row>
    <row r="151" spans="1:15" x14ac:dyDescent="0.25">
      <c r="A151">
        <v>150</v>
      </c>
      <c r="B151">
        <v>20020</v>
      </c>
      <c r="C151" t="s">
        <v>212</v>
      </c>
      <c r="O151"/>
    </row>
    <row r="152" spans="1:15" x14ac:dyDescent="0.25">
      <c r="A152">
        <v>151</v>
      </c>
      <c r="B152">
        <v>20020</v>
      </c>
      <c r="C152" t="s">
        <v>213</v>
      </c>
      <c r="O152"/>
    </row>
    <row r="153" spans="1:15" x14ac:dyDescent="0.25">
      <c r="A153">
        <v>152</v>
      </c>
      <c r="B153">
        <v>20040</v>
      </c>
      <c r="C153" t="s">
        <v>214</v>
      </c>
      <c r="O153"/>
    </row>
    <row r="154" spans="1:15" x14ac:dyDescent="0.25">
      <c r="A154">
        <v>153</v>
      </c>
      <c r="B154">
        <v>20040</v>
      </c>
      <c r="C154" t="s">
        <v>215</v>
      </c>
      <c r="O154"/>
    </row>
    <row r="155" spans="1:15" x14ac:dyDescent="0.25">
      <c r="A155">
        <v>154</v>
      </c>
      <c r="B155">
        <v>20020</v>
      </c>
      <c r="C155" t="s">
        <v>216</v>
      </c>
      <c r="O155"/>
    </row>
    <row r="156" spans="1:15" x14ac:dyDescent="0.25">
      <c r="A156">
        <v>155</v>
      </c>
      <c r="B156">
        <v>20020</v>
      </c>
      <c r="C156" t="s">
        <v>217</v>
      </c>
      <c r="O156"/>
    </row>
    <row r="157" spans="1:15" x14ac:dyDescent="0.25">
      <c r="A157">
        <v>156</v>
      </c>
      <c r="B157">
        <v>20000</v>
      </c>
      <c r="C157" t="s">
        <v>218</v>
      </c>
      <c r="O157"/>
    </row>
    <row r="158" spans="1:15" x14ac:dyDescent="0.25">
      <c r="A158">
        <v>157</v>
      </c>
      <c r="B158">
        <v>20000</v>
      </c>
      <c r="C158" t="s">
        <v>219</v>
      </c>
      <c r="O158"/>
    </row>
    <row r="159" spans="1:15" x14ac:dyDescent="0.25">
      <c r="A159">
        <v>158</v>
      </c>
      <c r="B159">
        <v>20000</v>
      </c>
      <c r="C159">
        <v>2000</v>
      </c>
      <c r="O159"/>
    </row>
    <row r="160" spans="1:15" x14ac:dyDescent="0.25">
      <c r="A160">
        <v>159</v>
      </c>
      <c r="B160">
        <v>20020</v>
      </c>
      <c r="C160" t="s">
        <v>220</v>
      </c>
      <c r="O160"/>
    </row>
    <row r="161" spans="1:15" x14ac:dyDescent="0.25">
      <c r="A161">
        <v>160</v>
      </c>
      <c r="B161">
        <v>20040</v>
      </c>
      <c r="C161" t="s">
        <v>221</v>
      </c>
      <c r="O161"/>
    </row>
    <row r="162" spans="1:15" x14ac:dyDescent="0.25">
      <c r="A162">
        <v>161</v>
      </c>
      <c r="B162">
        <v>20020</v>
      </c>
      <c r="C162" t="s">
        <v>222</v>
      </c>
      <c r="O162"/>
    </row>
    <row r="163" spans="1:15" x14ac:dyDescent="0.25">
      <c r="A163">
        <v>162</v>
      </c>
      <c r="B163">
        <v>20020</v>
      </c>
      <c r="C163" t="s">
        <v>223</v>
      </c>
      <c r="O163"/>
    </row>
    <row r="164" spans="1:15" x14ac:dyDescent="0.25">
      <c r="A164">
        <v>163</v>
      </c>
      <c r="B164">
        <v>20020</v>
      </c>
      <c r="C164" t="s">
        <v>224</v>
      </c>
      <c r="O164"/>
    </row>
    <row r="165" spans="1:15" x14ac:dyDescent="0.25">
      <c r="A165">
        <v>164</v>
      </c>
      <c r="B165">
        <v>20020</v>
      </c>
      <c r="C165" t="s">
        <v>225</v>
      </c>
      <c r="O165"/>
    </row>
    <row r="166" spans="1:15" x14ac:dyDescent="0.25">
      <c r="A166">
        <v>165</v>
      </c>
      <c r="B166">
        <v>20000</v>
      </c>
      <c r="C166" t="s">
        <v>226</v>
      </c>
      <c r="O166"/>
    </row>
    <row r="167" spans="1:15" x14ac:dyDescent="0.25">
      <c r="A167">
        <v>166</v>
      </c>
      <c r="B167">
        <v>20020</v>
      </c>
      <c r="C167" t="s">
        <v>227</v>
      </c>
      <c r="O167"/>
    </row>
    <row r="168" spans="1:15" x14ac:dyDescent="0.25">
      <c r="A168">
        <v>167</v>
      </c>
      <c r="B168">
        <v>20040</v>
      </c>
      <c r="C168" t="s">
        <v>228</v>
      </c>
      <c r="O168"/>
    </row>
    <row r="169" spans="1:15" x14ac:dyDescent="0.25">
      <c r="A169">
        <v>168</v>
      </c>
      <c r="B169">
        <v>20020</v>
      </c>
      <c r="C169" t="s">
        <v>229</v>
      </c>
      <c r="O169"/>
    </row>
    <row r="170" spans="1:15" x14ac:dyDescent="0.25">
      <c r="A170">
        <v>169</v>
      </c>
      <c r="B170">
        <v>20000</v>
      </c>
      <c r="C170" t="s">
        <v>230</v>
      </c>
      <c r="O170"/>
    </row>
    <row r="171" spans="1:15" x14ac:dyDescent="0.25">
      <c r="A171">
        <v>170</v>
      </c>
      <c r="B171">
        <v>20000</v>
      </c>
      <c r="C171" t="s">
        <v>231</v>
      </c>
      <c r="O171"/>
    </row>
    <row r="172" spans="1:15" x14ac:dyDescent="0.25">
      <c r="A172">
        <v>171</v>
      </c>
      <c r="B172">
        <v>20020</v>
      </c>
      <c r="C172" t="s">
        <v>232</v>
      </c>
      <c r="O172"/>
    </row>
    <row r="173" spans="1:15" x14ac:dyDescent="0.25">
      <c r="A173">
        <v>172</v>
      </c>
      <c r="B173">
        <v>20000</v>
      </c>
      <c r="C173">
        <v>2000</v>
      </c>
      <c r="O173"/>
    </row>
    <row r="174" spans="1:15" x14ac:dyDescent="0.25">
      <c r="A174">
        <v>173</v>
      </c>
      <c r="B174">
        <v>20000</v>
      </c>
      <c r="C174">
        <v>2000</v>
      </c>
      <c r="O174"/>
    </row>
    <row r="175" spans="1:15" x14ac:dyDescent="0.25">
      <c r="A175">
        <v>174</v>
      </c>
      <c r="B175">
        <v>19980</v>
      </c>
      <c r="C175" t="s">
        <v>233</v>
      </c>
      <c r="O175"/>
    </row>
    <row r="176" spans="1:15" x14ac:dyDescent="0.25">
      <c r="A176">
        <v>175</v>
      </c>
      <c r="B176">
        <v>20000</v>
      </c>
      <c r="C176" t="s">
        <v>234</v>
      </c>
      <c r="O176"/>
    </row>
    <row r="177" spans="1:15" x14ac:dyDescent="0.25">
      <c r="A177">
        <v>176</v>
      </c>
      <c r="B177">
        <v>20000</v>
      </c>
      <c r="C177">
        <v>2000</v>
      </c>
      <c r="O177"/>
    </row>
    <row r="178" spans="1:15" x14ac:dyDescent="0.25">
      <c r="A178">
        <v>177</v>
      </c>
      <c r="B178">
        <v>20000</v>
      </c>
      <c r="C178">
        <v>2000</v>
      </c>
      <c r="O178"/>
    </row>
    <row r="179" spans="1:15" x14ac:dyDescent="0.25">
      <c r="A179">
        <v>178</v>
      </c>
      <c r="B179">
        <v>20020</v>
      </c>
      <c r="C179" t="s">
        <v>235</v>
      </c>
      <c r="O179"/>
    </row>
    <row r="180" spans="1:15" x14ac:dyDescent="0.25">
      <c r="A180">
        <v>179</v>
      </c>
      <c r="B180">
        <v>20000</v>
      </c>
      <c r="C180">
        <v>2000</v>
      </c>
      <c r="O180"/>
    </row>
    <row r="181" spans="1:15" x14ac:dyDescent="0.25">
      <c r="A181">
        <v>180</v>
      </c>
      <c r="B181">
        <v>20020</v>
      </c>
      <c r="C181" t="s">
        <v>236</v>
      </c>
      <c r="O181"/>
    </row>
    <row r="182" spans="1:15" x14ac:dyDescent="0.25">
      <c r="A182">
        <v>181</v>
      </c>
      <c r="B182">
        <v>20020</v>
      </c>
      <c r="C182" t="s">
        <v>237</v>
      </c>
      <c r="O182"/>
    </row>
    <row r="183" spans="1:15" x14ac:dyDescent="0.25">
      <c r="A183">
        <v>182</v>
      </c>
      <c r="B183">
        <v>20020</v>
      </c>
      <c r="C183" t="s">
        <v>238</v>
      </c>
      <c r="O183"/>
    </row>
    <row r="184" spans="1:15" x14ac:dyDescent="0.25">
      <c r="A184">
        <v>183</v>
      </c>
      <c r="B184">
        <v>20020</v>
      </c>
      <c r="C184" t="s">
        <v>239</v>
      </c>
      <c r="O184"/>
    </row>
    <row r="185" spans="1:15" x14ac:dyDescent="0.25">
      <c r="A185">
        <v>184</v>
      </c>
      <c r="B185">
        <v>20000</v>
      </c>
      <c r="C185" t="s">
        <v>240</v>
      </c>
      <c r="O185"/>
    </row>
    <row r="186" spans="1:15" x14ac:dyDescent="0.25">
      <c r="A186">
        <v>185</v>
      </c>
      <c r="B186">
        <v>20000</v>
      </c>
      <c r="C186">
        <v>2000</v>
      </c>
      <c r="O186"/>
    </row>
    <row r="187" spans="1:15" x14ac:dyDescent="0.25">
      <c r="A187">
        <v>186</v>
      </c>
      <c r="B187">
        <v>20000</v>
      </c>
      <c r="C187" t="s">
        <v>241</v>
      </c>
      <c r="O187"/>
    </row>
    <row r="188" spans="1:15" x14ac:dyDescent="0.25">
      <c r="A188">
        <v>187</v>
      </c>
      <c r="B188">
        <v>20000</v>
      </c>
      <c r="C188" t="s">
        <v>242</v>
      </c>
      <c r="O188"/>
    </row>
    <row r="189" spans="1:15" x14ac:dyDescent="0.25">
      <c r="A189">
        <v>188</v>
      </c>
      <c r="B189">
        <v>20020</v>
      </c>
      <c r="C189" t="s">
        <v>243</v>
      </c>
      <c r="O189"/>
    </row>
    <row r="190" spans="1:15" x14ac:dyDescent="0.25">
      <c r="A190">
        <v>189</v>
      </c>
      <c r="B190">
        <v>20000</v>
      </c>
      <c r="C190">
        <v>2000</v>
      </c>
      <c r="O190"/>
    </row>
    <row r="191" spans="1:15" x14ac:dyDescent="0.25">
      <c r="A191">
        <v>190</v>
      </c>
      <c r="B191">
        <v>20020</v>
      </c>
      <c r="C191" t="s">
        <v>244</v>
      </c>
      <c r="O191"/>
    </row>
    <row r="192" spans="1:15" x14ac:dyDescent="0.25">
      <c r="A192">
        <v>191</v>
      </c>
      <c r="B192">
        <v>20000</v>
      </c>
      <c r="C192" t="s">
        <v>245</v>
      </c>
      <c r="O192"/>
    </row>
    <row r="193" spans="1:15" x14ac:dyDescent="0.25">
      <c r="A193">
        <v>192</v>
      </c>
      <c r="B193">
        <v>20040</v>
      </c>
      <c r="C193" t="s">
        <v>246</v>
      </c>
      <c r="O193"/>
    </row>
    <row r="194" spans="1:15" x14ac:dyDescent="0.25">
      <c r="A194">
        <v>193</v>
      </c>
      <c r="B194">
        <v>20040</v>
      </c>
      <c r="C194" t="s">
        <v>247</v>
      </c>
      <c r="O194"/>
    </row>
    <row r="195" spans="1:15" x14ac:dyDescent="0.25">
      <c r="A195">
        <v>194</v>
      </c>
      <c r="B195">
        <v>20020</v>
      </c>
      <c r="C195" t="s">
        <v>248</v>
      </c>
      <c r="O195"/>
    </row>
    <row r="196" spans="1:15" x14ac:dyDescent="0.25">
      <c r="A196">
        <v>195</v>
      </c>
      <c r="B196">
        <v>20020</v>
      </c>
      <c r="C196" t="s">
        <v>249</v>
      </c>
      <c r="O196"/>
    </row>
    <row r="197" spans="1:15" x14ac:dyDescent="0.25">
      <c r="A197">
        <v>196</v>
      </c>
      <c r="B197">
        <v>20020</v>
      </c>
      <c r="C197" t="s">
        <v>250</v>
      </c>
      <c r="O197"/>
    </row>
    <row r="198" spans="1:15" x14ac:dyDescent="0.25">
      <c r="A198">
        <v>197</v>
      </c>
      <c r="B198">
        <v>20000</v>
      </c>
      <c r="C198" t="s">
        <v>251</v>
      </c>
      <c r="O198"/>
    </row>
    <row r="199" spans="1:15" x14ac:dyDescent="0.25">
      <c r="A199">
        <v>198</v>
      </c>
      <c r="B199">
        <v>20000</v>
      </c>
      <c r="C199" t="s">
        <v>252</v>
      </c>
      <c r="O199"/>
    </row>
    <row r="200" spans="1:15" x14ac:dyDescent="0.25">
      <c r="A200">
        <v>199</v>
      </c>
      <c r="B200">
        <v>20020</v>
      </c>
      <c r="C200" t="s">
        <v>253</v>
      </c>
      <c r="O200"/>
    </row>
    <row r="201" spans="1:15" x14ac:dyDescent="0.25">
      <c r="A201">
        <v>200</v>
      </c>
      <c r="B201">
        <v>19980</v>
      </c>
      <c r="C201" t="s">
        <v>254</v>
      </c>
      <c r="O201"/>
    </row>
    <row r="202" spans="1:15" x14ac:dyDescent="0.25">
      <c r="A202">
        <v>201</v>
      </c>
      <c r="B202">
        <v>20020</v>
      </c>
      <c r="C202" t="s">
        <v>255</v>
      </c>
      <c r="O202"/>
    </row>
    <row r="203" spans="1:15" x14ac:dyDescent="0.25">
      <c r="A203">
        <v>202</v>
      </c>
      <c r="B203">
        <v>20020</v>
      </c>
      <c r="C203" t="s">
        <v>256</v>
      </c>
      <c r="O203"/>
    </row>
    <row r="204" spans="1:15" x14ac:dyDescent="0.25">
      <c r="A204">
        <v>203</v>
      </c>
      <c r="B204">
        <v>20020</v>
      </c>
      <c r="C204" t="s">
        <v>257</v>
      </c>
      <c r="O204"/>
    </row>
    <row r="205" spans="1:15" x14ac:dyDescent="0.25">
      <c r="A205">
        <v>204</v>
      </c>
      <c r="B205">
        <v>20020</v>
      </c>
      <c r="C205" t="s">
        <v>258</v>
      </c>
      <c r="O205"/>
    </row>
    <row r="206" spans="1:15" x14ac:dyDescent="0.25">
      <c r="A206">
        <v>205</v>
      </c>
      <c r="B206">
        <v>20020</v>
      </c>
      <c r="C206" t="s">
        <v>259</v>
      </c>
      <c r="O206"/>
    </row>
    <row r="207" spans="1:15" x14ac:dyDescent="0.25">
      <c r="A207">
        <v>206</v>
      </c>
      <c r="B207">
        <v>20000</v>
      </c>
      <c r="C207" t="s">
        <v>260</v>
      </c>
      <c r="O207"/>
    </row>
    <row r="208" spans="1:15" x14ac:dyDescent="0.25">
      <c r="A208">
        <v>207</v>
      </c>
      <c r="B208">
        <v>20040</v>
      </c>
      <c r="C208" t="s">
        <v>261</v>
      </c>
      <c r="O208"/>
    </row>
    <row r="209" spans="1:15" x14ac:dyDescent="0.25">
      <c r="A209">
        <v>208</v>
      </c>
      <c r="B209">
        <v>20020</v>
      </c>
      <c r="C209" t="s">
        <v>262</v>
      </c>
      <c r="O209"/>
    </row>
    <row r="210" spans="1:15" x14ac:dyDescent="0.25">
      <c r="A210">
        <v>209</v>
      </c>
      <c r="B210">
        <v>20020</v>
      </c>
      <c r="C210" t="s">
        <v>263</v>
      </c>
      <c r="O210"/>
    </row>
    <row r="211" spans="1:15" x14ac:dyDescent="0.25">
      <c r="A211">
        <v>210</v>
      </c>
      <c r="B211">
        <v>20000</v>
      </c>
      <c r="C211">
        <v>2000</v>
      </c>
      <c r="O211"/>
    </row>
    <row r="212" spans="1:15" x14ac:dyDescent="0.25">
      <c r="A212">
        <v>211</v>
      </c>
      <c r="B212">
        <v>20020</v>
      </c>
      <c r="C212" t="s">
        <v>264</v>
      </c>
      <c r="O212"/>
    </row>
    <row r="213" spans="1:15" x14ac:dyDescent="0.25">
      <c r="A213">
        <v>212</v>
      </c>
      <c r="B213">
        <v>20000</v>
      </c>
      <c r="C213">
        <v>2000</v>
      </c>
      <c r="O213"/>
    </row>
    <row r="214" spans="1:15" x14ac:dyDescent="0.25">
      <c r="A214">
        <v>213</v>
      </c>
      <c r="B214">
        <v>20020</v>
      </c>
      <c r="C214" t="s">
        <v>265</v>
      </c>
      <c r="O214"/>
    </row>
    <row r="215" spans="1:15" x14ac:dyDescent="0.25">
      <c r="A215">
        <v>214</v>
      </c>
      <c r="B215">
        <v>20040</v>
      </c>
      <c r="C215" t="s">
        <v>266</v>
      </c>
      <c r="O215"/>
    </row>
    <row r="216" spans="1:15" x14ac:dyDescent="0.25">
      <c r="A216">
        <v>215</v>
      </c>
      <c r="B216">
        <v>20000</v>
      </c>
      <c r="C216" t="s">
        <v>267</v>
      </c>
      <c r="O216"/>
    </row>
    <row r="217" spans="1:15" x14ac:dyDescent="0.25">
      <c r="A217">
        <v>216</v>
      </c>
      <c r="B217">
        <v>20000</v>
      </c>
      <c r="C217">
        <v>2000</v>
      </c>
      <c r="O217"/>
    </row>
    <row r="218" spans="1:15" x14ac:dyDescent="0.25">
      <c r="A218">
        <v>217</v>
      </c>
      <c r="B218">
        <v>20020</v>
      </c>
      <c r="C218" t="s">
        <v>268</v>
      </c>
      <c r="O218"/>
    </row>
    <row r="219" spans="1:15" x14ac:dyDescent="0.25">
      <c r="A219">
        <v>218</v>
      </c>
      <c r="B219">
        <v>20000</v>
      </c>
      <c r="C219">
        <v>2000</v>
      </c>
      <c r="O219"/>
    </row>
    <row r="220" spans="1:15" x14ac:dyDescent="0.25">
      <c r="A220">
        <v>219</v>
      </c>
      <c r="B220">
        <v>20000</v>
      </c>
      <c r="C220" t="s">
        <v>269</v>
      </c>
      <c r="O220"/>
    </row>
    <row r="221" spans="1:15" x14ac:dyDescent="0.25">
      <c r="A221">
        <v>220</v>
      </c>
      <c r="B221">
        <v>20020</v>
      </c>
      <c r="C221" t="s">
        <v>270</v>
      </c>
      <c r="O221"/>
    </row>
    <row r="222" spans="1:15" x14ac:dyDescent="0.25">
      <c r="A222">
        <v>221</v>
      </c>
      <c r="B222">
        <v>19980</v>
      </c>
      <c r="C222" t="s">
        <v>271</v>
      </c>
      <c r="O222"/>
    </row>
    <row r="223" spans="1:15" x14ac:dyDescent="0.25">
      <c r="A223">
        <v>222</v>
      </c>
      <c r="B223">
        <v>20000</v>
      </c>
      <c r="C223" t="s">
        <v>272</v>
      </c>
      <c r="O223"/>
    </row>
    <row r="224" spans="1:15" x14ac:dyDescent="0.25">
      <c r="A224">
        <v>223</v>
      </c>
      <c r="B224">
        <v>19980</v>
      </c>
      <c r="C224" t="s">
        <v>273</v>
      </c>
      <c r="O224"/>
    </row>
    <row r="225" spans="1:15" x14ac:dyDescent="0.25">
      <c r="A225">
        <v>224</v>
      </c>
      <c r="B225">
        <v>20000</v>
      </c>
      <c r="C225" t="s">
        <v>274</v>
      </c>
      <c r="O225"/>
    </row>
    <row r="226" spans="1:15" x14ac:dyDescent="0.25">
      <c r="A226">
        <v>225</v>
      </c>
      <c r="B226">
        <v>20000</v>
      </c>
      <c r="C226">
        <v>2000</v>
      </c>
      <c r="O226"/>
    </row>
    <row r="227" spans="1:15" x14ac:dyDescent="0.25">
      <c r="A227">
        <v>226</v>
      </c>
      <c r="B227">
        <v>19980</v>
      </c>
      <c r="C227" t="s">
        <v>275</v>
      </c>
      <c r="O227"/>
    </row>
    <row r="228" spans="1:15" x14ac:dyDescent="0.25">
      <c r="A228">
        <v>227</v>
      </c>
      <c r="B228">
        <v>20000</v>
      </c>
      <c r="C228">
        <v>2000</v>
      </c>
      <c r="O228"/>
    </row>
    <row r="229" spans="1:15" x14ac:dyDescent="0.25">
      <c r="A229">
        <v>228</v>
      </c>
      <c r="B229">
        <v>20020</v>
      </c>
      <c r="C229" t="s">
        <v>276</v>
      </c>
      <c r="O229"/>
    </row>
    <row r="230" spans="1:15" x14ac:dyDescent="0.25">
      <c r="A230">
        <v>229</v>
      </c>
      <c r="B230">
        <v>20020</v>
      </c>
      <c r="C230" t="s">
        <v>277</v>
      </c>
      <c r="O230"/>
    </row>
    <row r="231" spans="1:15" x14ac:dyDescent="0.25">
      <c r="A231">
        <v>230</v>
      </c>
      <c r="B231">
        <v>20020</v>
      </c>
      <c r="C231" t="s">
        <v>278</v>
      </c>
      <c r="O231"/>
    </row>
    <row r="232" spans="1:15" x14ac:dyDescent="0.25">
      <c r="A232">
        <v>231</v>
      </c>
      <c r="B232">
        <v>20020</v>
      </c>
      <c r="C232" t="s">
        <v>279</v>
      </c>
      <c r="O232"/>
    </row>
    <row r="233" spans="1:15" x14ac:dyDescent="0.25">
      <c r="A233">
        <v>232</v>
      </c>
      <c r="B233">
        <v>20000</v>
      </c>
      <c r="C233" t="s">
        <v>280</v>
      </c>
      <c r="O233"/>
    </row>
    <row r="234" spans="1:15" x14ac:dyDescent="0.25">
      <c r="A234">
        <v>233</v>
      </c>
      <c r="B234">
        <v>20040</v>
      </c>
      <c r="C234" t="s">
        <v>281</v>
      </c>
      <c r="O234"/>
    </row>
    <row r="235" spans="1:15" x14ac:dyDescent="0.25">
      <c r="A235">
        <v>234</v>
      </c>
      <c r="B235">
        <v>20000</v>
      </c>
      <c r="C235" t="s">
        <v>282</v>
      </c>
      <c r="O235"/>
    </row>
    <row r="236" spans="1:15" x14ac:dyDescent="0.25">
      <c r="A236">
        <v>235</v>
      </c>
      <c r="B236">
        <v>20020</v>
      </c>
      <c r="C236" t="s">
        <v>283</v>
      </c>
      <c r="O236"/>
    </row>
    <row r="237" spans="1:15" x14ac:dyDescent="0.25">
      <c r="A237">
        <v>236</v>
      </c>
      <c r="B237">
        <v>20020</v>
      </c>
      <c r="C237" t="s">
        <v>284</v>
      </c>
      <c r="O237"/>
    </row>
    <row r="238" spans="1:15" x14ac:dyDescent="0.25">
      <c r="A238">
        <v>237</v>
      </c>
      <c r="B238">
        <v>20000</v>
      </c>
      <c r="C238" t="s">
        <v>285</v>
      </c>
      <c r="O238"/>
    </row>
    <row r="239" spans="1:15" x14ac:dyDescent="0.25">
      <c r="A239">
        <v>238</v>
      </c>
      <c r="B239">
        <v>20020</v>
      </c>
      <c r="C239" t="s">
        <v>286</v>
      </c>
      <c r="O239"/>
    </row>
    <row r="240" spans="1:15" x14ac:dyDescent="0.25">
      <c r="A240">
        <v>239</v>
      </c>
      <c r="B240">
        <v>20020</v>
      </c>
      <c r="C240" t="s">
        <v>287</v>
      </c>
      <c r="O240"/>
    </row>
    <row r="241" spans="1:15" x14ac:dyDescent="0.25">
      <c r="A241">
        <v>240</v>
      </c>
      <c r="B241">
        <v>20000</v>
      </c>
      <c r="C241">
        <v>2000</v>
      </c>
      <c r="O241"/>
    </row>
    <row r="242" spans="1:15" x14ac:dyDescent="0.25">
      <c r="A242">
        <v>241</v>
      </c>
      <c r="B242">
        <v>20020</v>
      </c>
      <c r="C242" t="s">
        <v>288</v>
      </c>
      <c r="O242"/>
    </row>
    <row r="243" spans="1:15" x14ac:dyDescent="0.25">
      <c r="A243">
        <v>242</v>
      </c>
      <c r="B243">
        <v>20000</v>
      </c>
      <c r="C243">
        <v>2000</v>
      </c>
      <c r="O243"/>
    </row>
    <row r="244" spans="1:15" x14ac:dyDescent="0.25">
      <c r="A244">
        <v>243</v>
      </c>
      <c r="B244">
        <v>20020</v>
      </c>
      <c r="C244" t="s">
        <v>289</v>
      </c>
      <c r="O244"/>
    </row>
    <row r="245" spans="1:15" x14ac:dyDescent="0.25">
      <c r="A245">
        <v>244</v>
      </c>
      <c r="B245">
        <v>20000</v>
      </c>
      <c r="C245">
        <v>2000</v>
      </c>
      <c r="O245"/>
    </row>
    <row r="246" spans="1:15" x14ac:dyDescent="0.25">
      <c r="A246">
        <v>245</v>
      </c>
      <c r="B246">
        <v>20020</v>
      </c>
      <c r="C246" t="s">
        <v>290</v>
      </c>
      <c r="O246"/>
    </row>
    <row r="247" spans="1:15" x14ac:dyDescent="0.25">
      <c r="A247">
        <v>246</v>
      </c>
      <c r="B247">
        <v>20000</v>
      </c>
      <c r="C247">
        <v>2000</v>
      </c>
      <c r="O247"/>
    </row>
    <row r="248" spans="1:15" x14ac:dyDescent="0.25">
      <c r="A248">
        <v>247</v>
      </c>
      <c r="B248">
        <v>20000</v>
      </c>
      <c r="C248" t="s">
        <v>291</v>
      </c>
      <c r="O248"/>
    </row>
    <row r="249" spans="1:15" x14ac:dyDescent="0.25">
      <c r="A249">
        <v>248</v>
      </c>
      <c r="B249">
        <v>20040</v>
      </c>
      <c r="C249" t="s">
        <v>292</v>
      </c>
      <c r="O249"/>
    </row>
    <row r="250" spans="1:15" x14ac:dyDescent="0.25">
      <c r="A250">
        <v>249</v>
      </c>
      <c r="B250">
        <v>20020</v>
      </c>
      <c r="C250" t="s">
        <v>293</v>
      </c>
      <c r="O250"/>
    </row>
    <row r="251" spans="1:15" x14ac:dyDescent="0.25">
      <c r="A251">
        <v>250</v>
      </c>
      <c r="B251">
        <v>20020</v>
      </c>
      <c r="C251" t="s">
        <v>294</v>
      </c>
      <c r="O251"/>
    </row>
    <row r="252" spans="1:15" x14ac:dyDescent="0.25">
      <c r="A252">
        <v>251</v>
      </c>
      <c r="B252">
        <v>20020</v>
      </c>
      <c r="C252" t="s">
        <v>295</v>
      </c>
      <c r="O252"/>
    </row>
    <row r="253" spans="1:15" x14ac:dyDescent="0.25">
      <c r="A253">
        <v>252</v>
      </c>
      <c r="B253">
        <v>20040</v>
      </c>
      <c r="C253" t="s">
        <v>296</v>
      </c>
      <c r="O253"/>
    </row>
    <row r="254" spans="1:15" x14ac:dyDescent="0.25">
      <c r="A254">
        <v>253</v>
      </c>
      <c r="B254">
        <v>19980</v>
      </c>
      <c r="C254" t="s">
        <v>297</v>
      </c>
      <c r="O254"/>
    </row>
    <row r="255" spans="1:15" x14ac:dyDescent="0.25">
      <c r="A255">
        <v>254</v>
      </c>
      <c r="B255">
        <v>20000</v>
      </c>
      <c r="C255">
        <v>2000</v>
      </c>
      <c r="O255"/>
    </row>
    <row r="256" spans="1:15" x14ac:dyDescent="0.25">
      <c r="A256">
        <v>255</v>
      </c>
      <c r="B256">
        <v>20000</v>
      </c>
      <c r="C256">
        <v>2000</v>
      </c>
      <c r="O256"/>
    </row>
    <row r="257" spans="1:15" x14ac:dyDescent="0.25">
      <c r="A257">
        <v>256</v>
      </c>
      <c r="B257">
        <v>20000</v>
      </c>
      <c r="C257">
        <v>2000</v>
      </c>
      <c r="O257"/>
    </row>
    <row r="258" spans="1:15" x14ac:dyDescent="0.25">
      <c r="A258">
        <v>257</v>
      </c>
      <c r="B258">
        <v>19980</v>
      </c>
      <c r="C258" t="s">
        <v>298</v>
      </c>
      <c r="O258"/>
    </row>
    <row r="259" spans="1:15" x14ac:dyDescent="0.25">
      <c r="A259">
        <v>258</v>
      </c>
      <c r="B259">
        <v>20040</v>
      </c>
      <c r="C259" t="s">
        <v>299</v>
      </c>
      <c r="O259"/>
    </row>
    <row r="260" spans="1:15" x14ac:dyDescent="0.25">
      <c r="A260">
        <v>259</v>
      </c>
      <c r="B260">
        <v>20020</v>
      </c>
      <c r="C260" t="s">
        <v>300</v>
      </c>
      <c r="O260"/>
    </row>
    <row r="261" spans="1:15" x14ac:dyDescent="0.25">
      <c r="A261">
        <v>260</v>
      </c>
      <c r="B261">
        <v>20020</v>
      </c>
      <c r="C261" t="s">
        <v>301</v>
      </c>
      <c r="O261"/>
    </row>
    <row r="262" spans="1:15" x14ac:dyDescent="0.25">
      <c r="A262">
        <v>261</v>
      </c>
      <c r="B262">
        <v>19980</v>
      </c>
      <c r="C262" t="s">
        <v>302</v>
      </c>
      <c r="O262"/>
    </row>
    <row r="263" spans="1:15" x14ac:dyDescent="0.25">
      <c r="A263">
        <v>262</v>
      </c>
      <c r="B263">
        <v>20000</v>
      </c>
      <c r="C263">
        <v>2000</v>
      </c>
      <c r="O263"/>
    </row>
    <row r="264" spans="1:15" x14ac:dyDescent="0.25">
      <c r="A264">
        <v>263</v>
      </c>
      <c r="B264">
        <v>20020</v>
      </c>
      <c r="C264" t="s">
        <v>303</v>
      </c>
      <c r="O264"/>
    </row>
    <row r="265" spans="1:15" x14ac:dyDescent="0.25">
      <c r="A265">
        <v>264</v>
      </c>
      <c r="B265">
        <v>20000</v>
      </c>
      <c r="C265" t="s">
        <v>304</v>
      </c>
      <c r="O265"/>
    </row>
    <row r="266" spans="1:15" x14ac:dyDescent="0.25">
      <c r="A266">
        <v>265</v>
      </c>
      <c r="B266">
        <v>20040</v>
      </c>
      <c r="C266" t="s">
        <v>305</v>
      </c>
      <c r="O266"/>
    </row>
    <row r="267" spans="1:15" x14ac:dyDescent="0.25">
      <c r="A267">
        <v>266</v>
      </c>
      <c r="B267">
        <v>20020</v>
      </c>
      <c r="C267" t="s">
        <v>306</v>
      </c>
      <c r="O267"/>
    </row>
    <row r="268" spans="1:15" x14ac:dyDescent="0.25">
      <c r="A268">
        <v>267</v>
      </c>
      <c r="B268">
        <v>20040</v>
      </c>
      <c r="C268" t="s">
        <v>307</v>
      </c>
      <c r="O268"/>
    </row>
    <row r="269" spans="1:15" x14ac:dyDescent="0.25">
      <c r="A269">
        <v>268</v>
      </c>
      <c r="B269">
        <v>20020</v>
      </c>
      <c r="C269" t="s">
        <v>308</v>
      </c>
      <c r="O269"/>
    </row>
    <row r="270" spans="1:15" x14ac:dyDescent="0.25">
      <c r="A270">
        <v>269</v>
      </c>
      <c r="B270">
        <v>20040</v>
      </c>
      <c r="C270" t="s">
        <v>309</v>
      </c>
      <c r="O270"/>
    </row>
    <row r="271" spans="1:15" x14ac:dyDescent="0.25">
      <c r="A271">
        <v>270</v>
      </c>
      <c r="B271">
        <v>19980</v>
      </c>
      <c r="C271" t="s">
        <v>310</v>
      </c>
      <c r="O271"/>
    </row>
    <row r="272" spans="1:15" x14ac:dyDescent="0.25">
      <c r="A272">
        <v>271</v>
      </c>
      <c r="B272">
        <v>20040</v>
      </c>
      <c r="C272" t="s">
        <v>311</v>
      </c>
      <c r="O272"/>
    </row>
    <row r="273" spans="1:15" x14ac:dyDescent="0.25">
      <c r="A273">
        <v>272</v>
      </c>
      <c r="B273">
        <v>20000</v>
      </c>
      <c r="C273" t="s">
        <v>312</v>
      </c>
      <c r="O273"/>
    </row>
    <row r="274" spans="1:15" x14ac:dyDescent="0.25">
      <c r="A274">
        <v>273</v>
      </c>
      <c r="B274">
        <v>20000</v>
      </c>
      <c r="C274" t="s">
        <v>313</v>
      </c>
      <c r="O274"/>
    </row>
    <row r="275" spans="1:15" x14ac:dyDescent="0.25">
      <c r="A275">
        <v>274</v>
      </c>
      <c r="B275">
        <v>20000</v>
      </c>
      <c r="C275" t="s">
        <v>314</v>
      </c>
      <c r="O275"/>
    </row>
    <row r="276" spans="1:15" x14ac:dyDescent="0.25">
      <c r="A276">
        <v>275</v>
      </c>
      <c r="B276">
        <v>20020</v>
      </c>
      <c r="C276" t="s">
        <v>315</v>
      </c>
      <c r="O276"/>
    </row>
    <row r="277" spans="1:15" x14ac:dyDescent="0.25">
      <c r="A277">
        <v>276</v>
      </c>
      <c r="B277">
        <v>20000</v>
      </c>
      <c r="C277">
        <v>2000</v>
      </c>
      <c r="O277"/>
    </row>
    <row r="278" spans="1:15" x14ac:dyDescent="0.25">
      <c r="A278">
        <v>277</v>
      </c>
      <c r="B278">
        <v>20000</v>
      </c>
      <c r="C278">
        <v>2000</v>
      </c>
      <c r="O278"/>
    </row>
    <row r="279" spans="1:15" x14ac:dyDescent="0.25">
      <c r="A279">
        <v>278</v>
      </c>
      <c r="B279">
        <v>20020</v>
      </c>
      <c r="C279" t="s">
        <v>316</v>
      </c>
      <c r="O279"/>
    </row>
    <row r="280" spans="1:15" x14ac:dyDescent="0.25">
      <c r="A280">
        <v>279</v>
      </c>
      <c r="B280">
        <v>20020</v>
      </c>
      <c r="C280" t="s">
        <v>317</v>
      </c>
      <c r="O280"/>
    </row>
    <row r="281" spans="1:15" x14ac:dyDescent="0.25">
      <c r="A281">
        <v>280</v>
      </c>
      <c r="B281">
        <v>20020</v>
      </c>
      <c r="C281" t="s">
        <v>318</v>
      </c>
      <c r="O281"/>
    </row>
    <row r="282" spans="1:15" x14ac:dyDescent="0.25">
      <c r="A282">
        <v>281</v>
      </c>
      <c r="B282">
        <v>20000</v>
      </c>
      <c r="C282" t="s">
        <v>319</v>
      </c>
      <c r="O282"/>
    </row>
    <row r="283" spans="1:15" x14ac:dyDescent="0.25">
      <c r="A283">
        <v>282</v>
      </c>
      <c r="B283">
        <v>20020</v>
      </c>
      <c r="C283" t="s">
        <v>320</v>
      </c>
      <c r="O283"/>
    </row>
    <row r="284" spans="1:15" x14ac:dyDescent="0.25">
      <c r="A284">
        <v>283</v>
      </c>
      <c r="B284">
        <v>20020</v>
      </c>
      <c r="C284" t="s">
        <v>321</v>
      </c>
      <c r="O284"/>
    </row>
    <row r="285" spans="1:15" x14ac:dyDescent="0.25">
      <c r="A285">
        <v>284</v>
      </c>
      <c r="B285">
        <v>20000</v>
      </c>
      <c r="C285">
        <v>2000</v>
      </c>
      <c r="O285"/>
    </row>
    <row r="286" spans="1:15" x14ac:dyDescent="0.25">
      <c r="A286">
        <v>285</v>
      </c>
      <c r="B286">
        <v>20000</v>
      </c>
      <c r="C286">
        <v>2000</v>
      </c>
      <c r="O286"/>
    </row>
    <row r="287" spans="1:15" x14ac:dyDescent="0.25">
      <c r="A287">
        <v>286</v>
      </c>
      <c r="B287">
        <v>20060</v>
      </c>
      <c r="C287" t="s">
        <v>322</v>
      </c>
      <c r="O287"/>
    </row>
    <row r="288" spans="1:15" x14ac:dyDescent="0.25">
      <c r="A288">
        <v>287</v>
      </c>
      <c r="B288">
        <v>20020</v>
      </c>
      <c r="C288" t="s">
        <v>323</v>
      </c>
      <c r="O288"/>
    </row>
    <row r="289" spans="1:15" x14ac:dyDescent="0.25">
      <c r="A289">
        <v>288</v>
      </c>
      <c r="B289">
        <v>20040</v>
      </c>
      <c r="C289" t="s">
        <v>324</v>
      </c>
      <c r="O289"/>
    </row>
    <row r="290" spans="1:15" x14ac:dyDescent="0.25">
      <c r="A290">
        <v>289</v>
      </c>
      <c r="B290">
        <v>20020</v>
      </c>
      <c r="C290" t="s">
        <v>325</v>
      </c>
      <c r="O290"/>
    </row>
    <row r="291" spans="1:15" x14ac:dyDescent="0.25">
      <c r="A291">
        <v>290</v>
      </c>
      <c r="B291">
        <v>20040</v>
      </c>
      <c r="C291" t="s">
        <v>326</v>
      </c>
      <c r="O291"/>
    </row>
    <row r="292" spans="1:15" x14ac:dyDescent="0.25">
      <c r="A292">
        <v>291</v>
      </c>
      <c r="B292">
        <v>20040</v>
      </c>
      <c r="C292" t="s">
        <v>327</v>
      </c>
      <c r="O292"/>
    </row>
    <row r="293" spans="1:15" x14ac:dyDescent="0.25">
      <c r="A293">
        <v>292</v>
      </c>
      <c r="B293">
        <v>20020</v>
      </c>
      <c r="C293" t="s">
        <v>328</v>
      </c>
      <c r="O293"/>
    </row>
    <row r="294" spans="1:15" x14ac:dyDescent="0.25">
      <c r="A294">
        <v>293</v>
      </c>
      <c r="B294">
        <v>19980</v>
      </c>
      <c r="C294" t="s">
        <v>329</v>
      </c>
      <c r="O294"/>
    </row>
    <row r="295" spans="1:15" x14ac:dyDescent="0.25">
      <c r="A295">
        <v>294</v>
      </c>
      <c r="B295">
        <v>20020</v>
      </c>
      <c r="C295" t="s">
        <v>330</v>
      </c>
      <c r="O295"/>
    </row>
    <row r="296" spans="1:15" x14ac:dyDescent="0.25">
      <c r="A296">
        <v>295</v>
      </c>
      <c r="B296">
        <v>20020</v>
      </c>
      <c r="C296" t="s">
        <v>331</v>
      </c>
      <c r="O296"/>
    </row>
    <row r="297" spans="1:15" x14ac:dyDescent="0.25">
      <c r="A297">
        <v>296</v>
      </c>
      <c r="B297">
        <v>20020</v>
      </c>
      <c r="C297" t="s">
        <v>332</v>
      </c>
      <c r="O297"/>
    </row>
    <row r="298" spans="1:15" x14ac:dyDescent="0.25">
      <c r="A298">
        <v>297</v>
      </c>
      <c r="B298">
        <v>20020</v>
      </c>
      <c r="C298" t="s">
        <v>333</v>
      </c>
      <c r="O298"/>
    </row>
    <row r="299" spans="1:15" x14ac:dyDescent="0.25">
      <c r="A299">
        <v>298</v>
      </c>
      <c r="B299">
        <v>20040</v>
      </c>
      <c r="C299" t="s">
        <v>334</v>
      </c>
      <c r="O299"/>
    </row>
    <row r="300" spans="1:15" x14ac:dyDescent="0.25">
      <c r="A300">
        <v>299</v>
      </c>
      <c r="B300">
        <v>20040</v>
      </c>
      <c r="C300" t="s">
        <v>335</v>
      </c>
      <c r="O300"/>
    </row>
    <row r="301" spans="1:15" x14ac:dyDescent="0.25">
      <c r="A301">
        <v>300</v>
      </c>
      <c r="B301">
        <v>20000</v>
      </c>
      <c r="C301" t="s">
        <v>336</v>
      </c>
      <c r="O301"/>
    </row>
    <row r="302" spans="1:15" x14ac:dyDescent="0.25">
      <c r="A302">
        <v>301</v>
      </c>
      <c r="B302">
        <v>20000</v>
      </c>
      <c r="C302">
        <v>2000</v>
      </c>
      <c r="O302"/>
    </row>
    <row r="303" spans="1:15" x14ac:dyDescent="0.25">
      <c r="A303">
        <v>302</v>
      </c>
      <c r="B303">
        <v>20020</v>
      </c>
      <c r="C303" t="s">
        <v>337</v>
      </c>
      <c r="O303"/>
    </row>
    <row r="304" spans="1:15" x14ac:dyDescent="0.25">
      <c r="A304">
        <v>303</v>
      </c>
      <c r="B304">
        <v>20020</v>
      </c>
      <c r="C304" t="s">
        <v>338</v>
      </c>
      <c r="O304"/>
    </row>
    <row r="305" spans="1:15" x14ac:dyDescent="0.25">
      <c r="A305">
        <v>304</v>
      </c>
      <c r="B305">
        <v>20040</v>
      </c>
      <c r="C305" t="s">
        <v>339</v>
      </c>
      <c r="O305"/>
    </row>
    <row r="306" spans="1:15" x14ac:dyDescent="0.25">
      <c r="A306">
        <v>305</v>
      </c>
      <c r="B306">
        <v>20020</v>
      </c>
      <c r="C306" t="s">
        <v>340</v>
      </c>
      <c r="O306"/>
    </row>
    <row r="307" spans="1:15" x14ac:dyDescent="0.25">
      <c r="A307">
        <v>306</v>
      </c>
      <c r="B307">
        <v>20020</v>
      </c>
      <c r="C307" t="s">
        <v>341</v>
      </c>
      <c r="O307"/>
    </row>
    <row r="308" spans="1:15" x14ac:dyDescent="0.25">
      <c r="A308">
        <v>307</v>
      </c>
      <c r="B308">
        <v>20020</v>
      </c>
      <c r="C308" t="s">
        <v>342</v>
      </c>
      <c r="O308"/>
    </row>
    <row r="309" spans="1:15" x14ac:dyDescent="0.25">
      <c r="A309">
        <v>308</v>
      </c>
      <c r="B309">
        <v>20000</v>
      </c>
      <c r="C309">
        <v>2000</v>
      </c>
      <c r="O309"/>
    </row>
    <row r="310" spans="1:15" x14ac:dyDescent="0.25">
      <c r="A310">
        <v>309</v>
      </c>
      <c r="B310">
        <v>20020</v>
      </c>
      <c r="C310" t="s">
        <v>343</v>
      </c>
      <c r="O310"/>
    </row>
    <row r="311" spans="1:15" x14ac:dyDescent="0.25">
      <c r="A311">
        <v>310</v>
      </c>
      <c r="B311">
        <v>20020</v>
      </c>
      <c r="C311" t="s">
        <v>344</v>
      </c>
      <c r="O311"/>
    </row>
    <row r="312" spans="1:15" x14ac:dyDescent="0.25">
      <c r="A312">
        <v>311</v>
      </c>
      <c r="B312">
        <v>20040</v>
      </c>
      <c r="C312" t="s">
        <v>345</v>
      </c>
      <c r="O312"/>
    </row>
    <row r="313" spans="1:15" x14ac:dyDescent="0.25">
      <c r="A313">
        <v>312</v>
      </c>
      <c r="B313">
        <v>20000</v>
      </c>
      <c r="C313">
        <v>2000</v>
      </c>
      <c r="O313"/>
    </row>
    <row r="314" spans="1:15" x14ac:dyDescent="0.25">
      <c r="A314">
        <v>313</v>
      </c>
      <c r="B314">
        <v>20040</v>
      </c>
      <c r="C314" t="s">
        <v>346</v>
      </c>
      <c r="O314"/>
    </row>
    <row r="315" spans="1:15" x14ac:dyDescent="0.25">
      <c r="A315">
        <v>314</v>
      </c>
      <c r="B315">
        <v>20000</v>
      </c>
      <c r="C315" t="s">
        <v>347</v>
      </c>
      <c r="O315"/>
    </row>
    <row r="316" spans="1:15" x14ac:dyDescent="0.25">
      <c r="A316">
        <v>315</v>
      </c>
      <c r="B316">
        <v>20020</v>
      </c>
      <c r="C316" t="s">
        <v>348</v>
      </c>
      <c r="O316"/>
    </row>
    <row r="317" spans="1:15" x14ac:dyDescent="0.25">
      <c r="A317">
        <v>316</v>
      </c>
      <c r="B317">
        <v>20020</v>
      </c>
      <c r="C317" t="s">
        <v>349</v>
      </c>
      <c r="O317"/>
    </row>
    <row r="318" spans="1:15" x14ac:dyDescent="0.25">
      <c r="A318">
        <v>317</v>
      </c>
      <c r="B318">
        <v>20000</v>
      </c>
      <c r="C318" t="s">
        <v>350</v>
      </c>
      <c r="O318"/>
    </row>
    <row r="319" spans="1:15" x14ac:dyDescent="0.25">
      <c r="A319">
        <v>318</v>
      </c>
      <c r="B319">
        <v>19980</v>
      </c>
      <c r="C319" t="s">
        <v>351</v>
      </c>
      <c r="O319"/>
    </row>
    <row r="320" spans="1:15" x14ac:dyDescent="0.25">
      <c r="A320">
        <v>319</v>
      </c>
      <c r="B320">
        <v>20000</v>
      </c>
      <c r="C320" t="s">
        <v>352</v>
      </c>
      <c r="O320"/>
    </row>
    <row r="321" spans="1:15" x14ac:dyDescent="0.25">
      <c r="A321">
        <v>320</v>
      </c>
      <c r="B321">
        <v>20040</v>
      </c>
      <c r="C321" t="s">
        <v>353</v>
      </c>
      <c r="O321"/>
    </row>
    <row r="322" spans="1:15" x14ac:dyDescent="0.25">
      <c r="A322">
        <v>321</v>
      </c>
      <c r="B322">
        <v>20000</v>
      </c>
      <c r="C322" t="s">
        <v>354</v>
      </c>
      <c r="O322"/>
    </row>
    <row r="323" spans="1:15" x14ac:dyDescent="0.25">
      <c r="A323">
        <v>322</v>
      </c>
      <c r="B323">
        <v>20000</v>
      </c>
      <c r="C323" t="s">
        <v>355</v>
      </c>
      <c r="O323"/>
    </row>
    <row r="324" spans="1:15" x14ac:dyDescent="0.25">
      <c r="A324">
        <v>323</v>
      </c>
      <c r="B324">
        <v>20000</v>
      </c>
      <c r="C324" t="s">
        <v>356</v>
      </c>
      <c r="O324"/>
    </row>
    <row r="325" spans="1:15" x14ac:dyDescent="0.25">
      <c r="A325">
        <v>324</v>
      </c>
      <c r="B325">
        <v>20040</v>
      </c>
      <c r="C325" t="s">
        <v>357</v>
      </c>
      <c r="O325"/>
    </row>
    <row r="326" spans="1:15" x14ac:dyDescent="0.25">
      <c r="A326">
        <v>325</v>
      </c>
      <c r="B326">
        <v>20000</v>
      </c>
      <c r="C326" t="s">
        <v>358</v>
      </c>
      <c r="O326"/>
    </row>
    <row r="327" spans="1:15" x14ac:dyDescent="0.25">
      <c r="A327">
        <v>326</v>
      </c>
      <c r="B327">
        <v>20020</v>
      </c>
      <c r="C327" t="s">
        <v>359</v>
      </c>
      <c r="O327"/>
    </row>
    <row r="328" spans="1:15" x14ac:dyDescent="0.25">
      <c r="A328">
        <v>327</v>
      </c>
      <c r="B328">
        <v>20020</v>
      </c>
      <c r="C328" t="s">
        <v>360</v>
      </c>
      <c r="O328"/>
    </row>
    <row r="329" spans="1:15" x14ac:dyDescent="0.25">
      <c r="A329">
        <v>328</v>
      </c>
      <c r="B329">
        <v>19980</v>
      </c>
      <c r="C329" t="s">
        <v>361</v>
      </c>
      <c r="O329"/>
    </row>
    <row r="330" spans="1:15" x14ac:dyDescent="0.25">
      <c r="A330">
        <v>329</v>
      </c>
      <c r="B330">
        <v>20020</v>
      </c>
      <c r="C330" t="s">
        <v>362</v>
      </c>
      <c r="O330"/>
    </row>
    <row r="331" spans="1:15" x14ac:dyDescent="0.25">
      <c r="A331">
        <v>330</v>
      </c>
      <c r="B331">
        <v>20000</v>
      </c>
      <c r="C331" t="s">
        <v>363</v>
      </c>
      <c r="O331"/>
    </row>
    <row r="332" spans="1:15" x14ac:dyDescent="0.25">
      <c r="A332">
        <v>331</v>
      </c>
      <c r="B332">
        <v>20000</v>
      </c>
      <c r="C332" t="s">
        <v>364</v>
      </c>
      <c r="O332"/>
    </row>
    <row r="333" spans="1:15" x14ac:dyDescent="0.25">
      <c r="A333">
        <v>332</v>
      </c>
      <c r="B333">
        <v>20020</v>
      </c>
      <c r="C333" t="s">
        <v>365</v>
      </c>
      <c r="O333"/>
    </row>
    <row r="334" spans="1:15" x14ac:dyDescent="0.25">
      <c r="A334">
        <v>333</v>
      </c>
      <c r="B334">
        <v>20040</v>
      </c>
      <c r="C334" t="s">
        <v>366</v>
      </c>
      <c r="O334"/>
    </row>
    <row r="335" spans="1:15" x14ac:dyDescent="0.25">
      <c r="A335">
        <v>334</v>
      </c>
      <c r="B335">
        <v>20020</v>
      </c>
      <c r="C335" t="s">
        <v>367</v>
      </c>
      <c r="O335"/>
    </row>
    <row r="336" spans="1:15" x14ac:dyDescent="0.25">
      <c r="A336">
        <v>335</v>
      </c>
      <c r="B336">
        <v>20020</v>
      </c>
      <c r="C336" t="s">
        <v>368</v>
      </c>
      <c r="O336"/>
    </row>
    <row r="337" spans="1:15" x14ac:dyDescent="0.25">
      <c r="A337">
        <v>336</v>
      </c>
      <c r="B337">
        <v>20000</v>
      </c>
      <c r="C337" t="s">
        <v>369</v>
      </c>
      <c r="O337"/>
    </row>
    <row r="338" spans="1:15" x14ac:dyDescent="0.25">
      <c r="A338">
        <v>337</v>
      </c>
      <c r="B338">
        <v>20000</v>
      </c>
      <c r="C338">
        <v>2000</v>
      </c>
      <c r="O338"/>
    </row>
    <row r="339" spans="1:15" x14ac:dyDescent="0.25">
      <c r="A339">
        <v>338</v>
      </c>
      <c r="B339">
        <v>20020</v>
      </c>
      <c r="C339" t="s">
        <v>370</v>
      </c>
      <c r="O339"/>
    </row>
    <row r="340" spans="1:15" x14ac:dyDescent="0.25">
      <c r="A340">
        <v>339</v>
      </c>
      <c r="B340">
        <v>20000</v>
      </c>
      <c r="C340">
        <v>2000</v>
      </c>
      <c r="O340"/>
    </row>
    <row r="341" spans="1:15" x14ac:dyDescent="0.25">
      <c r="A341">
        <v>340</v>
      </c>
      <c r="B341">
        <v>20020</v>
      </c>
      <c r="C341" t="s">
        <v>371</v>
      </c>
      <c r="O341"/>
    </row>
    <row r="342" spans="1:15" x14ac:dyDescent="0.25">
      <c r="A342">
        <v>341</v>
      </c>
      <c r="B342">
        <v>20000</v>
      </c>
      <c r="C342">
        <v>2000</v>
      </c>
      <c r="O342"/>
    </row>
    <row r="343" spans="1:15" x14ac:dyDescent="0.25">
      <c r="A343">
        <v>342</v>
      </c>
      <c r="B343">
        <v>20000</v>
      </c>
      <c r="C343">
        <v>2000</v>
      </c>
      <c r="O343"/>
    </row>
    <row r="344" spans="1:15" x14ac:dyDescent="0.25">
      <c r="A344">
        <v>343</v>
      </c>
      <c r="B344">
        <v>20000</v>
      </c>
      <c r="C344">
        <v>2000</v>
      </c>
      <c r="O344"/>
    </row>
    <row r="345" spans="1:15" x14ac:dyDescent="0.25">
      <c r="A345">
        <v>344</v>
      </c>
      <c r="B345">
        <v>20040</v>
      </c>
      <c r="C345" t="s">
        <v>372</v>
      </c>
      <c r="O345"/>
    </row>
    <row r="346" spans="1:15" x14ac:dyDescent="0.25">
      <c r="A346">
        <v>345</v>
      </c>
      <c r="B346">
        <v>19980</v>
      </c>
      <c r="C346" t="s">
        <v>373</v>
      </c>
      <c r="O346"/>
    </row>
    <row r="347" spans="1:15" x14ac:dyDescent="0.25">
      <c r="A347">
        <v>346</v>
      </c>
      <c r="B347">
        <v>20000</v>
      </c>
      <c r="C347">
        <v>2000</v>
      </c>
      <c r="O347"/>
    </row>
    <row r="348" spans="1:15" x14ac:dyDescent="0.25">
      <c r="A348">
        <v>347</v>
      </c>
      <c r="B348">
        <v>20020</v>
      </c>
      <c r="C348" t="s">
        <v>374</v>
      </c>
      <c r="O348"/>
    </row>
    <row r="349" spans="1:15" x14ac:dyDescent="0.25">
      <c r="A349">
        <v>348</v>
      </c>
      <c r="B349">
        <v>20020</v>
      </c>
      <c r="C349" t="s">
        <v>375</v>
      </c>
      <c r="O349"/>
    </row>
    <row r="350" spans="1:15" x14ac:dyDescent="0.25">
      <c r="A350">
        <v>349</v>
      </c>
      <c r="B350">
        <v>20040</v>
      </c>
      <c r="C350" t="s">
        <v>376</v>
      </c>
      <c r="O350"/>
    </row>
    <row r="351" spans="1:15" x14ac:dyDescent="0.25">
      <c r="A351">
        <v>350</v>
      </c>
      <c r="B351">
        <v>20040</v>
      </c>
      <c r="C351" t="s">
        <v>377</v>
      </c>
      <c r="O351"/>
    </row>
    <row r="352" spans="1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  <row r="1030" spans="15:15" x14ac:dyDescent="0.25">
      <c r="O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1" t="s">
        <v>38</v>
      </c>
      <c r="H3" s="81"/>
      <c r="I3" s="81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1"/>
      <c r="H4" s="81"/>
      <c r="I4" s="81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1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1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1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2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3" t="s">
        <v>56</v>
      </c>
      <c r="B12" s="10" t="s">
        <v>21</v>
      </c>
    </row>
    <row r="13" spans="1:11" ht="30" x14ac:dyDescent="0.25">
      <c r="A13" s="43" t="s">
        <v>53</v>
      </c>
      <c r="B13" s="10" t="s">
        <v>22</v>
      </c>
    </row>
    <row r="14" spans="1:11" ht="38.25" x14ac:dyDescent="0.25">
      <c r="A14" s="44" t="s">
        <v>70</v>
      </c>
      <c r="B14" s="12" t="s">
        <v>23</v>
      </c>
    </row>
    <row r="15" spans="1:11" ht="45" x14ac:dyDescent="0.25">
      <c r="A15" s="45" t="s">
        <v>57</v>
      </c>
      <c r="B15" s="10" t="s">
        <v>24</v>
      </c>
    </row>
    <row r="16" spans="1:11" x14ac:dyDescent="0.25">
      <c r="A16" s="45" t="s">
        <v>25</v>
      </c>
      <c r="B16" s="10" t="s">
        <v>26</v>
      </c>
    </row>
    <row r="17" spans="1:2" x14ac:dyDescent="0.25">
      <c r="A17" s="45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2019-02-24T23:32:47Z</dcterms:modified>
</cp:coreProperties>
</file>