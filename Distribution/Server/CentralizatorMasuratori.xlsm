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RawData!$A$1:$I$11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22" i="2"/>
  <c r="R21" i="2"/>
  <c r="R20" i="2"/>
  <c r="R19" i="2"/>
  <c r="R18" i="2"/>
  <c r="R17" i="2"/>
  <c r="R16" i="2"/>
  <c r="R15" i="2"/>
  <c r="R14" i="2"/>
  <c r="R13" i="2"/>
  <c r="Q22" i="2"/>
  <c r="Q21" i="2"/>
  <c r="Q20" i="2"/>
  <c r="Q19" i="2"/>
  <c r="Q18" i="2"/>
  <c r="Q17" i="2"/>
  <c r="Q16" i="2"/>
  <c r="Q15" i="2"/>
  <c r="Q14" i="2"/>
  <c r="Q13" i="2"/>
  <c r="B19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22" i="2"/>
  <c r="H21" i="2"/>
  <c r="H20" i="2"/>
  <c r="H19" i="2"/>
  <c r="H18" i="2"/>
  <c r="H17" i="2"/>
  <c r="H16" i="2"/>
  <c r="H15" i="2"/>
  <c r="H14" i="2"/>
  <c r="H13" i="2"/>
  <c r="B5" i="2"/>
  <c r="B4" i="2"/>
  <c r="B3" i="2"/>
  <c r="B9" i="2" l="1"/>
  <c r="B8" i="2"/>
  <c r="B7" i="2"/>
  <c r="F3" i="2" l="1"/>
  <c r="I3" i="2"/>
  <c r="G3" i="2"/>
  <c r="B11" i="2" l="1"/>
  <c r="B21" i="2" l="1"/>
  <c r="B22" i="2" s="1"/>
  <c r="B15" i="2" s="1"/>
  <c r="H3" i="2" l="1"/>
  <c r="J3" i="2" l="1"/>
  <c r="G4" i="2" s="1"/>
  <c r="H4" i="2" l="1"/>
  <c r="J4" i="2" s="1"/>
  <c r="B14" i="2" s="1"/>
  <c r="B13" i="2"/>
  <c r="I4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3-06-10-41-32_444_Margaritasoft-Uleiuriinamestescdepalmiersifloareasoarelui_Galeata-10Kg" type="6" refreshedVersion="4" background="1" refreshOnLoad="1" saveData="1">
    <textPr prompt="0" codePage="437" sourceFile="C:\Home\Krs\Work\Cantar\ScalesAutomation\Distribution\Server\CSVServer\2019-03-06-10-41-32_444_Margaritasoft-Uleiuriinamestescdepalmiersifloareasoarelui_Galeata-1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<sst xmlns="http://schemas.openxmlformats.org/spreadsheetml/2006/main" count="138" uniqueCount="101">
  <si>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</si>
  <si>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</si>
  <si>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</si>
  <si>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</si>
  <si>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</si>
  <si>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</si>
  <si>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</si>
  <si>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</si>
  <si>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</si>
  <si>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</si>
  <si>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</si>
  <si>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</si>
  <si>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</si>
  <si>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</si>
  <si>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</si>
  <si>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</si>
  <si>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</si>
  <si>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</si>
  <si>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</si>
  <si>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</si>
  <si>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</si>
  <si>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</si>
  <si>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</si>
  <si>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</si>
  <si>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</si>
  <si>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</si>
  <si>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</si>
  <si>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</si>
  <si>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</si>
  <si>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</si>
  <si>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</si>
  <si>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</si>
  <si>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</si>
  <si>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</si>
  <si>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</si>
  <si>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</si>
  <si>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</si>
  <si>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</si>
  <si>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</si>
  <si>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</si>
  <si>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</si>
  <si>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</si>
  <si>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</si>
  <si>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</si>
  <si>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</si>
  <si>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</si>
  <si>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</si>
  <si>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</si>
  <si>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</si>
  <si>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</si>
  <si>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</si>
  <si>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</si>
  <si>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</si>
  <si>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</si>
  <si>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</si>
  <si>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</si>
  <si>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</si>
  <si>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</si>
  <si>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</si>
  <si>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</si>
  <si>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</si>
  <si>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</si>
  <si>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</si>
  <si>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</si>
  <si>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</si>
  <si>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</si>
  <si>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</si>
  <si>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</si>
  <si>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</si>
  <si>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</si>
  <si>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</si>
  <si>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</si>
  <si>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</si>
  <si>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</si>
  <si>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</si>
  <si>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</si>
  <si>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</si>
  <si>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</si>
  <si>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</si>
  <si>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</si>
  <si>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</si>
  <si>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</si>
  <si>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</si>
  <si>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</si>
  <si>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</si>
  <si>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</si>
  <si>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</si>
  <si>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</si>
  <si>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</si>
  <si>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Margarita soft - Uleiuri in amestesc de palmier si floarea soarelui</t>
  </si>
  <si>
    <t>Galeata - 10 Kg</t>
  </si>
  <si>
    <t>22:41:34,36</t>
  </si>
  <si>
    <t>22:41:40,76</t>
  </si>
  <si>
    <t>22:41:46,61</t>
  </si>
  <si>
    <t>23:08:45,69</t>
  </si>
  <si>
    <t>23:08:52,09</t>
  </si>
  <si>
    <t>23:08:57,94</t>
  </si>
  <si>
    <t>23:09:03,65</t>
  </si>
  <si>
    <t>23:09:09,84</t>
  </si>
  <si>
    <t>23:14:16,97</t>
  </si>
  <si>
    <t>23:15:28,84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</si>
</sst>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Metrologie!$F$13:$F$22</c:f>
              <c:numCache>
                <c:formatCode>General</c:formatCode>
                <c:ptCount val="10"/>
                <c:pt idx="0">
                  <c:v>10.32</c:v>
                </c:pt>
                <c:pt idx="1">
                  <c:v>10.34</c:v>
                </c:pt>
                <c:pt idx="2">
                  <c:v>10.32</c:v>
                </c:pt>
                <c:pt idx="3">
                  <c:v>10.32</c:v>
                </c:pt>
                <c:pt idx="4">
                  <c:v>10.34</c:v>
                </c:pt>
                <c:pt idx="5">
                  <c:v>10.32</c:v>
                </c:pt>
                <c:pt idx="6">
                  <c:v>10.32</c:v>
                </c:pt>
                <c:pt idx="7">
                  <c:v>10.34</c:v>
                </c:pt>
                <c:pt idx="8">
                  <c:v>10.32</c:v>
                </c:pt>
                <c:pt idx="9">
                  <c:v>10.32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94048"/>
        <c:axId val="204012928"/>
      </c:scatterChart>
      <c:valAx>
        <c:axId val="232594048"/>
        <c:scaling>
          <c:orientation val="minMax"/>
        </c:scaling>
        <c:delete val="0"/>
        <c:axPos val="b"/>
        <c:majorTickMark val="out"/>
        <c:minorTickMark val="none"/>
        <c:tickLblPos val="nextTo"/>
        <c:crossAx val="204012928"/>
        <c:crosses val="autoZero"/>
        <c:crossBetween val="midCat"/>
      </c:valAx>
      <c:valAx>
        <c:axId val="20401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94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0" customWidth="1"/>
    <col min="7" max="7" width="10.140625" style="7" customWidth="1"/>
    <col min="8" max="8" width="14.7109375" style="3" customWidth="1"/>
    <col min="9" max="9" width="11" style="65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5" customWidth="1"/>
    <col min="16" max="16" width="14.85546875" style="56" bestFit="1" customWidth="1"/>
    <col min="17" max="17" width="16" style="62" bestFit="1" customWidth="1"/>
    <col min="18" max="18" width="12" style="55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4" t="str">
        <f>IF(AND(OR(ES1_Status = "Ok",ES1_Status = "ES2 Necesar"), ES2_Status &lt;&gt; "Not Ok", ES3_Status = "Ok"), "Lot Acceptat","Lot Respins")</f>
        <v>Lot Acceptat</v>
      </c>
      <c r="B2" s="75"/>
      <c r="C2" s="5"/>
      <c r="D2" s="5"/>
      <c r="E2" s="3"/>
      <c r="F2" s="51" t="s">
        <v>62</v>
      </c>
      <c r="G2" s="31" t="s">
        <v>44</v>
      </c>
      <c r="H2" s="31" t="s">
        <v>46</v>
      </c>
      <c r="I2" s="69" t="s">
        <v>45</v>
      </c>
      <c r="J2" s="60" t="s">
        <v>47</v>
      </c>
    </row>
    <row r="3" spans="1:18" x14ac:dyDescent="0.25">
      <c r="A3" s="2" t="s">
        <v>2</v>
      </c>
      <c r="B3" s="7" t="str">
        <f>RawData!E1</f>
        <v>Margarita soft - Uleiuri in amestesc de palmier si floarea soarelui</v>
      </c>
      <c r="C3" s="3"/>
      <c r="D3" s="3"/>
      <c r="E3" s="3" t="s">
        <v>63</v>
      </c>
      <c r="F3" s="68">
        <f>IF(ML&lt;=100,ML,IF(ML&gt;3201,80, IF(ML&gt;=501,50, IF(ML&gt;100,30,ML))))</f>
        <v>10</v>
      </c>
      <c r="G3" s="33">
        <f>IF(ML=30,1, IF(ML=50,2, IF(ML=80,3,1)))</f>
        <v>1</v>
      </c>
      <c r="H3" s="36">
        <f>COUNTIF(K:K, "Not Ok")</f>
        <v>0</v>
      </c>
      <c r="I3" s="68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RawData!D1</f>
        <v>444</v>
      </c>
      <c r="C4" s="3"/>
      <c r="D4" s="3"/>
      <c r="E4" s="3" t="s">
        <v>64</v>
      </c>
      <c r="F4" s="68">
        <v>0</v>
      </c>
      <c r="G4" s="34" t="str">
        <f>IF(ES1_Status="ES2 Necesar",IF(ML=30,4, IF(ML=50,6, IF(ML=80,8,4))),"")</f>
        <v/>
      </c>
      <c r="H4" s="37" t="str">
        <f>IF(ES1_Status="ES2 Necesar",COUNTIF(N:N, "Not Ok"),"")</f>
        <v/>
      </c>
      <c r="I4" s="70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43530</v>
      </c>
      <c r="E5" s="3" t="s">
        <v>65</v>
      </c>
      <c r="F5" s="68">
        <v>10</v>
      </c>
      <c r="G5" s="73"/>
      <c r="H5" s="73"/>
      <c r="I5" s="73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10</v>
      </c>
      <c r="C6" s="3"/>
      <c r="D6" s="3"/>
      <c r="E6"/>
      <c r="F6" s="52"/>
      <c r="K6" s="38"/>
    </row>
    <row r="7" spans="1:18" x14ac:dyDescent="0.25">
      <c r="A7" s="2" t="s">
        <v>4</v>
      </c>
      <c r="B7" s="7">
        <f>IF(ISERROR(VALUE(RawData!G1)), LEFT(RawData!G1, FIND("Kg",RawData!G1)-1), RawData!G1/1000)</f>
        <v>10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Galeata - 10 Kg</v>
      </c>
      <c r="C8" s="3"/>
      <c r="D8" s="3"/>
      <c r="E8"/>
      <c r="F8" s="52"/>
    </row>
    <row r="9" spans="1:18" x14ac:dyDescent="0.25">
      <c r="A9" t="s">
        <v>5</v>
      </c>
      <c r="B9" s="50">
        <f>IF(ISERROR(VALUE(RawData!H1)), LEFT(RawData!H1, FIND("Kg",RawData!H1)-1), RawData!H1/1000)</f>
        <v>0.32</v>
      </c>
      <c r="C9" s="6" t="s">
        <v>0</v>
      </c>
      <c r="E9"/>
      <c r="F9" s="52"/>
    </row>
    <row r="10" spans="1:18" x14ac:dyDescent="0.25">
      <c r="A10" s="2" t="s">
        <v>6</v>
      </c>
      <c r="B10" s="50">
        <v>0.15</v>
      </c>
      <c r="C10" s="6" t="s">
        <v>0</v>
      </c>
      <c r="E10"/>
      <c r="F10" s="52"/>
    </row>
    <row r="11" spans="1:18" x14ac:dyDescent="0.25">
      <c r="A11" s="2" t="s">
        <v>8</v>
      </c>
      <c r="B11" s="50">
        <f>Qn-ENT</f>
        <v>9.85</v>
      </c>
      <c r="C11" s="6" t="s">
        <v>0</v>
      </c>
      <c r="D11" s="6"/>
      <c r="E11" s="76" t="s">
        <v>58</v>
      </c>
      <c r="F11" s="77"/>
      <c r="G11" s="77"/>
      <c r="H11" s="77"/>
      <c r="I11" s="78" t="s">
        <v>59</v>
      </c>
      <c r="J11" s="79"/>
      <c r="K11" s="79"/>
      <c r="L11" s="80" t="s">
        <v>60</v>
      </c>
      <c r="M11" s="81"/>
      <c r="N11" s="81"/>
      <c r="O11" s="71" t="s">
        <v>61</v>
      </c>
      <c r="P11" s="72"/>
      <c r="Q11" s="72"/>
      <c r="R11" s="72"/>
    </row>
    <row r="12" spans="1:18" ht="90" x14ac:dyDescent="0.25">
      <c r="E12" s="48" t="s">
        <v>48</v>
      </c>
      <c r="F12" s="53" t="s">
        <v>49</v>
      </c>
      <c r="G12" s="48" t="s">
        <v>50</v>
      </c>
      <c r="H12" s="49" t="s">
        <v>88</v>
      </c>
      <c r="I12" s="66" t="s">
        <v>48</v>
      </c>
      <c r="J12" s="49" t="s">
        <v>72</v>
      </c>
      <c r="K12" s="48" t="s">
        <v>52</v>
      </c>
      <c r="L12" s="48" t="s">
        <v>48</v>
      </c>
      <c r="M12" s="48" t="s">
        <v>71</v>
      </c>
      <c r="N12" s="48" t="s">
        <v>53</v>
      </c>
      <c r="O12" s="66" t="s">
        <v>48</v>
      </c>
      <c r="P12" s="57" t="s">
        <v>73</v>
      </c>
      <c r="Q12" s="63" t="s">
        <v>74</v>
      </c>
      <c r="R12" s="54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10.32</v>
      </c>
      <c r="G13" t="s">
        <v>91</v>
      </c>
      <c r="H13" s="35" t="str">
        <f>IF(Qn-(F13-Ta)&gt;2*ENT,"Fara E","Ok")</f>
        <v>Ok</v>
      </c>
      <c r="I13" s="67">
        <f>E13</f>
        <v>1</v>
      </c>
      <c r="J13" s="61">
        <f>F13-Ta</f>
        <v>10</v>
      </c>
      <c r="K13" s="35" t="str">
        <f>IF(J13&gt;=CMA,"Ok","Not Ok")</f>
        <v>Ok</v>
      </c>
      <c r="L13" s="35"/>
      <c r="M13" s="35"/>
      <c r="N13" s="35"/>
      <c r="O13" s="67">
        <f>E13</f>
        <v>1</v>
      </c>
      <c r="P13" s="58">
        <f>F13-Ta</f>
        <v>10</v>
      </c>
      <c r="Q13" s="64">
        <f>P13-Xi</f>
        <v>-5.999999999998451E-3</v>
      </c>
      <c r="R13" s="55">
        <f>POWER(Q13,2)</f>
        <v>3.5999999999981414E-5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10.34</v>
      </c>
      <c r="G14" t="s">
        <v>92</v>
      </c>
      <c r="H14" s="35" t="str">
        <f>IF(Qn-(F14-Ta)&gt;2*ENT,"Fara E","Ok")</f>
        <v>Ok</v>
      </c>
      <c r="I14" s="67">
        <f>E14</f>
        <v>2</v>
      </c>
      <c r="J14" s="61">
        <f>F14-Ta</f>
        <v>10.02</v>
      </c>
      <c r="K14" s="35" t="str">
        <f>IF(J14&gt;=CMA,"Ok","Not Ok")</f>
        <v>Ok</v>
      </c>
      <c r="L14" s="35"/>
      <c r="M14" s="35"/>
      <c r="N14" s="35"/>
      <c r="O14" s="67">
        <f>E14</f>
        <v>2</v>
      </c>
      <c r="P14" s="58">
        <f>F14-Ta</f>
        <v>10.02</v>
      </c>
      <c r="Q14" s="64">
        <f>P14-Xi</f>
        <v>1.4000000000001123E-2</v>
      </c>
      <c r="R14" s="55">
        <f>POWER(Q14,2)</f>
        <v>1.9600000000003144E-4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10.32</v>
      </c>
      <c r="G15" t="s">
        <v>93</v>
      </c>
      <c r="H15" s="35" t="str">
        <f>IF(Qn-(F15-Ta)&gt;2*ENT,"Fara E","Ok")</f>
        <v>Ok</v>
      </c>
      <c r="I15" s="67">
        <f>E15</f>
        <v>3</v>
      </c>
      <c r="J15" s="61">
        <f>F15-Ta</f>
        <v>10</v>
      </c>
      <c r="K15" s="35" t="str">
        <f>IF(J15&gt;=CMA,"Ok","Not Ok")</f>
        <v>Ok</v>
      </c>
      <c r="L15" s="35"/>
      <c r="M15" s="35"/>
      <c r="N15" s="35"/>
      <c r="O15" s="67">
        <f>E15</f>
        <v>3</v>
      </c>
      <c r="P15" s="58">
        <f>F15-Ta</f>
        <v>10</v>
      </c>
      <c r="Q15" s="64">
        <f>P15-Xi</f>
        <v>-5.999999999998451E-3</v>
      </c>
      <c r="R15" s="55">
        <f>POWER(Q15,2)</f>
        <v>3.5999999999981414E-5</v>
      </c>
    </row>
    <row r="16" spans="1:18" ht="14.25" customHeight="1" x14ac:dyDescent="0.25">
      <c r="E16">
        <v>4</v>
      </c>
      <c r="F16">
        <v>10.32</v>
      </c>
      <c r="G16" t="s">
        <v>94</v>
      </c>
      <c r="H16" s="35" t="str">
        <f>IF(Qn-(F16-Ta)&gt;2*ENT,"Fara E","Ok")</f>
        <v>Ok</v>
      </c>
      <c r="I16" s="67">
        <f>E16</f>
        <v>4</v>
      </c>
      <c r="J16" s="61">
        <f>F16-Ta</f>
        <v>10</v>
      </c>
      <c r="K16" s="35" t="str">
        <f>IF(J16&gt;=CMA,"Ok","Not Ok")</f>
        <v>Ok</v>
      </c>
      <c r="L16" s="35"/>
      <c r="M16" s="35"/>
      <c r="N16" s="35"/>
      <c r="O16" s="67">
        <f>E16</f>
        <v>4</v>
      </c>
      <c r="P16" s="58">
        <f>F16-Ta</f>
        <v>10</v>
      </c>
      <c r="Q16" s="64">
        <f>P16-Xi</f>
        <v>-5.999999999998451E-3</v>
      </c>
      <c r="R16" s="55">
        <f>POWER(Q16,2)</f>
        <v>3.5999999999981414E-5</v>
      </c>
    </row>
    <row r="17" spans="1:18" x14ac:dyDescent="0.25">
      <c r="E17">
        <v>5</v>
      </c>
      <c r="F17">
        <v>10.34</v>
      </c>
      <c r="G17" t="s">
        <v>95</v>
      </c>
      <c r="H17" s="35" t="str">
        <f>IF(Qn-(F17-Ta)&gt;2*ENT,"Fara E","Ok")</f>
        <v>Ok</v>
      </c>
      <c r="I17" s="67">
        <f>E17</f>
        <v>5</v>
      </c>
      <c r="J17" s="61">
        <f>F17-Ta</f>
        <v>10.02</v>
      </c>
      <c r="K17" s="35" t="str">
        <f>IF(J17&gt;=CMA,"Ok","Not Ok")</f>
        <v>Ok</v>
      </c>
      <c r="L17" s="35"/>
      <c r="M17" s="35"/>
      <c r="N17" s="35"/>
      <c r="O17" s="67">
        <f>E17</f>
        <v>5</v>
      </c>
      <c r="P17" s="58">
        <f>F17-Ta</f>
        <v>10.02</v>
      </c>
      <c r="Q17" s="64">
        <f>P17-Xi</f>
        <v>1.4000000000001123E-2</v>
      </c>
      <c r="R17" s="55">
        <f>POWER(Q17,2)</f>
        <v>1.9600000000003144E-4</v>
      </c>
    </row>
    <row r="18" spans="1:18" ht="15" customHeight="1" x14ac:dyDescent="0.25">
      <c r="A18" s="39" t="s">
        <v>66</v>
      </c>
      <c r="B18" s="40"/>
      <c r="E18">
        <v>6</v>
      </c>
      <c r="F18">
        <v>10.32</v>
      </c>
      <c r="G18" t="s">
        <v>96</v>
      </c>
      <c r="H18" s="3" t="str">
        <f>IF(Qn-(F18-Ta)&gt;2*ENT,"Fara E","Ok")</f>
        <v>Ok</v>
      </c>
      <c r="I18" s="65">
        <f>E18</f>
        <v>6</v>
      </c>
      <c r="J18" s="7">
        <f>F18-Ta</f>
        <v>10</v>
      </c>
      <c r="K18" s="3" t="str">
        <f>IF(J18&gt;=CMA,"Ok","Not Ok")</f>
        <v>Ok</v>
      </c>
      <c r="O18" s="65">
        <f>E18</f>
        <v>6</v>
      </c>
      <c r="P18" s="56">
        <f>F18-Ta</f>
        <v>10</v>
      </c>
      <c r="Q18" s="62">
        <f>P18-Xi</f>
        <v>-5.999999999998451E-3</v>
      </c>
      <c r="R18" s="55">
        <f>POWER(Q18,2)</f>
        <v>3.5999999999981414E-5</v>
      </c>
    </row>
    <row r="19" spans="1:18" x14ac:dyDescent="0.25">
      <c r="A19" s="46" t="s">
        <v>34</v>
      </c>
      <c r="B19" s="29">
        <f>AVERAGE(P13:P23)</f>
        <v>10.005999999999998</v>
      </c>
      <c r="E19">
        <v>7</v>
      </c>
      <c r="F19">
        <v>10.32</v>
      </c>
      <c r="G19" t="s">
        <v>97</v>
      </c>
      <c r="H19" s="3" t="str">
        <f>IF(Qn-(F19-Ta)&gt;2*ENT,"Fara E","Ok")</f>
        <v>Ok</v>
      </c>
      <c r="I19" s="65">
        <f>E19</f>
        <v>7</v>
      </c>
      <c r="J19" s="7">
        <f>F19-Ta</f>
        <v>10</v>
      </c>
      <c r="K19" s="3" t="str">
        <f>IF(J19&gt;=CMA,"Ok","Not Ok")</f>
        <v>Ok</v>
      </c>
      <c r="O19" s="65">
        <f>E19</f>
        <v>7</v>
      </c>
      <c r="P19" s="59">
        <f>F19-Ta</f>
        <v>10</v>
      </c>
      <c r="Q19" s="62">
        <f>P19-Xi</f>
        <v>-5.999999999998451E-3</v>
      </c>
      <c r="R19" s="55">
        <f>POWER(Q19,2)</f>
        <v>3.5999999999981414E-5</v>
      </c>
    </row>
    <row r="20" spans="1:18" ht="17.25" x14ac:dyDescent="0.25">
      <c r="A20" s="47" t="s">
        <v>36</v>
      </c>
      <c r="B20" s="29">
        <f>SUM(R13,R22)</f>
        <v>7.1999999999962827E-5</v>
      </c>
      <c r="E20">
        <v>8</v>
      </c>
      <c r="F20">
        <v>10.34</v>
      </c>
      <c r="G20" t="s">
        <v>98</v>
      </c>
      <c r="H20" s="3" t="str">
        <f>IF(Qn-(F20-Ta)&gt;2*ENT,"Fara E","Ok")</f>
        <v>Ok</v>
      </c>
      <c r="I20" s="65">
        <f>E20</f>
        <v>8</v>
      </c>
      <c r="J20" s="7">
        <f>F20-Ta</f>
        <v>10.02</v>
      </c>
      <c r="K20" s="3" t="str">
        <f>IF(J20&gt;=CMA,"Ok","Not Ok")</f>
        <v>Ok</v>
      </c>
      <c r="O20" s="65">
        <f>E20</f>
        <v>8</v>
      </c>
      <c r="P20" s="56">
        <f>F20-Ta</f>
        <v>10.02</v>
      </c>
      <c r="Q20" s="62">
        <f>P20-Xi</f>
        <v>1.4000000000001123E-2</v>
      </c>
      <c r="R20" s="55">
        <f>POWER(Q20,2)</f>
        <v>1.9600000000003144E-4</v>
      </c>
    </row>
    <row r="21" spans="1:18" x14ac:dyDescent="0.25">
      <c r="A21" s="30" t="s">
        <v>35</v>
      </c>
      <c r="B21" s="29">
        <f>SQRT(SumOfSquares/(ES_3-1))</f>
        <v>2.8284271247454597E-3</v>
      </c>
      <c r="E21">
        <v>9</v>
      </c>
      <c r="F21">
        <v>10.32</v>
      </c>
      <c r="G21" t="s">
        <v>99</v>
      </c>
      <c r="H21" s="3" t="str">
        <f>IF(Qn-(F21-Ta)&gt;2*ENT,"Fara E","Ok")</f>
        <v>Ok</v>
      </c>
      <c r="I21" s="65">
        <f>E21</f>
        <v>9</v>
      </c>
      <c r="J21" s="7">
        <f>F21-Ta</f>
        <v>10</v>
      </c>
      <c r="K21" s="3" t="str">
        <f>IF(J21&gt;=CMA,"Ok","Not Ok")</f>
        <v>Ok</v>
      </c>
      <c r="O21" s="65">
        <f>E21</f>
        <v>9</v>
      </c>
      <c r="P21" s="56">
        <f>F21-Ta</f>
        <v>10</v>
      </c>
      <c r="Q21" s="62">
        <f>P21-Xi</f>
        <v>-5.999999999998451E-3</v>
      </c>
      <c r="R21" s="55">
        <f>POWER(Q21,2)</f>
        <v>3.5999999999981414E-5</v>
      </c>
    </row>
    <row r="22" spans="1:18" x14ac:dyDescent="0.25">
      <c r="A22" s="46" t="s">
        <v>54</v>
      </c>
      <c r="B22" s="29">
        <f>s/SQRT(ES_3)*0.995</f>
        <v>8.8995505504468647E-4</v>
      </c>
      <c r="E22">
        <v>10</v>
      </c>
      <c r="F22">
        <v>10.32</v>
      </c>
      <c r="G22" t="s">
        <v>100</v>
      </c>
      <c r="H22" s="3" t="str">
        <f>IF(Qn-(F22-Ta)&gt;2*ENT,"Fara E","Ok")</f>
        <v>Ok</v>
      </c>
      <c r="I22" s="65">
        <f>E22</f>
        <v>10</v>
      </c>
      <c r="J22" s="7">
        <f>F22-Ta</f>
        <v>10</v>
      </c>
      <c r="K22" s="3" t="str">
        <f>IF(J22&gt;=CMA,"Ok","Not Ok")</f>
        <v>Ok</v>
      </c>
      <c r="O22" s="65">
        <f>E22</f>
        <v>10</v>
      </c>
      <c r="P22" s="56">
        <f>F22-Ta</f>
        <v>10</v>
      </c>
      <c r="Q22" s="62">
        <f>P22-Xi</f>
        <v>-5.999999999998451E-3</v>
      </c>
      <c r="R22" s="55">
        <f>POWER(Q22,2)</f>
        <v>3.5999999999981414E-5</v>
      </c>
    </row>
    <row r="23" spans="1:18" x14ac:dyDescent="0.25">
      <c r="A23" s="2"/>
      <c r="E23"/>
      <c r="F23"/>
      <c r="G23"/>
    </row>
    <row r="24" spans="1:18" x14ac:dyDescent="0.25">
      <c r="E24"/>
      <c r="F24"/>
      <c r="G24"/>
    </row>
    <row r="25" spans="1:18" x14ac:dyDescent="0.25">
      <c r="E25"/>
      <c r="F25"/>
      <c r="G25"/>
    </row>
    <row r="26" spans="1:18" x14ac:dyDescent="0.25">
      <c r="E26"/>
      <c r="F26"/>
      <c r="G26"/>
    </row>
    <row r="27" spans="1:18" x14ac:dyDescent="0.25">
      <c r="E27"/>
      <c r="F27"/>
      <c r="G27"/>
    </row>
    <row r="28" spans="1:18" x14ac:dyDescent="0.25">
      <c r="E28"/>
      <c r="F28"/>
      <c r="G28"/>
    </row>
    <row r="29" spans="1:18" x14ac:dyDescent="0.25">
      <c r="E29"/>
      <c r="F29"/>
      <c r="G29"/>
    </row>
    <row r="30" spans="1:18" x14ac:dyDescent="0.25">
      <c r="E30"/>
      <c r="F30"/>
      <c r="G30"/>
    </row>
    <row r="31" spans="1:18" x14ac:dyDescent="0.25">
      <c r="E31"/>
      <c r="F31"/>
      <c r="G31"/>
    </row>
    <row r="32" spans="1:18" x14ac:dyDescent="0.25">
      <c r="E32"/>
      <c r="F32"/>
      <c r="G32"/>
    </row>
    <row r="33" spans="5:7" x14ac:dyDescent="0.25">
      <c r="E33"/>
      <c r="F33"/>
      <c r="G33"/>
    </row>
    <row r="34" spans="5:7" x14ac:dyDescent="0.25">
      <c r="E34"/>
      <c r="F34"/>
      <c r="G34"/>
    </row>
    <row r="35" spans="5:7" x14ac:dyDescent="0.25">
      <c r="E35"/>
      <c r="F35"/>
      <c r="G35"/>
    </row>
    <row r="36" spans="5:7" x14ac:dyDescent="0.25">
      <c r="E36"/>
      <c r="F36"/>
      <c r="G36"/>
    </row>
    <row r="37" spans="5:7" x14ac:dyDescent="0.25">
      <c r="E37"/>
      <c r="F37"/>
      <c r="G37"/>
    </row>
    <row r="38" spans="5:7" x14ac:dyDescent="0.25">
      <c r="E38"/>
      <c r="F38"/>
      <c r="G38"/>
    </row>
    <row r="39" spans="5:7" x14ac:dyDescent="0.25">
      <c r="E39"/>
      <c r="F39"/>
      <c r="G39"/>
    </row>
    <row r="40" spans="5:7" x14ac:dyDescent="0.25">
      <c r="E40"/>
      <c r="F40"/>
      <c r="G40"/>
    </row>
    <row r="41" spans="5:7" x14ac:dyDescent="0.25">
      <c r="E41"/>
      <c r="F41"/>
      <c r="G41"/>
    </row>
    <row r="42" spans="5:7" x14ac:dyDescent="0.25">
      <c r="E42"/>
      <c r="F42"/>
      <c r="G42"/>
    </row>
    <row r="43" spans="5:7" x14ac:dyDescent="0.25">
      <c r="E43"/>
      <c r="F43"/>
      <c r="G43"/>
    </row>
    <row r="44" spans="5:7" x14ac:dyDescent="0.25">
      <c r="E44"/>
      <c r="F44"/>
      <c r="G44"/>
    </row>
    <row r="45" spans="5:7" x14ac:dyDescent="0.25">
      <c r="E45"/>
      <c r="F45"/>
      <c r="G45"/>
    </row>
    <row r="46" spans="5:7" x14ac:dyDescent="0.25">
      <c r="E46"/>
      <c r="F46"/>
      <c r="G46"/>
    </row>
    <row r="47" spans="5:7" x14ac:dyDescent="0.25">
      <c r="E47"/>
      <c r="F47"/>
      <c r="G47"/>
    </row>
    <row r="48" spans="5:7" x14ac:dyDescent="0.25">
      <c r="E48"/>
      <c r="F48"/>
      <c r="G48"/>
    </row>
    <row r="49" spans="5:7" x14ac:dyDescent="0.25">
      <c r="E49"/>
      <c r="F49"/>
      <c r="G49"/>
    </row>
    <row r="50" spans="5:7" x14ac:dyDescent="0.25">
      <c r="E50"/>
      <c r="F50"/>
      <c r="G50"/>
    </row>
    <row r="51" spans="5:7" x14ac:dyDescent="0.25">
      <c r="E51"/>
      <c r="F51"/>
      <c r="G51"/>
    </row>
    <row r="52" spans="5:7" x14ac:dyDescent="0.25">
      <c r="E52"/>
      <c r="F52"/>
      <c r="G52"/>
    </row>
    <row r="53" spans="5:7" x14ac:dyDescent="0.25">
      <c r="E53"/>
      <c r="F53"/>
      <c r="G53"/>
    </row>
    <row r="54" spans="5:7" x14ac:dyDescent="0.25">
      <c r="E54"/>
      <c r="F54"/>
      <c r="G54"/>
    </row>
    <row r="55" spans="5:7" x14ac:dyDescent="0.25">
      <c r="E55"/>
      <c r="F55"/>
      <c r="G55"/>
    </row>
    <row r="56" spans="5:7" x14ac:dyDescent="0.25">
      <c r="E56"/>
      <c r="F56"/>
      <c r="G56"/>
    </row>
    <row r="57" spans="5:7" x14ac:dyDescent="0.25">
      <c r="E57"/>
      <c r="F57"/>
      <c r="G57"/>
    </row>
    <row r="58" spans="5:7" x14ac:dyDescent="0.25">
      <c r="E58"/>
      <c r="F58"/>
      <c r="G58"/>
    </row>
    <row r="59" spans="5:7" x14ac:dyDescent="0.25">
      <c r="E59"/>
      <c r="F59"/>
      <c r="G59"/>
    </row>
    <row r="60" spans="5:7" x14ac:dyDescent="0.25">
      <c r="E60"/>
      <c r="F60"/>
      <c r="G60"/>
    </row>
    <row r="61" spans="5:7" x14ac:dyDescent="0.25">
      <c r="E61"/>
      <c r="F61"/>
      <c r="G61"/>
    </row>
    <row r="62" spans="5:7" x14ac:dyDescent="0.25">
      <c r="E62"/>
      <c r="F62"/>
      <c r="G62"/>
    </row>
    <row r="63" spans="5:7" x14ac:dyDescent="0.25">
      <c r="E63"/>
      <c r="F63"/>
      <c r="G63"/>
    </row>
    <row r="64" spans="5:7" x14ac:dyDescent="0.25">
      <c r="E64"/>
      <c r="F64"/>
      <c r="G64"/>
    </row>
    <row r="65" spans="5:7" x14ac:dyDescent="0.25">
      <c r="E65"/>
      <c r="F65"/>
      <c r="G65"/>
    </row>
    <row r="66" spans="5:7" x14ac:dyDescent="0.25">
      <c r="E66"/>
      <c r="F66"/>
      <c r="G66"/>
    </row>
    <row r="67" spans="5:7" x14ac:dyDescent="0.25">
      <c r="E67"/>
      <c r="F67"/>
      <c r="G67"/>
    </row>
    <row r="68" spans="5:7" x14ac:dyDescent="0.25">
      <c r="E68"/>
      <c r="F68"/>
      <c r="G68"/>
    </row>
    <row r="69" spans="5:7" x14ac:dyDescent="0.25">
      <c r="E69"/>
      <c r="F69"/>
      <c r="G69"/>
    </row>
    <row r="70" spans="5:7" x14ac:dyDescent="0.25">
      <c r="E70"/>
      <c r="F70"/>
      <c r="G70"/>
    </row>
    <row r="71" spans="5:7" x14ac:dyDescent="0.25">
      <c r="E71"/>
      <c r="F71"/>
      <c r="G71"/>
    </row>
    <row r="72" spans="5:7" x14ac:dyDescent="0.25">
      <c r="E72"/>
      <c r="F72"/>
      <c r="G72"/>
    </row>
    <row r="73" spans="5:7" x14ac:dyDescent="0.25">
      <c r="E73"/>
      <c r="F73"/>
      <c r="G73"/>
    </row>
    <row r="74" spans="5:7" x14ac:dyDescent="0.25">
      <c r="E74"/>
      <c r="F74"/>
      <c r="G74"/>
    </row>
    <row r="75" spans="5:7" x14ac:dyDescent="0.25">
      <c r="E75"/>
      <c r="F75"/>
      <c r="G75"/>
    </row>
    <row r="76" spans="5:7" x14ac:dyDescent="0.25">
      <c r="E76"/>
      <c r="F76"/>
      <c r="G76"/>
    </row>
    <row r="77" spans="5:7" x14ac:dyDescent="0.25">
      <c r="E77"/>
      <c r="F77"/>
      <c r="G77"/>
    </row>
    <row r="78" spans="5:7" x14ac:dyDescent="0.25">
      <c r="E78"/>
      <c r="F78"/>
      <c r="G78"/>
    </row>
    <row r="79" spans="5:7" x14ac:dyDescent="0.25">
      <c r="E79"/>
      <c r="F79"/>
      <c r="G79"/>
    </row>
    <row r="80" spans="5:7" x14ac:dyDescent="0.25">
      <c r="E80"/>
      <c r="F80"/>
      <c r="G80"/>
    </row>
    <row r="81" spans="5:7" x14ac:dyDescent="0.25">
      <c r="E81"/>
      <c r="F81"/>
      <c r="G81"/>
    </row>
    <row r="82" spans="5:7" x14ac:dyDescent="0.25">
      <c r="E82"/>
      <c r="F82"/>
      <c r="G82"/>
    </row>
    <row r="83" spans="5:7" x14ac:dyDescent="0.25">
      <c r="E83"/>
      <c r="F83"/>
      <c r="G83"/>
    </row>
    <row r="84" spans="5:7" x14ac:dyDescent="0.25">
      <c r="E84"/>
      <c r="F84"/>
      <c r="G84"/>
    </row>
    <row r="85" spans="5:7" x14ac:dyDescent="0.25">
      <c r="E85"/>
      <c r="F85"/>
      <c r="G85"/>
    </row>
    <row r="86" spans="5:7" x14ac:dyDescent="0.25">
      <c r="E86"/>
      <c r="F86"/>
      <c r="G86"/>
    </row>
    <row r="87" spans="5:7" x14ac:dyDescent="0.25">
      <c r="E87"/>
      <c r="F87"/>
      <c r="G87"/>
    </row>
    <row r="88" spans="5:7" x14ac:dyDescent="0.25">
      <c r="E88"/>
      <c r="F88"/>
      <c r="G88"/>
    </row>
    <row r="89" spans="5:7" x14ac:dyDescent="0.25">
      <c r="E89"/>
      <c r="F89"/>
      <c r="G89"/>
    </row>
    <row r="90" spans="5:7" x14ac:dyDescent="0.25">
      <c r="E90"/>
      <c r="F90"/>
      <c r="G90"/>
    </row>
    <row r="91" spans="5:7" x14ac:dyDescent="0.25">
      <c r="E91"/>
      <c r="F91"/>
      <c r="G91"/>
    </row>
    <row r="92" spans="5:7" x14ac:dyDescent="0.25">
      <c r="E92"/>
      <c r="F92"/>
      <c r="G92"/>
    </row>
    <row r="93" spans="5:7" x14ac:dyDescent="0.25">
      <c r="E93"/>
      <c r="F93"/>
      <c r="G93"/>
    </row>
    <row r="94" spans="5:7" x14ac:dyDescent="0.25">
      <c r="E94"/>
      <c r="F94"/>
      <c r="G94"/>
    </row>
    <row r="95" spans="5:7" x14ac:dyDescent="0.25">
      <c r="E95"/>
      <c r="F95"/>
      <c r="G95"/>
    </row>
    <row r="96" spans="5:7" x14ac:dyDescent="0.25">
      <c r="E96"/>
      <c r="F96"/>
      <c r="G96"/>
    </row>
    <row r="97" spans="5:7" x14ac:dyDescent="0.25">
      <c r="E97"/>
      <c r="F97"/>
      <c r="G97"/>
    </row>
    <row r="98" spans="5:7" x14ac:dyDescent="0.25">
      <c r="E98"/>
      <c r="F98"/>
      <c r="G98"/>
    </row>
    <row r="99" spans="5:7" x14ac:dyDescent="0.25">
      <c r="E99"/>
      <c r="F99"/>
      <c r="G99"/>
    </row>
    <row r="100" spans="5:7" x14ac:dyDescent="0.25">
      <c r="E100"/>
      <c r="F100"/>
      <c r="G100"/>
    </row>
    <row r="101" spans="5:7" x14ac:dyDescent="0.25">
      <c r="E101"/>
      <c r="F101"/>
      <c r="G101"/>
    </row>
    <row r="102" spans="5:7" x14ac:dyDescent="0.25">
      <c r="E102"/>
      <c r="F102"/>
      <c r="G102"/>
    </row>
    <row r="103" spans="5:7" x14ac:dyDescent="0.25">
      <c r="E103"/>
      <c r="F103"/>
      <c r="G103"/>
    </row>
    <row r="104" spans="5:7" x14ac:dyDescent="0.25">
      <c r="E104"/>
      <c r="F104"/>
      <c r="G104"/>
    </row>
    <row r="105" spans="5:7" x14ac:dyDescent="0.25">
      <c r="E105"/>
      <c r="F105"/>
      <c r="G105"/>
    </row>
    <row r="106" spans="5:7" x14ac:dyDescent="0.25">
      <c r="E106"/>
      <c r="F106"/>
      <c r="G106"/>
    </row>
    <row r="107" spans="5:7" x14ac:dyDescent="0.25">
      <c r="E107"/>
      <c r="F107"/>
      <c r="G107"/>
    </row>
    <row r="108" spans="5:7" x14ac:dyDescent="0.25">
      <c r="E108"/>
      <c r="F108"/>
      <c r="G108"/>
    </row>
    <row r="109" spans="5:7" x14ac:dyDescent="0.25">
      <c r="E109"/>
      <c r="F109"/>
      <c r="G109"/>
    </row>
    <row r="110" spans="5:7" x14ac:dyDescent="0.25">
      <c r="E110"/>
      <c r="F110"/>
      <c r="G110"/>
    </row>
    <row r="111" spans="5:7" x14ac:dyDescent="0.25">
      <c r="E111"/>
      <c r="F111"/>
      <c r="G111"/>
    </row>
    <row r="112" spans="5:7" x14ac:dyDescent="0.25">
      <c r="E112"/>
      <c r="F112"/>
      <c r="G112"/>
    </row>
    <row r="113" spans="5:7" x14ac:dyDescent="0.25">
      <c r="E113"/>
      <c r="F113"/>
      <c r="G113"/>
    </row>
    <row r="114" spans="5:7" x14ac:dyDescent="0.25">
      <c r="E114"/>
      <c r="F114"/>
      <c r="G114"/>
    </row>
    <row r="115" spans="5:7" x14ac:dyDescent="0.25">
      <c r="E115"/>
      <c r="F115"/>
      <c r="G115"/>
    </row>
    <row r="116" spans="5:7" x14ac:dyDescent="0.25">
      <c r="E116"/>
      <c r="F116"/>
      <c r="G116"/>
    </row>
    <row r="117" spans="5:7" x14ac:dyDescent="0.25">
      <c r="E117"/>
      <c r="F117"/>
      <c r="G117"/>
    </row>
    <row r="118" spans="5:7" x14ac:dyDescent="0.25">
      <c r="E118"/>
      <c r="F118"/>
      <c r="G118"/>
    </row>
    <row r="119" spans="5:7" x14ac:dyDescent="0.25">
      <c r="E119"/>
      <c r="F119"/>
      <c r="G119"/>
    </row>
    <row r="120" spans="5:7" x14ac:dyDescent="0.25">
      <c r="E120"/>
      <c r="F120"/>
      <c r="G120"/>
    </row>
    <row r="121" spans="5:7" x14ac:dyDescent="0.25">
      <c r="E121"/>
      <c r="F121"/>
      <c r="G121"/>
    </row>
    <row r="122" spans="5:7" x14ac:dyDescent="0.25">
      <c r="E122"/>
      <c r="F122"/>
      <c r="G122"/>
    </row>
    <row r="123" spans="5:7" x14ac:dyDescent="0.25">
      <c r="E123"/>
      <c r="F123"/>
      <c r="G123"/>
    </row>
    <row r="124" spans="5:7" x14ac:dyDescent="0.25">
      <c r="E124"/>
      <c r="F124"/>
      <c r="G124"/>
    </row>
    <row r="125" spans="5:7" x14ac:dyDescent="0.25">
      <c r="E125"/>
      <c r="F125"/>
      <c r="G125"/>
    </row>
    <row r="126" spans="5:7" x14ac:dyDescent="0.25">
      <c r="E126"/>
      <c r="F126"/>
      <c r="G126"/>
    </row>
    <row r="127" spans="5:7" x14ac:dyDescent="0.25">
      <c r="E127"/>
      <c r="F127"/>
      <c r="G127"/>
    </row>
    <row r="128" spans="5:7" x14ac:dyDescent="0.25">
      <c r="E128"/>
      <c r="F128"/>
      <c r="G128"/>
    </row>
    <row r="129" spans="5:7" x14ac:dyDescent="0.25">
      <c r="E129"/>
      <c r="F129"/>
      <c r="G129"/>
    </row>
    <row r="130" spans="5:7" x14ac:dyDescent="0.25">
      <c r="E130"/>
      <c r="F130"/>
      <c r="G130"/>
    </row>
    <row r="131" spans="5:7" x14ac:dyDescent="0.25">
      <c r="E131"/>
      <c r="F131"/>
      <c r="G131"/>
    </row>
    <row r="132" spans="5:7" x14ac:dyDescent="0.25">
      <c r="E132"/>
      <c r="F132"/>
      <c r="G132"/>
    </row>
    <row r="133" spans="5:7" x14ac:dyDescent="0.25">
      <c r="E133"/>
      <c r="F133"/>
      <c r="G133"/>
    </row>
    <row r="134" spans="5:7" x14ac:dyDescent="0.25">
      <c r="E134"/>
      <c r="F134"/>
      <c r="G134"/>
    </row>
    <row r="135" spans="5:7" x14ac:dyDescent="0.25">
      <c r="E135"/>
      <c r="F135"/>
      <c r="G135"/>
    </row>
    <row r="136" spans="5:7" x14ac:dyDescent="0.25">
      <c r="E136"/>
      <c r="F136"/>
      <c r="G136"/>
    </row>
    <row r="137" spans="5:7" x14ac:dyDescent="0.25">
      <c r="E137"/>
      <c r="F137"/>
      <c r="G137"/>
    </row>
    <row r="138" spans="5:7" x14ac:dyDescent="0.25">
      <c r="E138"/>
      <c r="F138"/>
      <c r="G138"/>
    </row>
    <row r="139" spans="5:7" x14ac:dyDescent="0.25">
      <c r="E139"/>
      <c r="F139"/>
      <c r="G139"/>
    </row>
    <row r="140" spans="5:7" x14ac:dyDescent="0.25">
      <c r="E140"/>
      <c r="F140"/>
      <c r="G140"/>
    </row>
    <row r="141" spans="5:7" x14ac:dyDescent="0.25">
      <c r="E141"/>
      <c r="F141"/>
      <c r="G141"/>
    </row>
    <row r="142" spans="5:7" x14ac:dyDescent="0.25">
      <c r="E142"/>
      <c r="F142"/>
      <c r="G142"/>
    </row>
    <row r="143" spans="5:7" x14ac:dyDescent="0.25">
      <c r="E143"/>
      <c r="F143"/>
      <c r="G143"/>
    </row>
    <row r="144" spans="5:7" x14ac:dyDescent="0.25">
      <c r="E144"/>
      <c r="F144"/>
      <c r="G144"/>
    </row>
    <row r="145" spans="5:7" x14ac:dyDescent="0.25">
      <c r="E145"/>
      <c r="F145"/>
      <c r="G145"/>
    </row>
    <row r="146" spans="5:7" x14ac:dyDescent="0.25">
      <c r="E146"/>
      <c r="F146"/>
      <c r="G146"/>
    </row>
    <row r="147" spans="5:7" x14ac:dyDescent="0.25">
      <c r="E147"/>
      <c r="F147"/>
      <c r="G147"/>
    </row>
    <row r="148" spans="5:7" x14ac:dyDescent="0.25">
      <c r="E148"/>
      <c r="F148"/>
      <c r="G148"/>
    </row>
    <row r="149" spans="5:7" x14ac:dyDescent="0.25">
      <c r="E149"/>
      <c r="F149"/>
      <c r="G149"/>
    </row>
    <row r="150" spans="5:7" x14ac:dyDescent="0.25">
      <c r="E150"/>
      <c r="F150"/>
      <c r="G150"/>
    </row>
    <row r="151" spans="5:7" x14ac:dyDescent="0.25">
      <c r="E151"/>
      <c r="F151"/>
      <c r="G151"/>
    </row>
    <row r="152" spans="5:7" x14ac:dyDescent="0.25">
      <c r="E152"/>
      <c r="F152"/>
      <c r="G152"/>
    </row>
    <row r="153" spans="5:7" x14ac:dyDescent="0.25">
      <c r="E153"/>
      <c r="F153"/>
      <c r="G153"/>
    </row>
    <row r="154" spans="5:7" x14ac:dyDescent="0.25">
      <c r="E154"/>
      <c r="F154"/>
      <c r="G154"/>
    </row>
    <row r="155" spans="5:7" x14ac:dyDescent="0.25">
      <c r="E155"/>
      <c r="F155"/>
      <c r="G155"/>
    </row>
    <row r="156" spans="5:7" x14ac:dyDescent="0.25">
      <c r="E156"/>
      <c r="F156"/>
      <c r="G156"/>
    </row>
    <row r="157" spans="5:7" x14ac:dyDescent="0.25">
      <c r="E157"/>
      <c r="F157"/>
      <c r="G157"/>
    </row>
    <row r="158" spans="5:7" x14ac:dyDescent="0.25">
      <c r="E158"/>
      <c r="F158"/>
      <c r="G158"/>
    </row>
    <row r="159" spans="5:7" x14ac:dyDescent="0.25">
      <c r="E159"/>
      <c r="F159"/>
      <c r="G159"/>
    </row>
    <row r="160" spans="5:7" x14ac:dyDescent="0.25">
      <c r="E160"/>
      <c r="F160"/>
      <c r="G160"/>
    </row>
    <row r="161" spans="5:7" x14ac:dyDescent="0.25">
      <c r="E161"/>
      <c r="F161"/>
      <c r="G161"/>
    </row>
    <row r="162" spans="5:7" x14ac:dyDescent="0.25">
      <c r="E162"/>
      <c r="F162"/>
      <c r="G162"/>
    </row>
    <row r="163" spans="5:7" x14ac:dyDescent="0.25">
      <c r="E163"/>
      <c r="F163"/>
      <c r="G163"/>
    </row>
    <row r="164" spans="5:7" x14ac:dyDescent="0.25">
      <c r="E164"/>
      <c r="F164"/>
      <c r="G164"/>
    </row>
    <row r="165" spans="5:7" x14ac:dyDescent="0.25">
      <c r="E165"/>
      <c r="F165"/>
      <c r="G165"/>
    </row>
    <row r="166" spans="5:7" x14ac:dyDescent="0.25">
      <c r="E166"/>
      <c r="F166"/>
      <c r="G166"/>
    </row>
    <row r="167" spans="5:7" x14ac:dyDescent="0.25">
      <c r="E167"/>
      <c r="F167"/>
      <c r="G167"/>
    </row>
    <row r="168" spans="5:7" x14ac:dyDescent="0.25">
      <c r="E168"/>
      <c r="F168"/>
      <c r="G168"/>
    </row>
    <row r="169" spans="5:7" x14ac:dyDescent="0.25">
      <c r="E169"/>
      <c r="F169"/>
      <c r="G169"/>
    </row>
    <row r="170" spans="5:7" x14ac:dyDescent="0.25">
      <c r="E170"/>
      <c r="F170"/>
      <c r="G170"/>
    </row>
    <row r="171" spans="5:7" x14ac:dyDescent="0.25">
      <c r="E171"/>
      <c r="F171"/>
      <c r="G171"/>
    </row>
    <row r="172" spans="5:7" x14ac:dyDescent="0.25">
      <c r="E172"/>
      <c r="F172"/>
      <c r="G172"/>
    </row>
    <row r="173" spans="5:7" x14ac:dyDescent="0.25">
      <c r="E173"/>
      <c r="F173"/>
      <c r="G173"/>
    </row>
    <row r="174" spans="5:7" x14ac:dyDescent="0.25">
      <c r="E174"/>
      <c r="F174"/>
      <c r="G174"/>
    </row>
    <row r="175" spans="5:7" x14ac:dyDescent="0.25">
      <c r="E175"/>
      <c r="F175"/>
      <c r="G175"/>
    </row>
    <row r="176" spans="5:7" x14ac:dyDescent="0.25">
      <c r="E176"/>
      <c r="F176"/>
      <c r="G176"/>
    </row>
    <row r="177" spans="5:7" x14ac:dyDescent="0.25">
      <c r="E177"/>
      <c r="F177"/>
      <c r="G177"/>
    </row>
    <row r="178" spans="5:7" x14ac:dyDescent="0.25">
      <c r="E178"/>
      <c r="F178"/>
      <c r="G178"/>
    </row>
    <row r="179" spans="5:7" x14ac:dyDescent="0.25">
      <c r="E179"/>
      <c r="F179"/>
      <c r="G179"/>
    </row>
    <row r="180" spans="5:7" x14ac:dyDescent="0.25">
      <c r="E180"/>
      <c r="F180"/>
      <c r="G180"/>
    </row>
    <row r="181" spans="5:7" x14ac:dyDescent="0.25">
      <c r="E181"/>
      <c r="F181"/>
      <c r="G181"/>
    </row>
    <row r="182" spans="5:7" x14ac:dyDescent="0.25">
      <c r="E182"/>
      <c r="F182"/>
      <c r="G182"/>
    </row>
    <row r="183" spans="5:7" x14ac:dyDescent="0.25">
      <c r="E183"/>
      <c r="F183"/>
      <c r="G183"/>
    </row>
    <row r="184" spans="5:7" x14ac:dyDescent="0.25">
      <c r="E184"/>
      <c r="F184"/>
      <c r="G184"/>
    </row>
    <row r="185" spans="5:7" x14ac:dyDescent="0.25">
      <c r="E185"/>
      <c r="F185"/>
      <c r="G185"/>
    </row>
    <row r="186" spans="5:7" x14ac:dyDescent="0.25">
      <c r="E186"/>
      <c r="F186"/>
      <c r="G186"/>
    </row>
    <row r="187" spans="5:7" x14ac:dyDescent="0.25">
      <c r="E187"/>
      <c r="F187"/>
      <c r="G187"/>
    </row>
    <row r="188" spans="5:7" x14ac:dyDescent="0.25">
      <c r="E188"/>
      <c r="F188"/>
      <c r="G188"/>
    </row>
    <row r="189" spans="5:7" x14ac:dyDescent="0.25">
      <c r="E189"/>
      <c r="F189"/>
      <c r="G189"/>
    </row>
    <row r="190" spans="5:7" x14ac:dyDescent="0.25">
      <c r="E190"/>
      <c r="F190"/>
      <c r="G190"/>
    </row>
    <row r="191" spans="5:7" x14ac:dyDescent="0.25">
      <c r="E191"/>
      <c r="F191"/>
      <c r="G191"/>
    </row>
    <row r="192" spans="5:7" x14ac:dyDescent="0.25">
      <c r="E192"/>
      <c r="F192"/>
      <c r="G192"/>
    </row>
    <row r="193" spans="5:7" x14ac:dyDescent="0.25">
      <c r="E193"/>
      <c r="F193"/>
      <c r="G193"/>
    </row>
    <row r="194" spans="5:7" x14ac:dyDescent="0.25">
      <c r="E194"/>
      <c r="F194"/>
      <c r="G194"/>
    </row>
    <row r="195" spans="5:7" x14ac:dyDescent="0.25">
      <c r="E195"/>
      <c r="F195"/>
      <c r="G195"/>
    </row>
    <row r="196" spans="5:7" x14ac:dyDescent="0.25">
      <c r="E196"/>
      <c r="F196"/>
      <c r="G196"/>
    </row>
    <row r="197" spans="5:7" x14ac:dyDescent="0.25">
      <c r="E197"/>
      <c r="F197"/>
      <c r="G197"/>
    </row>
    <row r="198" spans="5:7" x14ac:dyDescent="0.25">
      <c r="E198"/>
      <c r="F198"/>
      <c r="G198"/>
    </row>
    <row r="199" spans="5:7" x14ac:dyDescent="0.25">
      <c r="E199"/>
      <c r="F199"/>
      <c r="G199"/>
    </row>
    <row r="200" spans="5:7" x14ac:dyDescent="0.25">
      <c r="E200"/>
      <c r="F200"/>
      <c r="G200"/>
    </row>
    <row r="201" spans="5:7" x14ac:dyDescent="0.25">
      <c r="E201"/>
      <c r="F201"/>
      <c r="G201"/>
    </row>
    <row r="202" spans="5:7" x14ac:dyDescent="0.25">
      <c r="E202"/>
      <c r="F202"/>
      <c r="G202"/>
    </row>
    <row r="203" spans="5:7" x14ac:dyDescent="0.25">
      <c r="E203"/>
      <c r="F203"/>
      <c r="G203"/>
    </row>
    <row r="204" spans="5:7" x14ac:dyDescent="0.25">
      <c r="E204"/>
      <c r="F204"/>
      <c r="G204"/>
    </row>
    <row r="205" spans="5:7" x14ac:dyDescent="0.25">
      <c r="E205"/>
      <c r="F205"/>
      <c r="G205"/>
    </row>
    <row r="206" spans="5:7" x14ac:dyDescent="0.25">
      <c r="E206"/>
      <c r="F206"/>
      <c r="G206"/>
    </row>
    <row r="207" spans="5:7" x14ac:dyDescent="0.25">
      <c r="E207"/>
      <c r="F207"/>
      <c r="G207"/>
    </row>
    <row r="208" spans="5:7" x14ac:dyDescent="0.25">
      <c r="E208"/>
      <c r="F208"/>
      <c r="G208"/>
    </row>
    <row r="209" spans="5:7" x14ac:dyDescent="0.25">
      <c r="E209"/>
      <c r="F209"/>
      <c r="G209"/>
    </row>
    <row r="210" spans="5:7" x14ac:dyDescent="0.25">
      <c r="E210"/>
      <c r="F210"/>
      <c r="G210"/>
    </row>
    <row r="211" spans="5:7" x14ac:dyDescent="0.25">
      <c r="E211"/>
      <c r="F211"/>
      <c r="G211"/>
    </row>
    <row r="212" spans="5:7" x14ac:dyDescent="0.25">
      <c r="E212"/>
      <c r="F212"/>
      <c r="G212"/>
    </row>
    <row r="213" spans="5:7" x14ac:dyDescent="0.25">
      <c r="E213"/>
      <c r="F213"/>
      <c r="G213"/>
    </row>
    <row r="214" spans="5:7" x14ac:dyDescent="0.25">
      <c r="E214"/>
      <c r="F214"/>
      <c r="G214"/>
    </row>
    <row r="215" spans="5:7" x14ac:dyDescent="0.25">
      <c r="E215"/>
      <c r="F215"/>
      <c r="G215"/>
    </row>
    <row r="216" spans="5:7" x14ac:dyDescent="0.25">
      <c r="E216"/>
      <c r="F216"/>
      <c r="G216"/>
    </row>
    <row r="217" spans="5:7" x14ac:dyDescent="0.25">
      <c r="E217"/>
      <c r="F217"/>
      <c r="G217"/>
    </row>
    <row r="218" spans="5:7" x14ac:dyDescent="0.25">
      <c r="E218"/>
      <c r="F218"/>
      <c r="G218"/>
    </row>
    <row r="219" spans="5:7" x14ac:dyDescent="0.25">
      <c r="E219"/>
      <c r="F219"/>
      <c r="G219"/>
    </row>
    <row r="220" spans="5:7" x14ac:dyDescent="0.25">
      <c r="E220"/>
      <c r="F220"/>
      <c r="G220"/>
    </row>
    <row r="221" spans="5:7" x14ac:dyDescent="0.25">
      <c r="E221"/>
      <c r="F221"/>
      <c r="G221"/>
    </row>
    <row r="222" spans="5:7" x14ac:dyDescent="0.25">
      <c r="E222"/>
      <c r="F222"/>
      <c r="G222"/>
    </row>
    <row r="223" spans="5:7" x14ac:dyDescent="0.25">
      <c r="E223"/>
      <c r="F223"/>
      <c r="G223"/>
    </row>
    <row r="224" spans="5:7" x14ac:dyDescent="0.25">
      <c r="E224"/>
      <c r="F224"/>
      <c r="G224"/>
    </row>
    <row r="225" spans="5:7" x14ac:dyDescent="0.25">
      <c r="E225"/>
      <c r="F225"/>
      <c r="G225"/>
    </row>
    <row r="226" spans="5:7" x14ac:dyDescent="0.25">
      <c r="E226"/>
      <c r="F226"/>
      <c r="G226"/>
    </row>
    <row r="227" spans="5:7" x14ac:dyDescent="0.25">
      <c r="E227"/>
      <c r="F227"/>
      <c r="G227"/>
    </row>
    <row r="228" spans="5:7" x14ac:dyDescent="0.25">
      <c r="E228"/>
      <c r="F228"/>
      <c r="G228"/>
    </row>
    <row r="229" spans="5:7" x14ac:dyDescent="0.25">
      <c r="E229"/>
      <c r="F229"/>
      <c r="G229"/>
    </row>
    <row r="230" spans="5:7" x14ac:dyDescent="0.25">
      <c r="E230"/>
      <c r="F230"/>
      <c r="G230"/>
    </row>
    <row r="231" spans="5:7" x14ac:dyDescent="0.25">
      <c r="E231"/>
      <c r="F231"/>
      <c r="G231"/>
    </row>
    <row r="232" spans="5:7" x14ac:dyDescent="0.25">
      <c r="E232"/>
      <c r="F232"/>
      <c r="G232"/>
    </row>
    <row r="233" spans="5:7" x14ac:dyDescent="0.25">
      <c r="E233"/>
      <c r="F233"/>
      <c r="G233"/>
    </row>
    <row r="234" spans="5:7" x14ac:dyDescent="0.25">
      <c r="E234"/>
      <c r="F234"/>
      <c r="G234"/>
    </row>
    <row r="235" spans="5:7" x14ac:dyDescent="0.25">
      <c r="E235"/>
      <c r="F235"/>
      <c r="G235"/>
    </row>
    <row r="236" spans="5:7" x14ac:dyDescent="0.25">
      <c r="E236"/>
      <c r="F236"/>
      <c r="G236"/>
    </row>
    <row r="237" spans="5:7" x14ac:dyDescent="0.25">
      <c r="E237"/>
      <c r="F237"/>
      <c r="G237"/>
    </row>
    <row r="238" spans="5:7" x14ac:dyDescent="0.25">
      <c r="E238"/>
      <c r="F238"/>
      <c r="G238"/>
    </row>
    <row r="239" spans="5:7" x14ac:dyDescent="0.25">
      <c r="E239"/>
      <c r="F239"/>
      <c r="G239"/>
    </row>
    <row r="240" spans="5:7" x14ac:dyDescent="0.25">
      <c r="E240"/>
      <c r="F240"/>
      <c r="G240"/>
    </row>
    <row r="241" spans="5:7" x14ac:dyDescent="0.25">
      <c r="E241"/>
      <c r="F241"/>
      <c r="G241"/>
    </row>
    <row r="242" spans="5:7" x14ac:dyDescent="0.25">
      <c r="E242"/>
      <c r="F242"/>
      <c r="G242"/>
    </row>
    <row r="243" spans="5:7" x14ac:dyDescent="0.25">
      <c r="E243"/>
      <c r="F243"/>
      <c r="G243"/>
    </row>
    <row r="244" spans="5:7" x14ac:dyDescent="0.25">
      <c r="E244"/>
      <c r="F244"/>
      <c r="G244"/>
    </row>
    <row r="245" spans="5:7" x14ac:dyDescent="0.25">
      <c r="E245"/>
      <c r="F245"/>
      <c r="G245"/>
    </row>
    <row r="246" spans="5:7" x14ac:dyDescent="0.25">
      <c r="E246"/>
      <c r="F246"/>
      <c r="G246"/>
    </row>
    <row r="247" spans="5:7" x14ac:dyDescent="0.25">
      <c r="E247"/>
      <c r="F247"/>
      <c r="G247"/>
    </row>
    <row r="248" spans="5:7" x14ac:dyDescent="0.25">
      <c r="E248"/>
      <c r="F248"/>
      <c r="G248"/>
    </row>
    <row r="249" spans="5:7" x14ac:dyDescent="0.25">
      <c r="E249"/>
      <c r="F249"/>
      <c r="G249"/>
    </row>
    <row r="250" spans="5:7" x14ac:dyDescent="0.25">
      <c r="E250"/>
      <c r="F250"/>
      <c r="G250"/>
    </row>
    <row r="251" spans="5:7" x14ac:dyDescent="0.25">
      <c r="E251"/>
      <c r="F251"/>
      <c r="G251"/>
    </row>
    <row r="252" spans="5:7" x14ac:dyDescent="0.25">
      <c r="E252"/>
      <c r="F252"/>
      <c r="G252"/>
    </row>
    <row r="253" spans="5:7" x14ac:dyDescent="0.25">
      <c r="E253"/>
      <c r="F253"/>
      <c r="G253"/>
    </row>
    <row r="254" spans="5:7" x14ac:dyDescent="0.25">
      <c r="E254"/>
      <c r="F254"/>
      <c r="G254"/>
    </row>
    <row r="255" spans="5:7" x14ac:dyDescent="0.25">
      <c r="E255"/>
      <c r="F255"/>
      <c r="G255"/>
    </row>
    <row r="256" spans="5:7" x14ac:dyDescent="0.25">
      <c r="E256"/>
      <c r="F256"/>
      <c r="G256"/>
    </row>
    <row r="257" spans="5:7" x14ac:dyDescent="0.25">
      <c r="E257"/>
      <c r="F257"/>
      <c r="G257"/>
    </row>
    <row r="258" spans="5:7" x14ac:dyDescent="0.25">
      <c r="E258"/>
      <c r="F258"/>
      <c r="G258"/>
    </row>
    <row r="259" spans="5:7" x14ac:dyDescent="0.25">
      <c r="E259"/>
      <c r="F259"/>
      <c r="G259"/>
    </row>
    <row r="260" spans="5:7" x14ac:dyDescent="0.25">
      <c r="E260"/>
      <c r="F260"/>
      <c r="G260"/>
    </row>
    <row r="261" spans="5:7" x14ac:dyDescent="0.25">
      <c r="E261"/>
      <c r="F261"/>
      <c r="G261"/>
    </row>
    <row r="262" spans="5:7" x14ac:dyDescent="0.25">
      <c r="E262"/>
      <c r="F262"/>
      <c r="G262"/>
    </row>
    <row r="263" spans="5:7" x14ac:dyDescent="0.25">
      <c r="E263"/>
      <c r="F263"/>
      <c r="G263"/>
    </row>
    <row r="264" spans="5:7" x14ac:dyDescent="0.25">
      <c r="E264"/>
      <c r="F264"/>
      <c r="G264"/>
    </row>
    <row r="265" spans="5:7" x14ac:dyDescent="0.25">
      <c r="E265"/>
      <c r="F265"/>
      <c r="G265"/>
    </row>
    <row r="266" spans="5:7" x14ac:dyDescent="0.25">
      <c r="E266"/>
      <c r="F266"/>
      <c r="G266"/>
    </row>
    <row r="267" spans="5:7" x14ac:dyDescent="0.25">
      <c r="E267"/>
      <c r="F267"/>
      <c r="G267"/>
    </row>
    <row r="268" spans="5:7" x14ac:dyDescent="0.25">
      <c r="E268"/>
      <c r="F268"/>
      <c r="G268"/>
    </row>
    <row r="269" spans="5:7" x14ac:dyDescent="0.25">
      <c r="E269"/>
      <c r="F269"/>
      <c r="G269"/>
    </row>
    <row r="270" spans="5:7" x14ac:dyDescent="0.25">
      <c r="E270"/>
      <c r="F270"/>
      <c r="G270"/>
    </row>
    <row r="271" spans="5:7" x14ac:dyDescent="0.25">
      <c r="E271"/>
      <c r="F271"/>
      <c r="G271"/>
    </row>
    <row r="272" spans="5:7" x14ac:dyDescent="0.25">
      <c r="E272"/>
      <c r="F272"/>
      <c r="G272"/>
    </row>
    <row r="273" spans="5:7" x14ac:dyDescent="0.25">
      <c r="E273"/>
      <c r="F273"/>
      <c r="G273"/>
    </row>
    <row r="274" spans="5:7" x14ac:dyDescent="0.25">
      <c r="E274"/>
      <c r="F274"/>
      <c r="G274"/>
    </row>
    <row r="275" spans="5:7" x14ac:dyDescent="0.25">
      <c r="E275"/>
      <c r="F275"/>
      <c r="G275"/>
    </row>
    <row r="276" spans="5:7" x14ac:dyDescent="0.25">
      <c r="E276"/>
      <c r="F276"/>
      <c r="G276"/>
    </row>
    <row r="277" spans="5:7" x14ac:dyDescent="0.25">
      <c r="E277"/>
      <c r="F277"/>
      <c r="G277"/>
    </row>
    <row r="278" spans="5:7" x14ac:dyDescent="0.25">
      <c r="E278"/>
      <c r="F278"/>
      <c r="G278"/>
    </row>
    <row r="279" spans="5:7" x14ac:dyDescent="0.25">
      <c r="E279"/>
      <c r="F279"/>
      <c r="G279"/>
    </row>
    <row r="280" spans="5:7" x14ac:dyDescent="0.25">
      <c r="E280"/>
      <c r="F280"/>
      <c r="G280"/>
    </row>
    <row r="281" spans="5:7" x14ac:dyDescent="0.25">
      <c r="E281"/>
      <c r="F281"/>
      <c r="G281"/>
    </row>
    <row r="282" spans="5:7" x14ac:dyDescent="0.25">
      <c r="E282"/>
      <c r="F282"/>
      <c r="G282"/>
    </row>
    <row r="283" spans="5:7" x14ac:dyDescent="0.25">
      <c r="E283"/>
      <c r="F283"/>
      <c r="G283"/>
    </row>
    <row r="284" spans="5:7" x14ac:dyDescent="0.25">
      <c r="E284"/>
      <c r="F284"/>
      <c r="G284"/>
    </row>
    <row r="285" spans="5:7" x14ac:dyDescent="0.25">
      <c r="E285"/>
      <c r="F285"/>
      <c r="G285"/>
    </row>
    <row r="286" spans="5:7" x14ac:dyDescent="0.25">
      <c r="E286"/>
      <c r="F286"/>
      <c r="G286"/>
    </row>
    <row r="287" spans="5:7" x14ac:dyDescent="0.25">
      <c r="E287"/>
      <c r="F287"/>
      <c r="G287"/>
    </row>
    <row r="288" spans="5:7" x14ac:dyDescent="0.25">
      <c r="E288"/>
      <c r="F288"/>
      <c r="G288"/>
    </row>
    <row r="289" spans="5:7" x14ac:dyDescent="0.25">
      <c r="E289"/>
      <c r="F289"/>
      <c r="G289"/>
    </row>
    <row r="290" spans="5:7" x14ac:dyDescent="0.25">
      <c r="E290"/>
      <c r="F290"/>
      <c r="G290"/>
    </row>
    <row r="291" spans="5:7" x14ac:dyDescent="0.25">
      <c r="E291"/>
      <c r="F291"/>
      <c r="G291"/>
    </row>
    <row r="292" spans="5:7" x14ac:dyDescent="0.25">
      <c r="E292"/>
      <c r="F292"/>
      <c r="G292"/>
    </row>
    <row r="293" spans="5:7" x14ac:dyDescent="0.25">
      <c r="E293"/>
      <c r="F293"/>
      <c r="G293"/>
    </row>
    <row r="294" spans="5:7" x14ac:dyDescent="0.25">
      <c r="E294"/>
      <c r="F294"/>
      <c r="G294"/>
    </row>
    <row r="295" spans="5:7" x14ac:dyDescent="0.25">
      <c r="E295"/>
      <c r="F295"/>
      <c r="G295"/>
    </row>
    <row r="296" spans="5:7" x14ac:dyDescent="0.25">
      <c r="E296"/>
      <c r="F296"/>
      <c r="G296"/>
    </row>
    <row r="297" spans="5:7" x14ac:dyDescent="0.25">
      <c r="E297"/>
      <c r="F297"/>
      <c r="G297"/>
    </row>
    <row r="298" spans="5:7" x14ac:dyDescent="0.25">
      <c r="E298"/>
      <c r="F298"/>
      <c r="G298"/>
    </row>
    <row r="299" spans="5:7" x14ac:dyDescent="0.25">
      <c r="E299"/>
      <c r="F299"/>
      <c r="G299"/>
    </row>
    <row r="300" spans="5:7" x14ac:dyDescent="0.25">
      <c r="E300"/>
      <c r="F300"/>
      <c r="G300"/>
    </row>
    <row r="301" spans="5:7" x14ac:dyDescent="0.25">
      <c r="E301"/>
      <c r="F301"/>
      <c r="G301"/>
    </row>
    <row r="302" spans="5:7" x14ac:dyDescent="0.25">
      <c r="E302"/>
      <c r="F302"/>
      <c r="G302"/>
    </row>
    <row r="303" spans="5:7" x14ac:dyDescent="0.25">
      <c r="E303"/>
      <c r="F303"/>
      <c r="G303"/>
    </row>
    <row r="304" spans="5:7" x14ac:dyDescent="0.25">
      <c r="E304"/>
      <c r="F304"/>
      <c r="G304"/>
    </row>
    <row r="305" spans="5:7" x14ac:dyDescent="0.25">
      <c r="E305"/>
      <c r="F305"/>
      <c r="G305"/>
    </row>
    <row r="306" spans="5:7" x14ac:dyDescent="0.25">
      <c r="E306"/>
      <c r="F306"/>
      <c r="G306"/>
    </row>
    <row r="307" spans="5:7" x14ac:dyDescent="0.25">
      <c r="E307"/>
      <c r="F307"/>
      <c r="G307"/>
    </row>
    <row r="308" spans="5:7" x14ac:dyDescent="0.25">
      <c r="E308"/>
      <c r="F308"/>
      <c r="G308"/>
    </row>
    <row r="309" spans="5:7" x14ac:dyDescent="0.25">
      <c r="E309"/>
      <c r="F309"/>
      <c r="G309"/>
    </row>
    <row r="310" spans="5:7" x14ac:dyDescent="0.25">
      <c r="E310"/>
      <c r="F310"/>
      <c r="G310"/>
    </row>
    <row r="311" spans="5:7" x14ac:dyDescent="0.25">
      <c r="E311"/>
      <c r="F311"/>
      <c r="G311"/>
    </row>
    <row r="312" spans="5:7" x14ac:dyDescent="0.25">
      <c r="E312"/>
      <c r="F312"/>
      <c r="G312"/>
    </row>
    <row r="313" spans="5:7" x14ac:dyDescent="0.25">
      <c r="E313"/>
      <c r="F313"/>
      <c r="G313"/>
    </row>
    <row r="314" spans="5:7" x14ac:dyDescent="0.25">
      <c r="E314"/>
      <c r="F314"/>
      <c r="G314"/>
    </row>
    <row r="315" spans="5:7" x14ac:dyDescent="0.25">
      <c r="E315"/>
      <c r="F315"/>
      <c r="G315"/>
    </row>
    <row r="316" spans="5:7" x14ac:dyDescent="0.25">
      <c r="E316"/>
      <c r="F316"/>
      <c r="G316"/>
    </row>
    <row r="317" spans="5:7" x14ac:dyDescent="0.25">
      <c r="E317"/>
      <c r="F317"/>
      <c r="G317"/>
    </row>
    <row r="318" spans="5:7" x14ac:dyDescent="0.25">
      <c r="E318"/>
      <c r="F318"/>
      <c r="G318"/>
    </row>
    <row r="319" spans="5:7" x14ac:dyDescent="0.25">
      <c r="E319"/>
      <c r="F319"/>
      <c r="G319"/>
    </row>
    <row r="320" spans="5:7" x14ac:dyDescent="0.25">
      <c r="E320"/>
      <c r="F320"/>
      <c r="G320"/>
    </row>
    <row r="321" spans="5:7" x14ac:dyDescent="0.25">
      <c r="E321"/>
      <c r="F321"/>
      <c r="G321"/>
    </row>
    <row r="322" spans="5:7" x14ac:dyDescent="0.25">
      <c r="E322"/>
      <c r="F322"/>
      <c r="G322"/>
    </row>
    <row r="323" spans="5:7" x14ac:dyDescent="0.25">
      <c r="E323"/>
      <c r="F323"/>
      <c r="G323"/>
    </row>
    <row r="324" spans="5:7" x14ac:dyDescent="0.25">
      <c r="E324"/>
      <c r="F324"/>
      <c r="G324"/>
    </row>
    <row r="325" spans="5:7" x14ac:dyDescent="0.25">
      <c r="E325"/>
      <c r="F325"/>
      <c r="G325"/>
    </row>
    <row r="326" spans="5:7" x14ac:dyDescent="0.25">
      <c r="E326"/>
      <c r="F326"/>
      <c r="G326"/>
    </row>
    <row r="327" spans="5:7" x14ac:dyDescent="0.25">
      <c r="E327"/>
      <c r="F327"/>
      <c r="G327"/>
    </row>
    <row r="328" spans="5:7" x14ac:dyDescent="0.25">
      <c r="E328"/>
      <c r="F328"/>
      <c r="G328"/>
    </row>
    <row r="329" spans="5:7" x14ac:dyDescent="0.25">
      <c r="E329"/>
      <c r="F329"/>
      <c r="G329"/>
    </row>
    <row r="330" spans="5:7" x14ac:dyDescent="0.25">
      <c r="E330"/>
      <c r="F330"/>
      <c r="G330"/>
    </row>
    <row r="331" spans="5:7" x14ac:dyDescent="0.25">
      <c r="E331"/>
      <c r="F331"/>
      <c r="G331"/>
    </row>
    <row r="332" spans="5:7" x14ac:dyDescent="0.25">
      <c r="E332"/>
      <c r="F332"/>
      <c r="G332"/>
    </row>
    <row r="333" spans="5:7" x14ac:dyDescent="0.25">
      <c r="E333"/>
      <c r="F333"/>
      <c r="G333"/>
    </row>
    <row r="334" spans="5:7" x14ac:dyDescent="0.25">
      <c r="E334"/>
      <c r="F334"/>
      <c r="G334"/>
    </row>
    <row r="335" spans="5:7" x14ac:dyDescent="0.25">
      <c r="E335"/>
      <c r="F335"/>
      <c r="G335"/>
    </row>
    <row r="336" spans="5:7" x14ac:dyDescent="0.25">
      <c r="E336"/>
      <c r="F336"/>
      <c r="G336"/>
    </row>
    <row r="337" spans="5:7" x14ac:dyDescent="0.25">
      <c r="E337"/>
      <c r="F337"/>
      <c r="G337"/>
    </row>
    <row r="338" spans="5:7" x14ac:dyDescent="0.25">
      <c r="E338"/>
      <c r="F338"/>
      <c r="G338"/>
    </row>
    <row r="339" spans="5:7" x14ac:dyDescent="0.25">
      <c r="E339"/>
      <c r="F339"/>
      <c r="G339"/>
    </row>
    <row r="340" spans="5:7" x14ac:dyDescent="0.25">
      <c r="E340"/>
      <c r="F340"/>
      <c r="G340"/>
    </row>
    <row r="341" spans="5:7" x14ac:dyDescent="0.25">
      <c r="E341"/>
      <c r="F341"/>
      <c r="G341"/>
    </row>
    <row r="342" spans="5:7" x14ac:dyDescent="0.25">
      <c r="E342"/>
      <c r="F342"/>
      <c r="G342"/>
    </row>
    <row r="343" spans="5:7" x14ac:dyDescent="0.25">
      <c r="E343"/>
      <c r="F343"/>
      <c r="G343"/>
    </row>
    <row r="344" spans="5:7" x14ac:dyDescent="0.25">
      <c r="E344"/>
      <c r="F344"/>
      <c r="G344"/>
    </row>
    <row r="345" spans="5:7" x14ac:dyDescent="0.25">
      <c r="E345"/>
      <c r="F345"/>
      <c r="G345"/>
    </row>
    <row r="346" spans="5:7" x14ac:dyDescent="0.25">
      <c r="E346"/>
      <c r="F346"/>
      <c r="G346"/>
    </row>
    <row r="347" spans="5:7" x14ac:dyDescent="0.25">
      <c r="E347"/>
      <c r="F347"/>
      <c r="G347"/>
    </row>
    <row r="348" spans="5:7" x14ac:dyDescent="0.25">
      <c r="E348"/>
      <c r="F348"/>
      <c r="G348"/>
    </row>
    <row r="349" spans="5:7" x14ac:dyDescent="0.25">
      <c r="E349"/>
      <c r="F349"/>
      <c r="G349"/>
    </row>
    <row r="350" spans="5:7" x14ac:dyDescent="0.25">
      <c r="E350"/>
      <c r="F350"/>
      <c r="G350"/>
    </row>
    <row r="351" spans="5:7" x14ac:dyDescent="0.25">
      <c r="E351"/>
      <c r="F351"/>
      <c r="G351"/>
    </row>
    <row r="352" spans="5:7" x14ac:dyDescent="0.25">
      <c r="E352"/>
      <c r="F352"/>
      <c r="G352"/>
    </row>
    <row r="353" spans="5:7" x14ac:dyDescent="0.25">
      <c r="E353"/>
      <c r="F353"/>
      <c r="G353"/>
    </row>
    <row r="354" spans="5:7" x14ac:dyDescent="0.25">
      <c r="E354"/>
      <c r="F354"/>
      <c r="G354"/>
    </row>
    <row r="355" spans="5:7" x14ac:dyDescent="0.25">
      <c r="E355"/>
      <c r="F355"/>
      <c r="G355"/>
    </row>
    <row r="356" spans="5:7" x14ac:dyDescent="0.25">
      <c r="E356"/>
      <c r="F356"/>
      <c r="G356"/>
    </row>
    <row r="357" spans="5:7" x14ac:dyDescent="0.25">
      <c r="E357"/>
      <c r="F357"/>
      <c r="G357"/>
    </row>
    <row r="358" spans="5:7" x14ac:dyDescent="0.25">
      <c r="E358"/>
      <c r="F358"/>
      <c r="G358"/>
    </row>
    <row r="359" spans="5:7" x14ac:dyDescent="0.25">
      <c r="E359"/>
      <c r="F359"/>
      <c r="G359"/>
    </row>
    <row r="360" spans="5:7" x14ac:dyDescent="0.25">
      <c r="E360"/>
      <c r="F360"/>
      <c r="G360"/>
    </row>
    <row r="361" spans="5:7" x14ac:dyDescent="0.25">
      <c r="E361"/>
      <c r="F361"/>
      <c r="G361"/>
    </row>
    <row r="362" spans="5:7" x14ac:dyDescent="0.25">
      <c r="E362"/>
      <c r="F362"/>
      <c r="G362"/>
    </row>
    <row r="363" spans="5:7" x14ac:dyDescent="0.25">
      <c r="E363"/>
      <c r="F363"/>
      <c r="G363"/>
    </row>
    <row r="364" spans="5:7" x14ac:dyDescent="0.25">
      <c r="E364"/>
      <c r="F364"/>
      <c r="G364"/>
    </row>
    <row r="365" spans="5:7" x14ac:dyDescent="0.25">
      <c r="E365"/>
      <c r="F365"/>
      <c r="G365"/>
    </row>
    <row r="366" spans="5:7" x14ac:dyDescent="0.25">
      <c r="E366"/>
      <c r="F366"/>
      <c r="G366"/>
    </row>
    <row r="367" spans="5:7" x14ac:dyDescent="0.25">
      <c r="E367"/>
      <c r="F367"/>
      <c r="G367"/>
    </row>
    <row r="368" spans="5:7" x14ac:dyDescent="0.25">
      <c r="E368"/>
      <c r="F368"/>
      <c r="G368"/>
    </row>
    <row r="369" spans="5:7" x14ac:dyDescent="0.25">
      <c r="E369"/>
      <c r="F369"/>
      <c r="G369"/>
    </row>
    <row r="370" spans="5:7" x14ac:dyDescent="0.25">
      <c r="E370"/>
      <c r="F370"/>
      <c r="G370"/>
    </row>
    <row r="371" spans="5:7" x14ac:dyDescent="0.25">
      <c r="E371"/>
      <c r="F371"/>
      <c r="G371"/>
    </row>
    <row r="372" spans="5:7" x14ac:dyDescent="0.25">
      <c r="E372"/>
      <c r="F372"/>
      <c r="G372"/>
    </row>
    <row r="373" spans="5:7" x14ac:dyDescent="0.25">
      <c r="E373"/>
      <c r="F373" s="52"/>
      <c r="G373"/>
    </row>
    <row r="374" spans="5:7" x14ac:dyDescent="0.25">
      <c r="E374"/>
      <c r="F374" s="52"/>
      <c r="G374"/>
    </row>
    <row r="375" spans="5:7" x14ac:dyDescent="0.25">
      <c r="E375"/>
      <c r="F375" s="52"/>
      <c r="G375"/>
    </row>
    <row r="376" spans="5:7" x14ac:dyDescent="0.25">
      <c r="E376"/>
      <c r="F376" s="52"/>
      <c r="G376"/>
    </row>
    <row r="377" spans="5:7" x14ac:dyDescent="0.25">
      <c r="E377"/>
      <c r="F377" s="52"/>
      <c r="G377"/>
    </row>
    <row r="378" spans="5:7" x14ac:dyDescent="0.25">
      <c r="E378"/>
      <c r="F378" s="52"/>
      <c r="G378"/>
    </row>
    <row r="379" spans="5:7" x14ac:dyDescent="0.25">
      <c r="E379"/>
      <c r="F379" s="52"/>
      <c r="G379"/>
    </row>
    <row r="380" spans="5:7" x14ac:dyDescent="0.25">
      <c r="E380"/>
      <c r="F380" s="52"/>
      <c r="G380"/>
    </row>
    <row r="381" spans="5:7" x14ac:dyDescent="0.25">
      <c r="E381"/>
      <c r="F381" s="52"/>
      <c r="G381"/>
    </row>
    <row r="382" spans="5:7" x14ac:dyDescent="0.25">
      <c r="E382"/>
      <c r="F382" s="52"/>
      <c r="G382"/>
    </row>
    <row r="383" spans="5:7" x14ac:dyDescent="0.25">
      <c r="E383"/>
      <c r="F383" s="52"/>
      <c r="G383"/>
    </row>
    <row r="384" spans="5:7" x14ac:dyDescent="0.25">
      <c r="E384"/>
      <c r="F384" s="52"/>
      <c r="G384"/>
    </row>
    <row r="385" spans="5:7" x14ac:dyDescent="0.25">
      <c r="E385"/>
      <c r="F385" s="52"/>
      <c r="G385"/>
    </row>
    <row r="386" spans="5:7" x14ac:dyDescent="0.25">
      <c r="E386"/>
      <c r="F386" s="52"/>
      <c r="G386"/>
    </row>
    <row r="387" spans="5:7" x14ac:dyDescent="0.25">
      <c r="E387"/>
      <c r="F387" s="52"/>
      <c r="G387"/>
    </row>
    <row r="388" spans="5:7" x14ac:dyDescent="0.25">
      <c r="E388"/>
      <c r="F388" s="52"/>
      <c r="G388"/>
    </row>
    <row r="389" spans="5:7" x14ac:dyDescent="0.25">
      <c r="E389"/>
      <c r="F389" s="52"/>
      <c r="G389"/>
    </row>
    <row r="390" spans="5:7" x14ac:dyDescent="0.25">
      <c r="E390"/>
      <c r="F390" s="52"/>
      <c r="G390"/>
    </row>
    <row r="391" spans="5:7" x14ac:dyDescent="0.25">
      <c r="E391"/>
      <c r="F391" s="52"/>
      <c r="G391"/>
    </row>
    <row r="392" spans="5:7" x14ac:dyDescent="0.25">
      <c r="E392"/>
      <c r="F392" s="52"/>
      <c r="G392"/>
    </row>
    <row r="393" spans="5:7" x14ac:dyDescent="0.25">
      <c r="E393"/>
      <c r="F393" s="52"/>
      <c r="G393"/>
    </row>
    <row r="394" spans="5:7" x14ac:dyDescent="0.25">
      <c r="E394"/>
      <c r="F394" s="52"/>
      <c r="G394"/>
    </row>
    <row r="395" spans="5:7" x14ac:dyDescent="0.25">
      <c r="E395"/>
      <c r="F395" s="52"/>
      <c r="G395"/>
    </row>
    <row r="396" spans="5:7" x14ac:dyDescent="0.25">
      <c r="E396"/>
      <c r="F396" s="52"/>
      <c r="G396"/>
    </row>
    <row r="397" spans="5:7" x14ac:dyDescent="0.25">
      <c r="E397"/>
      <c r="F397" s="52"/>
      <c r="G397"/>
    </row>
    <row r="398" spans="5:7" x14ac:dyDescent="0.25">
      <c r="E398"/>
      <c r="F398" s="52"/>
      <c r="G398"/>
    </row>
    <row r="399" spans="5:7" x14ac:dyDescent="0.25">
      <c r="E399"/>
      <c r="F399" s="52"/>
      <c r="G399"/>
    </row>
    <row r="400" spans="5:7" x14ac:dyDescent="0.25">
      <c r="E400"/>
      <c r="F400" s="52"/>
      <c r="G400"/>
    </row>
    <row r="401" spans="5:7" x14ac:dyDescent="0.25">
      <c r="E401"/>
      <c r="F401" s="52"/>
      <c r="G401"/>
    </row>
    <row r="402" spans="5:7" x14ac:dyDescent="0.25">
      <c r="E402"/>
      <c r="F402" s="52"/>
      <c r="G402"/>
    </row>
    <row r="403" spans="5:7" x14ac:dyDescent="0.25">
      <c r="E403"/>
      <c r="F403" s="52"/>
      <c r="G403" s="1"/>
    </row>
    <row r="404" spans="5:7" x14ac:dyDescent="0.25">
      <c r="E404"/>
      <c r="F404" s="52"/>
      <c r="G404" s="1"/>
    </row>
    <row r="405" spans="5:7" x14ac:dyDescent="0.25">
      <c r="E405"/>
      <c r="F405" s="52"/>
      <c r="G405" s="1"/>
    </row>
    <row r="406" spans="5:7" x14ac:dyDescent="0.25">
      <c r="E406"/>
      <c r="F406" s="52"/>
      <c r="G406" s="1"/>
    </row>
    <row r="407" spans="5:7" x14ac:dyDescent="0.25">
      <c r="E407"/>
      <c r="F407" s="52"/>
      <c r="G407" s="1"/>
    </row>
    <row r="408" spans="5:7" x14ac:dyDescent="0.25">
      <c r="E408"/>
      <c r="F408" s="52"/>
      <c r="G408" s="1"/>
    </row>
    <row r="409" spans="5:7" x14ac:dyDescent="0.25">
      <c r="E409"/>
      <c r="F409" s="52"/>
      <c r="G409" s="1"/>
    </row>
    <row r="410" spans="5:7" x14ac:dyDescent="0.25">
      <c r="E410"/>
      <c r="F410" s="52"/>
      <c r="G410" s="1"/>
    </row>
    <row r="411" spans="5:7" x14ac:dyDescent="0.25">
      <c r="E411"/>
      <c r="F411" s="52"/>
      <c r="G411" s="1"/>
    </row>
    <row r="412" spans="5:7" x14ac:dyDescent="0.25">
      <c r="E412"/>
      <c r="F412" s="52"/>
      <c r="G412" s="1"/>
    </row>
    <row r="413" spans="5:7" x14ac:dyDescent="0.25">
      <c r="E413"/>
      <c r="F413" s="52"/>
      <c r="G413" s="1"/>
    </row>
    <row r="414" spans="5:7" x14ac:dyDescent="0.25">
      <c r="E414"/>
      <c r="F414" s="52"/>
      <c r="G414" s="1"/>
    </row>
    <row r="415" spans="5:7" x14ac:dyDescent="0.25">
      <c r="E415"/>
      <c r="F415" s="52"/>
      <c r="G415" s="1"/>
    </row>
    <row r="416" spans="5:7" x14ac:dyDescent="0.25">
      <c r="E416"/>
      <c r="F416" s="52"/>
      <c r="G416" s="1"/>
    </row>
    <row r="417" spans="5:7" x14ac:dyDescent="0.25">
      <c r="E417"/>
      <c r="F417" s="52"/>
      <c r="G417" s="1"/>
    </row>
    <row r="418" spans="5:7" x14ac:dyDescent="0.25">
      <c r="E418"/>
      <c r="F418" s="52"/>
      <c r="G418" s="1"/>
    </row>
    <row r="419" spans="5:7" x14ac:dyDescent="0.25">
      <c r="E419"/>
      <c r="F419" s="52"/>
      <c r="G419" s="1"/>
    </row>
    <row r="420" spans="5:7" x14ac:dyDescent="0.25">
      <c r="E420"/>
      <c r="F420" s="52"/>
      <c r="G420" s="1"/>
    </row>
    <row r="421" spans="5:7" x14ac:dyDescent="0.25">
      <c r="E421"/>
      <c r="F421" s="52"/>
      <c r="G421" s="1"/>
    </row>
    <row r="422" spans="5:7" x14ac:dyDescent="0.25">
      <c r="E422"/>
      <c r="F422" s="52"/>
      <c r="G422" s="1"/>
    </row>
    <row r="423" spans="5:7" x14ac:dyDescent="0.25">
      <c r="E423"/>
      <c r="F423" s="52"/>
      <c r="G423" s="1"/>
    </row>
    <row r="424" spans="5:7" x14ac:dyDescent="0.25">
      <c r="E424"/>
      <c r="F424" s="52"/>
      <c r="G424" s="1"/>
    </row>
    <row r="425" spans="5:7" x14ac:dyDescent="0.25">
      <c r="E425"/>
      <c r="F425" s="52"/>
      <c r="G425" s="1"/>
    </row>
    <row r="426" spans="5:7" x14ac:dyDescent="0.25">
      <c r="E426"/>
      <c r="F426" s="52"/>
      <c r="G426" s="1"/>
    </row>
    <row r="427" spans="5:7" x14ac:dyDescent="0.25">
      <c r="E427"/>
      <c r="F427" s="52"/>
      <c r="G427" s="1"/>
    </row>
    <row r="428" spans="5:7" x14ac:dyDescent="0.25">
      <c r="E428"/>
      <c r="F428" s="52"/>
      <c r="G428" s="1"/>
    </row>
    <row r="429" spans="5:7" x14ac:dyDescent="0.25">
      <c r="E429"/>
      <c r="F429" s="52"/>
      <c r="G429" s="1"/>
    </row>
    <row r="430" spans="5:7" x14ac:dyDescent="0.25">
      <c r="E430"/>
      <c r="F430" s="52"/>
      <c r="G430" s="1"/>
    </row>
    <row r="431" spans="5:7" x14ac:dyDescent="0.25">
      <c r="E431"/>
      <c r="F431" s="52"/>
      <c r="G431" s="1"/>
    </row>
    <row r="432" spans="5:7" x14ac:dyDescent="0.25">
      <c r="E432"/>
      <c r="F432" s="52"/>
      <c r="G432" s="1"/>
    </row>
    <row r="433" spans="5:7" x14ac:dyDescent="0.25">
      <c r="E433"/>
      <c r="F433" s="52"/>
      <c r="G433" s="1"/>
    </row>
    <row r="434" spans="5:7" x14ac:dyDescent="0.25">
      <c r="E434"/>
      <c r="F434" s="52"/>
      <c r="G434" s="1"/>
    </row>
    <row r="435" spans="5:7" x14ac:dyDescent="0.25">
      <c r="E435"/>
      <c r="F435" s="52"/>
      <c r="G435" s="1"/>
    </row>
    <row r="436" spans="5:7" x14ac:dyDescent="0.25">
      <c r="E436"/>
      <c r="F436" s="52"/>
      <c r="G436" s="1"/>
    </row>
    <row r="437" spans="5:7" x14ac:dyDescent="0.25">
      <c r="E437"/>
      <c r="F437" s="52"/>
      <c r="G437" s="1"/>
    </row>
    <row r="438" spans="5:7" x14ac:dyDescent="0.25">
      <c r="E438"/>
      <c r="F438" s="52"/>
      <c r="G438" s="1"/>
    </row>
    <row r="439" spans="5:7" x14ac:dyDescent="0.25">
      <c r="E439"/>
      <c r="F439" s="52"/>
      <c r="G439" s="1"/>
    </row>
    <row r="440" spans="5:7" x14ac:dyDescent="0.25">
      <c r="E440"/>
      <c r="F440" s="52"/>
      <c r="G440" s="1"/>
    </row>
    <row r="441" spans="5:7" x14ac:dyDescent="0.25">
      <c r="E441"/>
      <c r="F441" s="52"/>
      <c r="G441" s="1"/>
    </row>
    <row r="442" spans="5:7" x14ac:dyDescent="0.25">
      <c r="E442"/>
      <c r="F442" s="52"/>
      <c r="G442" s="1"/>
    </row>
    <row r="443" spans="5:7" x14ac:dyDescent="0.25">
      <c r="E443"/>
      <c r="F443" s="52"/>
      <c r="G443" s="1"/>
    </row>
    <row r="444" spans="5:7" x14ac:dyDescent="0.25">
      <c r="E444"/>
      <c r="F444" s="52"/>
      <c r="G444" s="1"/>
    </row>
    <row r="445" spans="5:7" x14ac:dyDescent="0.25">
      <c r="E445"/>
      <c r="F445" s="52"/>
      <c r="G445" s="1"/>
    </row>
    <row r="446" spans="5:7" x14ac:dyDescent="0.25">
      <c r="E446"/>
      <c r="F446" s="52"/>
      <c r="G446" s="1"/>
    </row>
    <row r="447" spans="5:7" x14ac:dyDescent="0.25">
      <c r="E447"/>
      <c r="F447" s="52"/>
      <c r="G447" s="1"/>
    </row>
    <row r="448" spans="5:7" x14ac:dyDescent="0.25">
      <c r="E448"/>
      <c r="F448" s="52"/>
      <c r="G448" s="1"/>
    </row>
    <row r="449" spans="5:7" x14ac:dyDescent="0.25">
      <c r="E449"/>
      <c r="F449" s="52"/>
      <c r="G449" s="1"/>
    </row>
    <row r="450" spans="5:7" x14ac:dyDescent="0.25">
      <c r="E450"/>
      <c r="F450" s="52"/>
      <c r="G450" s="1"/>
    </row>
    <row r="451" spans="5:7" x14ac:dyDescent="0.25">
      <c r="E451"/>
      <c r="F451" s="52"/>
      <c r="G451" s="1"/>
    </row>
    <row r="452" spans="5:7" x14ac:dyDescent="0.25">
      <c r="E452"/>
      <c r="F452" s="52"/>
      <c r="G452" s="1"/>
    </row>
    <row r="453" spans="5:7" x14ac:dyDescent="0.25">
      <c r="E453"/>
      <c r="F453" s="52"/>
      <c r="G453" s="1"/>
    </row>
    <row r="454" spans="5:7" x14ac:dyDescent="0.25">
      <c r="E454"/>
      <c r="F454" s="52"/>
      <c r="G454" s="1"/>
    </row>
    <row r="455" spans="5:7" x14ac:dyDescent="0.25">
      <c r="E455"/>
      <c r="F455" s="52"/>
      <c r="G455" s="1"/>
    </row>
    <row r="456" spans="5:7" x14ac:dyDescent="0.25">
      <c r="E456"/>
      <c r="F456" s="52"/>
      <c r="G456" s="1"/>
    </row>
    <row r="457" spans="5:7" x14ac:dyDescent="0.25">
      <c r="E457"/>
      <c r="F457" s="52"/>
      <c r="G457" s="1"/>
    </row>
    <row r="458" spans="5:7" x14ac:dyDescent="0.25">
      <c r="E458"/>
      <c r="F458" s="52"/>
      <c r="G458" s="1"/>
    </row>
    <row r="459" spans="5:7" x14ac:dyDescent="0.25">
      <c r="E459"/>
      <c r="F459" s="52"/>
      <c r="G459" s="1"/>
    </row>
    <row r="460" spans="5:7" x14ac:dyDescent="0.25">
      <c r="E460"/>
      <c r="F460" s="52"/>
      <c r="G460" s="1"/>
    </row>
    <row r="461" spans="5:7" x14ac:dyDescent="0.25">
      <c r="E461"/>
      <c r="F461" s="52"/>
      <c r="G461" s="1"/>
    </row>
    <row r="462" spans="5:7" x14ac:dyDescent="0.25">
      <c r="E462"/>
      <c r="F462" s="52"/>
      <c r="G462" s="1"/>
    </row>
    <row r="463" spans="5:7" x14ac:dyDescent="0.25">
      <c r="E463"/>
      <c r="F463" s="52"/>
      <c r="G463" s="1"/>
    </row>
    <row r="464" spans="5:7" x14ac:dyDescent="0.25">
      <c r="E464"/>
      <c r="F464" s="52"/>
      <c r="G464" s="1"/>
    </row>
    <row r="465" spans="5:7" x14ac:dyDescent="0.25">
      <c r="E465"/>
      <c r="F465" s="52"/>
      <c r="G465" s="1"/>
    </row>
    <row r="466" spans="5:7" x14ac:dyDescent="0.25">
      <c r="E466"/>
      <c r="F466" s="52"/>
      <c r="G466" s="1"/>
    </row>
    <row r="467" spans="5:7" x14ac:dyDescent="0.25">
      <c r="E467"/>
      <c r="F467" s="52"/>
      <c r="G467" s="1"/>
    </row>
    <row r="468" spans="5:7" x14ac:dyDescent="0.25">
      <c r="E468"/>
      <c r="F468" s="52"/>
      <c r="G468" s="1"/>
    </row>
    <row r="469" spans="5:7" x14ac:dyDescent="0.25">
      <c r="E469"/>
      <c r="F469" s="52"/>
      <c r="G469" s="1"/>
    </row>
    <row r="470" spans="5:7" x14ac:dyDescent="0.25">
      <c r="E470"/>
      <c r="F470" s="52"/>
      <c r="G470" s="1"/>
    </row>
    <row r="471" spans="5:7" x14ac:dyDescent="0.25">
      <c r="E471"/>
      <c r="F471" s="52"/>
      <c r="G471" s="1"/>
    </row>
    <row r="472" spans="5:7" x14ac:dyDescent="0.25">
      <c r="E472"/>
      <c r="F472" s="52"/>
      <c r="G472" s="1"/>
    </row>
    <row r="473" spans="5:7" x14ac:dyDescent="0.25">
      <c r="E473"/>
      <c r="F473" s="52"/>
      <c r="G473" s="1"/>
    </row>
    <row r="474" spans="5:7" x14ac:dyDescent="0.25">
      <c r="E474"/>
      <c r="F474" s="52"/>
      <c r="G474" s="1"/>
    </row>
    <row r="475" spans="5:7" x14ac:dyDescent="0.25">
      <c r="E475"/>
      <c r="F475" s="52"/>
      <c r="G475" s="1"/>
    </row>
    <row r="476" spans="5:7" x14ac:dyDescent="0.25">
      <c r="E476"/>
      <c r="F476" s="52"/>
      <c r="G476" s="1"/>
    </row>
    <row r="477" spans="5:7" x14ac:dyDescent="0.25">
      <c r="E477"/>
      <c r="F477" s="52"/>
      <c r="G477" s="1"/>
    </row>
    <row r="478" spans="5:7" x14ac:dyDescent="0.25">
      <c r="E478"/>
      <c r="F478" s="52"/>
      <c r="G478" s="1"/>
    </row>
    <row r="479" spans="5:7" x14ac:dyDescent="0.25">
      <c r="E479"/>
      <c r="F479" s="52"/>
      <c r="G479" s="1"/>
    </row>
    <row r="480" spans="5:7" x14ac:dyDescent="0.25">
      <c r="E480"/>
      <c r="F480" s="52"/>
      <c r="G480" s="1"/>
    </row>
    <row r="481" spans="5:7" x14ac:dyDescent="0.25">
      <c r="E481"/>
      <c r="F481" s="52"/>
      <c r="G481" s="1"/>
    </row>
    <row r="482" spans="5:7" x14ac:dyDescent="0.25">
      <c r="E482"/>
      <c r="F482" s="52"/>
      <c r="G482" s="1"/>
    </row>
    <row r="483" spans="5:7" x14ac:dyDescent="0.25">
      <c r="E483"/>
      <c r="F483" s="52"/>
      <c r="G483" s="1"/>
    </row>
    <row r="484" spans="5:7" x14ac:dyDescent="0.25">
      <c r="E484"/>
      <c r="F484" s="52"/>
      <c r="G484" s="1"/>
    </row>
    <row r="485" spans="5:7" x14ac:dyDescent="0.25">
      <c r="E485"/>
      <c r="F485" s="52"/>
      <c r="G485" s="1"/>
    </row>
    <row r="486" spans="5:7" x14ac:dyDescent="0.25">
      <c r="E486"/>
      <c r="F486" s="52"/>
      <c r="G486" s="1"/>
    </row>
    <row r="487" spans="5:7" x14ac:dyDescent="0.25">
      <c r="E487"/>
      <c r="F487" s="52"/>
      <c r="G487" s="1"/>
    </row>
    <row r="488" spans="5:7" x14ac:dyDescent="0.25">
      <c r="E488"/>
      <c r="F488" s="52"/>
      <c r="G488" s="1"/>
    </row>
    <row r="489" spans="5:7" x14ac:dyDescent="0.25">
      <c r="E489"/>
      <c r="F489" s="52"/>
      <c r="G489" s="1"/>
    </row>
    <row r="490" spans="5:7" x14ac:dyDescent="0.25">
      <c r="E490"/>
      <c r="F490" s="52"/>
      <c r="G490" s="1"/>
    </row>
    <row r="491" spans="5:7" x14ac:dyDescent="0.25">
      <c r="E491"/>
      <c r="F491" s="52"/>
      <c r="G491" s="1"/>
    </row>
    <row r="492" spans="5:7" x14ac:dyDescent="0.25">
      <c r="E492"/>
      <c r="F492" s="52"/>
      <c r="G492" s="1"/>
    </row>
    <row r="493" spans="5:7" x14ac:dyDescent="0.25">
      <c r="E493"/>
      <c r="F493" s="52"/>
      <c r="G493" s="1"/>
    </row>
    <row r="494" spans="5:7" x14ac:dyDescent="0.25">
      <c r="E494"/>
      <c r="F494" s="52"/>
      <c r="G494" s="1"/>
    </row>
    <row r="495" spans="5:7" x14ac:dyDescent="0.25">
      <c r="E495"/>
      <c r="F495" s="52"/>
      <c r="G495" s="1"/>
    </row>
    <row r="496" spans="5:7" x14ac:dyDescent="0.25">
      <c r="E496"/>
      <c r="F496" s="52"/>
      <c r="G496" s="1"/>
    </row>
    <row r="497" spans="5:7" x14ac:dyDescent="0.25">
      <c r="E497"/>
      <c r="F497" s="52"/>
      <c r="G497" s="1"/>
    </row>
    <row r="498" spans="5:7" x14ac:dyDescent="0.25">
      <c r="E498"/>
      <c r="F498" s="52"/>
      <c r="G498" s="1"/>
    </row>
    <row r="499" spans="5:7" x14ac:dyDescent="0.25">
      <c r="E499"/>
      <c r="F499" s="52"/>
      <c r="G499" s="1"/>
    </row>
    <row r="500" spans="5:7" x14ac:dyDescent="0.25">
      <c r="E500"/>
      <c r="F500" s="52"/>
      <c r="G500" s="1"/>
    </row>
    <row r="501" spans="5:7" x14ac:dyDescent="0.25">
      <c r="E501"/>
      <c r="F501" s="52"/>
      <c r="G501" s="1"/>
    </row>
    <row r="502" spans="5:7" x14ac:dyDescent="0.25">
      <c r="E502"/>
      <c r="F502" s="52"/>
      <c r="G502" s="1"/>
    </row>
    <row r="503" spans="5:7" x14ac:dyDescent="0.25">
      <c r="E503"/>
      <c r="F503" s="52"/>
      <c r="G503" s="1"/>
    </row>
    <row r="504" spans="5:7" x14ac:dyDescent="0.25">
      <c r="E504"/>
      <c r="F504" s="52"/>
      <c r="G504" s="1"/>
    </row>
    <row r="505" spans="5:7" x14ac:dyDescent="0.25">
      <c r="E505"/>
      <c r="F505" s="52"/>
      <c r="G505" s="1"/>
    </row>
    <row r="506" spans="5:7" x14ac:dyDescent="0.25">
      <c r="E506"/>
      <c r="F506" s="52"/>
      <c r="G506" s="1"/>
    </row>
    <row r="507" spans="5:7" x14ac:dyDescent="0.25">
      <c r="E507"/>
      <c r="F507" s="52"/>
      <c r="G507" s="1"/>
    </row>
    <row r="508" spans="5:7" x14ac:dyDescent="0.25">
      <c r="E508"/>
      <c r="F508" s="52"/>
      <c r="G508" s="1"/>
    </row>
    <row r="509" spans="5:7" x14ac:dyDescent="0.25">
      <c r="E509"/>
      <c r="F509" s="52"/>
      <c r="G509" s="1"/>
    </row>
    <row r="510" spans="5:7" x14ac:dyDescent="0.25">
      <c r="E510"/>
      <c r="F510" s="52"/>
      <c r="G510" s="1"/>
    </row>
    <row r="511" spans="5:7" x14ac:dyDescent="0.25">
      <c r="E511"/>
      <c r="F511" s="52"/>
      <c r="G511" s="1"/>
    </row>
    <row r="512" spans="5:7" x14ac:dyDescent="0.25">
      <c r="E512"/>
      <c r="F512" s="52"/>
      <c r="G512" s="1"/>
    </row>
    <row r="513" spans="5:7" x14ac:dyDescent="0.25">
      <c r="E513"/>
      <c r="F513" s="52"/>
      <c r="G513" s="1"/>
    </row>
    <row r="514" spans="5:7" x14ac:dyDescent="0.25">
      <c r="E514"/>
      <c r="F514" s="52"/>
      <c r="G514" s="1"/>
    </row>
    <row r="515" spans="5:7" x14ac:dyDescent="0.25">
      <c r="E515"/>
      <c r="F515" s="52"/>
      <c r="G515" s="1"/>
    </row>
    <row r="516" spans="5:7" x14ac:dyDescent="0.25">
      <c r="E516"/>
      <c r="F516" s="52"/>
      <c r="G516" s="1"/>
    </row>
    <row r="517" spans="5:7" x14ac:dyDescent="0.25">
      <c r="E517"/>
      <c r="F517" s="52"/>
      <c r="G517" s="1"/>
    </row>
    <row r="518" spans="5:7" x14ac:dyDescent="0.25">
      <c r="E518"/>
      <c r="F518" s="52"/>
      <c r="G518" s="1"/>
    </row>
    <row r="519" spans="5:7" x14ac:dyDescent="0.25">
      <c r="E519"/>
      <c r="F519" s="52"/>
      <c r="G519" s="1"/>
    </row>
    <row r="520" spans="5:7" x14ac:dyDescent="0.25">
      <c r="E520"/>
      <c r="F520" s="52"/>
      <c r="G520" s="1"/>
    </row>
    <row r="521" spans="5:7" x14ac:dyDescent="0.25">
      <c r="E521"/>
      <c r="F521" s="52"/>
      <c r="G521" s="1"/>
    </row>
    <row r="522" spans="5:7" x14ac:dyDescent="0.25">
      <c r="E522"/>
      <c r="F522" s="52"/>
      <c r="G522" s="1"/>
    </row>
    <row r="523" spans="5:7" x14ac:dyDescent="0.25">
      <c r="E523"/>
      <c r="F523" s="52"/>
      <c r="G523" s="1"/>
    </row>
    <row r="524" spans="5:7" x14ac:dyDescent="0.25">
      <c r="E524"/>
      <c r="F524" s="52"/>
      <c r="G524" s="1"/>
    </row>
    <row r="525" spans="5:7" x14ac:dyDescent="0.25">
      <c r="E525"/>
      <c r="F525" s="52"/>
      <c r="G525" s="1"/>
    </row>
    <row r="526" spans="5:7" x14ac:dyDescent="0.25">
      <c r="E526"/>
      <c r="F526" s="52"/>
      <c r="G526" s="1"/>
    </row>
    <row r="527" spans="5:7" x14ac:dyDescent="0.25">
      <c r="E527"/>
      <c r="F527" s="52"/>
      <c r="G527" s="1"/>
    </row>
    <row r="528" spans="5:7" x14ac:dyDescent="0.25">
      <c r="E528"/>
      <c r="F528" s="52"/>
      <c r="G528" s="1"/>
    </row>
    <row r="529" spans="5:7" x14ac:dyDescent="0.25">
      <c r="E529"/>
      <c r="F529" s="52"/>
      <c r="G529" s="1"/>
    </row>
    <row r="530" spans="5:7" x14ac:dyDescent="0.25">
      <c r="E530"/>
      <c r="F530" s="52"/>
      <c r="G530" s="1"/>
    </row>
    <row r="531" spans="5:7" x14ac:dyDescent="0.25">
      <c r="E531"/>
      <c r="F531" s="52"/>
      <c r="G531" s="1"/>
    </row>
    <row r="532" spans="5:7" x14ac:dyDescent="0.25">
      <c r="E532"/>
      <c r="F532" s="52"/>
      <c r="G532" s="1"/>
    </row>
    <row r="533" spans="5:7" x14ac:dyDescent="0.25">
      <c r="E533"/>
      <c r="F533" s="52"/>
      <c r="G533" s="1"/>
    </row>
    <row r="534" spans="5:7" x14ac:dyDescent="0.25">
      <c r="E534"/>
      <c r="F534" s="52"/>
      <c r="G534" s="1"/>
    </row>
    <row r="535" spans="5:7" x14ac:dyDescent="0.25">
      <c r="E535"/>
      <c r="F535" s="52"/>
      <c r="G535" s="1"/>
    </row>
    <row r="536" spans="5:7" x14ac:dyDescent="0.25">
      <c r="E536"/>
      <c r="F536" s="52"/>
      <c r="G536" s="1"/>
    </row>
    <row r="537" spans="5:7" x14ac:dyDescent="0.25">
      <c r="E537"/>
      <c r="F537" s="52"/>
      <c r="G537" s="1"/>
    </row>
    <row r="538" spans="5:7" x14ac:dyDescent="0.25">
      <c r="E538"/>
      <c r="F538" s="52"/>
      <c r="G538" s="1"/>
    </row>
    <row r="539" spans="5:7" x14ac:dyDescent="0.25">
      <c r="E539"/>
      <c r="F539" s="52"/>
      <c r="G539" s="1"/>
    </row>
    <row r="540" spans="5:7" x14ac:dyDescent="0.25">
      <c r="E540"/>
      <c r="F540" s="52"/>
      <c r="G540" s="1"/>
    </row>
    <row r="541" spans="5:7" x14ac:dyDescent="0.25">
      <c r="E541"/>
      <c r="F541" s="52"/>
      <c r="G541" s="1"/>
    </row>
    <row r="542" spans="5:7" x14ac:dyDescent="0.25">
      <c r="E542"/>
      <c r="F542" s="52"/>
      <c r="G542" s="1"/>
    </row>
    <row r="543" spans="5:7" x14ac:dyDescent="0.25">
      <c r="E543"/>
      <c r="F543" s="52"/>
      <c r="G543" s="1"/>
    </row>
    <row r="544" spans="5:7" x14ac:dyDescent="0.25">
      <c r="E544"/>
      <c r="F544" s="52"/>
      <c r="G544" s="1"/>
    </row>
    <row r="545" spans="5:7" x14ac:dyDescent="0.25">
      <c r="E545"/>
      <c r="F545" s="52"/>
      <c r="G545" s="1"/>
    </row>
    <row r="546" spans="5:7" x14ac:dyDescent="0.25">
      <c r="E546"/>
      <c r="F546" s="52"/>
      <c r="G546" s="1"/>
    </row>
    <row r="547" spans="5:7" x14ac:dyDescent="0.25">
      <c r="E547"/>
      <c r="F547" s="52"/>
      <c r="G547" s="1"/>
    </row>
    <row r="548" spans="5:7" x14ac:dyDescent="0.25">
      <c r="E548"/>
      <c r="F548" s="52"/>
      <c r="G548" s="1"/>
    </row>
    <row r="549" spans="5:7" x14ac:dyDescent="0.25">
      <c r="E549"/>
      <c r="F549" s="52"/>
      <c r="G549" s="1"/>
    </row>
    <row r="550" spans="5:7" x14ac:dyDescent="0.25">
      <c r="E550"/>
      <c r="F550" s="52"/>
      <c r="G550" s="1"/>
    </row>
    <row r="551" spans="5:7" x14ac:dyDescent="0.25">
      <c r="E551"/>
      <c r="F551" s="52"/>
      <c r="G551" s="1"/>
    </row>
    <row r="552" spans="5:7" x14ac:dyDescent="0.25">
      <c r="E552"/>
      <c r="F552" s="52"/>
      <c r="G552" s="1"/>
    </row>
    <row r="553" spans="5:7" x14ac:dyDescent="0.25">
      <c r="E553"/>
      <c r="F553" s="52"/>
      <c r="G553" s="1"/>
    </row>
    <row r="554" spans="5:7" x14ac:dyDescent="0.25">
      <c r="E554"/>
      <c r="F554" s="52"/>
      <c r="G554" s="1"/>
    </row>
    <row r="555" spans="5:7" x14ac:dyDescent="0.25">
      <c r="E555"/>
      <c r="F555" s="52"/>
      <c r="G555" s="1"/>
    </row>
    <row r="556" spans="5:7" x14ac:dyDescent="0.25">
      <c r="E556"/>
      <c r="F556" s="52"/>
      <c r="G556" s="1"/>
    </row>
    <row r="557" spans="5:7" x14ac:dyDescent="0.25">
      <c r="E557"/>
      <c r="F557" s="52"/>
      <c r="G557" s="1"/>
    </row>
    <row r="558" spans="5:7" x14ac:dyDescent="0.25">
      <c r="E558"/>
      <c r="F558" s="52"/>
      <c r="G558" s="1"/>
    </row>
    <row r="559" spans="5:7" x14ac:dyDescent="0.25">
      <c r="E559"/>
      <c r="F559" s="52"/>
      <c r="G559" s="1"/>
    </row>
    <row r="560" spans="5:7" x14ac:dyDescent="0.25">
      <c r="E560"/>
      <c r="F560" s="52"/>
      <c r="G560" s="1"/>
    </row>
    <row r="561" spans="5:7" x14ac:dyDescent="0.25">
      <c r="E561"/>
      <c r="F561" s="52"/>
      <c r="G561" s="1"/>
    </row>
    <row r="562" spans="5:7" x14ac:dyDescent="0.25">
      <c r="E562"/>
      <c r="F562" s="52"/>
      <c r="G562" s="1"/>
    </row>
    <row r="563" spans="5:7" x14ac:dyDescent="0.25">
      <c r="E563"/>
      <c r="F563" s="52"/>
      <c r="G563" s="1"/>
    </row>
    <row r="564" spans="5:7" x14ac:dyDescent="0.25">
      <c r="E564"/>
      <c r="F564" s="52"/>
      <c r="G564" s="1"/>
    </row>
    <row r="565" spans="5:7" x14ac:dyDescent="0.25">
      <c r="E565"/>
      <c r="F565" s="52"/>
      <c r="G565" s="1"/>
    </row>
    <row r="566" spans="5:7" x14ac:dyDescent="0.25">
      <c r="E566"/>
      <c r="F566" s="52"/>
      <c r="G566" s="1"/>
    </row>
    <row r="567" spans="5:7" x14ac:dyDescent="0.25">
      <c r="E567"/>
      <c r="F567" s="52"/>
      <c r="G567" s="1"/>
    </row>
    <row r="568" spans="5:7" x14ac:dyDescent="0.25">
      <c r="E568"/>
      <c r="F568" s="52"/>
      <c r="G568" s="1"/>
    </row>
    <row r="569" spans="5:7" x14ac:dyDescent="0.25">
      <c r="E569"/>
      <c r="F569" s="52"/>
      <c r="G569" s="1"/>
    </row>
    <row r="570" spans="5:7" x14ac:dyDescent="0.25">
      <c r="E570"/>
      <c r="F570" s="52"/>
      <c r="G570" s="1"/>
    </row>
    <row r="571" spans="5:7" x14ac:dyDescent="0.25">
      <c r="E571"/>
      <c r="F571" s="52"/>
      <c r="G571" s="1"/>
    </row>
    <row r="572" spans="5:7" x14ac:dyDescent="0.25">
      <c r="E572"/>
      <c r="F572" s="52"/>
      <c r="G572" s="1"/>
    </row>
    <row r="573" spans="5:7" x14ac:dyDescent="0.25">
      <c r="E573"/>
      <c r="F573" s="52"/>
      <c r="G573" s="1"/>
    </row>
    <row r="574" spans="5:7" x14ac:dyDescent="0.25">
      <c r="E574"/>
      <c r="F574" s="52"/>
      <c r="G574" s="1"/>
    </row>
    <row r="575" spans="5:7" x14ac:dyDescent="0.25">
      <c r="E575"/>
      <c r="F575" s="52"/>
      <c r="G575" s="1"/>
    </row>
    <row r="576" spans="5:7" x14ac:dyDescent="0.25">
      <c r="E576"/>
      <c r="F576" s="52"/>
      <c r="G576" s="1"/>
    </row>
    <row r="577" spans="5:7" x14ac:dyDescent="0.25">
      <c r="E577"/>
      <c r="F577" s="52"/>
      <c r="G577" s="1"/>
    </row>
    <row r="578" spans="5:7" x14ac:dyDescent="0.25">
      <c r="E578"/>
      <c r="F578" s="52"/>
      <c r="G578" s="1"/>
    </row>
    <row r="579" spans="5:7" x14ac:dyDescent="0.25">
      <c r="E579"/>
      <c r="F579" s="52"/>
      <c r="G579" s="1"/>
    </row>
    <row r="580" spans="5:7" x14ac:dyDescent="0.25">
      <c r="E580"/>
      <c r="F580" s="52"/>
      <c r="G580" s="1"/>
    </row>
    <row r="581" spans="5:7" x14ac:dyDescent="0.25">
      <c r="E581"/>
      <c r="F581" s="52"/>
      <c r="G581" s="1"/>
    </row>
    <row r="582" spans="5:7" x14ac:dyDescent="0.25">
      <c r="E582"/>
      <c r="F582" s="52"/>
      <c r="G582" s="1"/>
    </row>
    <row r="583" spans="5:7" x14ac:dyDescent="0.25">
      <c r="E583"/>
      <c r="F583" s="52"/>
      <c r="G583" s="1"/>
    </row>
    <row r="584" spans="5:7" x14ac:dyDescent="0.25">
      <c r="E584"/>
      <c r="F584" s="52"/>
      <c r="G584" s="1"/>
    </row>
    <row r="585" spans="5:7" x14ac:dyDescent="0.25">
      <c r="E585"/>
      <c r="F585" s="52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30"/>
  <sheetViews>
    <sheetView workbookViewId="0">
      <selection activeCell="H2" sqref="H2"/>
    </sheetView>
  </sheetViews>
  <sheetFormatPr defaultRowHeight="15" x14ac:dyDescent="0.25"/>
  <cols>
    <col min="1" max="1" width="3" customWidth="1"/>
    <col min="2" max="2" width="22.85546875" customWidth="1"/>
    <col min="3" max="3" width="10.7109375" customWidth="1"/>
    <col min="4" max="4" width="4" customWidth="1"/>
    <col min="5" max="5" width="59.5703125" customWidth="1"/>
    <col min="6" max="6" width="14" customWidth="1"/>
    <col min="7" max="7" width="6" customWidth="1"/>
    <col min="8" max="8" width="4" customWidth="1"/>
    <col min="9" max="9" width="8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444</v>
      </c>
      <c r="E1" t="s">
        <v>89</v>
      </c>
      <c r="F1" t="s">
        <v>90</v>
      </c>
      <c r="G1">
        <v>10000</v>
      </c>
      <c r="H1">
        <v>320</v>
      </c>
      <c r="I1" s="83">
        <v>43530</v>
      </c>
      <c r="O1"/>
      <c r="V1" s="32"/>
      <c r="W1" s="32"/>
      <c r="X1" s="32"/>
      <c r="Y1" s="32"/>
    </row>
    <row r="2" spans="1:25" x14ac:dyDescent="0.25">
      <c r="A2">
        <v>1</v>
      </c>
      <c r="B2">
        <v>10000</v>
      </c>
      <c r="C2" t="s">
        <v>91</v>
      </c>
      <c r="O2"/>
    </row>
    <row r="3" spans="1:25" x14ac:dyDescent="0.25">
      <c r="A3">
        <v>2</v>
      </c>
      <c r="B3">
        <v>10020</v>
      </c>
      <c r="C3" t="s">
        <v>92</v>
      </c>
      <c r="O3"/>
    </row>
    <row r="4" spans="1:25" x14ac:dyDescent="0.25">
      <c r="A4">
        <v>3</v>
      </c>
      <c r="B4">
        <v>10000</v>
      </c>
      <c r="C4" t="s">
        <v>93</v>
      </c>
      <c r="O4"/>
    </row>
    <row r="5" spans="1:25" x14ac:dyDescent="0.25">
      <c r="A5">
        <v>4</v>
      </c>
      <c r="B5">
        <v>10000</v>
      </c>
      <c r="C5" t="s">
        <v>94</v>
      </c>
      <c r="O5"/>
    </row>
    <row r="6" spans="1:25" x14ac:dyDescent="0.25">
      <c r="A6">
        <v>5</v>
      </c>
      <c r="B6">
        <v>10020</v>
      </c>
      <c r="C6" t="s">
        <v>95</v>
      </c>
      <c r="O6"/>
    </row>
    <row r="7" spans="1:25" x14ac:dyDescent="0.25">
      <c r="A7">
        <v>6</v>
      </c>
      <c r="B7">
        <v>10000</v>
      </c>
      <c r="C7" t="s">
        <v>96</v>
      </c>
      <c r="O7"/>
    </row>
    <row r="8" spans="1:25" x14ac:dyDescent="0.25">
      <c r="A8">
        <v>7</v>
      </c>
      <c r="B8">
        <v>10000</v>
      </c>
      <c r="C8" t="s">
        <v>97</v>
      </c>
      <c r="O8"/>
    </row>
    <row r="9" spans="1:25" x14ac:dyDescent="0.25">
      <c r="A9">
        <v>8</v>
      </c>
      <c r="B9">
        <v>10020</v>
      </c>
      <c r="C9" t="s">
        <v>98</v>
      </c>
      <c r="O9"/>
    </row>
    <row r="10" spans="1:25" x14ac:dyDescent="0.25">
      <c r="A10">
        <v>9</v>
      </c>
      <c r="B10">
        <v>10000</v>
      </c>
      <c r="C10" t="s">
        <v>99</v>
      </c>
      <c r="O10"/>
    </row>
    <row r="11" spans="1:25" x14ac:dyDescent="0.25">
      <c r="A11">
        <v>10</v>
      </c>
      <c r="B11">
        <v>10000</v>
      </c>
      <c r="C11" t="s">
        <v>100</v>
      </c>
      <c r="O11"/>
    </row>
    <row r="12" spans="1:25" x14ac:dyDescent="0.25">
      <c r="O12"/>
    </row>
    <row r="13" spans="1:25" x14ac:dyDescent="0.25">
      <c r="O13"/>
    </row>
    <row r="14" spans="1:25" x14ac:dyDescent="0.25">
      <c r="O14"/>
    </row>
    <row r="15" spans="1:25" x14ac:dyDescent="0.25">
      <c r="O15"/>
    </row>
    <row r="16" spans="1:25" x14ac:dyDescent="0.25">
      <c r="O16"/>
    </row>
    <row r="17" spans="15:15" x14ac:dyDescent="0.25">
      <c r="O17"/>
    </row>
    <row r="18" spans="15:15" x14ac:dyDescent="0.25">
      <c r="O18"/>
    </row>
    <row r="19" spans="15:15" x14ac:dyDescent="0.25">
      <c r="O19"/>
    </row>
    <row r="20" spans="15:15" x14ac:dyDescent="0.25">
      <c r="O20"/>
    </row>
    <row r="21" spans="15:15" x14ac:dyDescent="0.25">
      <c r="O21"/>
    </row>
    <row r="22" spans="15:15" x14ac:dyDescent="0.25">
      <c r="O22"/>
    </row>
    <row r="23" spans="15:15" x14ac:dyDescent="0.25">
      <c r="O23"/>
    </row>
    <row r="24" spans="15:15" x14ac:dyDescent="0.25">
      <c r="O24"/>
    </row>
    <row r="25" spans="15:15" x14ac:dyDescent="0.25">
      <c r="O25"/>
    </row>
    <row r="26" spans="15:15" x14ac:dyDescent="0.25">
      <c r="O26"/>
    </row>
    <row r="27" spans="15:15" x14ac:dyDescent="0.25">
      <c r="O27"/>
    </row>
    <row r="28" spans="15:15" x14ac:dyDescent="0.25">
      <c r="O28"/>
    </row>
    <row r="29" spans="15:15" x14ac:dyDescent="0.25">
      <c r="O29"/>
    </row>
    <row r="30" spans="15:15" x14ac:dyDescent="0.25">
      <c r="O30"/>
    </row>
    <row r="31" spans="15:15" x14ac:dyDescent="0.25">
      <c r="O31"/>
    </row>
    <row r="32" spans="15:15" x14ac:dyDescent="0.25">
      <c r="O32"/>
    </row>
    <row r="33" spans="15:15" x14ac:dyDescent="0.25">
      <c r="O33"/>
    </row>
    <row r="34" spans="15:15" x14ac:dyDescent="0.25">
      <c r="O34"/>
    </row>
    <row r="35" spans="15:15" x14ac:dyDescent="0.25">
      <c r="O35"/>
    </row>
    <row r="36" spans="15:15" x14ac:dyDescent="0.25">
      <c r="O36"/>
    </row>
    <row r="37" spans="15:15" x14ac:dyDescent="0.25">
      <c r="O37"/>
    </row>
    <row r="38" spans="15:15" x14ac:dyDescent="0.25">
      <c r="O38"/>
    </row>
    <row r="39" spans="15:15" x14ac:dyDescent="0.25">
      <c r="O39"/>
    </row>
    <row r="40" spans="15:15" x14ac:dyDescent="0.25">
      <c r="O40"/>
    </row>
    <row r="41" spans="15:15" x14ac:dyDescent="0.25">
      <c r="O41"/>
    </row>
    <row r="42" spans="15:15" x14ac:dyDescent="0.25">
      <c r="O42"/>
    </row>
    <row r="43" spans="15:15" x14ac:dyDescent="0.25">
      <c r="O43"/>
    </row>
    <row r="44" spans="15:15" x14ac:dyDescent="0.25">
      <c r="O44"/>
    </row>
    <row r="45" spans="15:15" x14ac:dyDescent="0.25">
      <c r="O45"/>
    </row>
    <row r="46" spans="15:15" x14ac:dyDescent="0.25">
      <c r="O46"/>
    </row>
    <row r="47" spans="15:15" x14ac:dyDescent="0.25">
      <c r="O47"/>
    </row>
    <row r="48" spans="15:15" x14ac:dyDescent="0.25">
      <c r="O48"/>
    </row>
    <row r="49" spans="15:15" x14ac:dyDescent="0.25">
      <c r="O49"/>
    </row>
    <row r="50" spans="15:15" x14ac:dyDescent="0.25">
      <c r="O50"/>
    </row>
    <row r="51" spans="15:15" x14ac:dyDescent="0.25">
      <c r="O51"/>
    </row>
    <row r="52" spans="15:15" x14ac:dyDescent="0.25">
      <c r="O52"/>
    </row>
    <row r="53" spans="15:15" x14ac:dyDescent="0.25">
      <c r="O53"/>
    </row>
    <row r="54" spans="15:15" x14ac:dyDescent="0.25">
      <c r="O54"/>
    </row>
    <row r="55" spans="15:15" x14ac:dyDescent="0.25">
      <c r="O55"/>
    </row>
    <row r="56" spans="15:15" x14ac:dyDescent="0.25">
      <c r="O56"/>
    </row>
    <row r="57" spans="15:15" x14ac:dyDescent="0.25">
      <c r="O57"/>
    </row>
    <row r="58" spans="15:15" x14ac:dyDescent="0.25">
      <c r="O58"/>
    </row>
    <row r="59" spans="15:15" x14ac:dyDescent="0.25">
      <c r="O59"/>
    </row>
    <row r="60" spans="15:15" x14ac:dyDescent="0.25">
      <c r="O60"/>
    </row>
    <row r="61" spans="15:15" x14ac:dyDescent="0.25">
      <c r="O61"/>
    </row>
    <row r="62" spans="15:15" x14ac:dyDescent="0.25">
      <c r="O62"/>
    </row>
    <row r="63" spans="15:15" x14ac:dyDescent="0.25">
      <c r="O63"/>
    </row>
    <row r="64" spans="15:15" x14ac:dyDescent="0.25">
      <c r="O64"/>
    </row>
    <row r="65" spans="15:15" x14ac:dyDescent="0.25">
      <c r="O65"/>
    </row>
    <row r="66" spans="15:15" x14ac:dyDescent="0.25">
      <c r="O66"/>
    </row>
    <row r="67" spans="15:15" x14ac:dyDescent="0.25">
      <c r="O67"/>
    </row>
    <row r="68" spans="15:15" x14ac:dyDescent="0.25">
      <c r="O68"/>
    </row>
    <row r="69" spans="15:15" x14ac:dyDescent="0.25">
      <c r="O69"/>
    </row>
    <row r="70" spans="15:15" x14ac:dyDescent="0.25">
      <c r="O70"/>
    </row>
    <row r="71" spans="15:15" x14ac:dyDescent="0.25">
      <c r="O71"/>
    </row>
    <row r="72" spans="15:15" x14ac:dyDescent="0.25">
      <c r="O72"/>
    </row>
    <row r="73" spans="15:15" x14ac:dyDescent="0.25">
      <c r="O73"/>
    </row>
    <row r="74" spans="15:15" x14ac:dyDescent="0.25">
      <c r="O74"/>
    </row>
    <row r="75" spans="15:15" x14ac:dyDescent="0.25">
      <c r="O75"/>
    </row>
    <row r="76" spans="15:15" x14ac:dyDescent="0.25">
      <c r="O76"/>
    </row>
    <row r="77" spans="15:15" x14ac:dyDescent="0.25">
      <c r="O77"/>
    </row>
    <row r="78" spans="15:15" x14ac:dyDescent="0.25">
      <c r="O78"/>
    </row>
    <row r="79" spans="15:15" x14ac:dyDescent="0.25">
      <c r="O79"/>
    </row>
    <row r="80" spans="15:15" x14ac:dyDescent="0.25">
      <c r="O80"/>
    </row>
    <row r="81" spans="15:15" x14ac:dyDescent="0.25">
      <c r="O81"/>
    </row>
    <row r="82" spans="15:15" x14ac:dyDescent="0.25">
      <c r="O82"/>
    </row>
    <row r="83" spans="15:15" x14ac:dyDescent="0.25">
      <c r="O83"/>
    </row>
    <row r="84" spans="15:15" x14ac:dyDescent="0.25">
      <c r="O84"/>
    </row>
    <row r="85" spans="15:15" x14ac:dyDescent="0.25">
      <c r="O85"/>
    </row>
    <row r="86" spans="15:15" x14ac:dyDescent="0.25">
      <c r="O86"/>
    </row>
    <row r="87" spans="15:15" x14ac:dyDescent="0.25">
      <c r="O87"/>
    </row>
    <row r="88" spans="15:15" x14ac:dyDescent="0.25">
      <c r="O88"/>
    </row>
    <row r="89" spans="15:15" x14ac:dyDescent="0.25">
      <c r="O89"/>
    </row>
    <row r="90" spans="15:15" x14ac:dyDescent="0.25">
      <c r="O90"/>
    </row>
    <row r="91" spans="15:15" x14ac:dyDescent="0.25">
      <c r="O91"/>
    </row>
    <row r="92" spans="15:15" x14ac:dyDescent="0.25">
      <c r="O92"/>
    </row>
    <row r="93" spans="15:15" x14ac:dyDescent="0.25">
      <c r="O93"/>
    </row>
    <row r="94" spans="15:15" x14ac:dyDescent="0.25">
      <c r="O94"/>
    </row>
    <row r="95" spans="15:15" x14ac:dyDescent="0.25">
      <c r="O95"/>
    </row>
    <row r="96" spans="15:15" x14ac:dyDescent="0.25">
      <c r="O96"/>
    </row>
    <row r="97" spans="15:15" x14ac:dyDescent="0.25">
      <c r="O97"/>
    </row>
    <row r="98" spans="15:15" x14ac:dyDescent="0.25">
      <c r="O98"/>
    </row>
    <row r="99" spans="15:15" x14ac:dyDescent="0.25">
      <c r="O99"/>
    </row>
    <row r="100" spans="15:15" x14ac:dyDescent="0.25">
      <c r="O100"/>
    </row>
    <row r="101" spans="15:15" x14ac:dyDescent="0.25">
      <c r="O101"/>
    </row>
    <row r="102" spans="15:15" x14ac:dyDescent="0.25">
      <c r="O102"/>
    </row>
    <row r="103" spans="15:15" x14ac:dyDescent="0.25">
      <c r="O103"/>
    </row>
    <row r="104" spans="15:15" x14ac:dyDescent="0.25">
      <c r="O104"/>
    </row>
    <row r="105" spans="15:15" x14ac:dyDescent="0.25">
      <c r="O105"/>
    </row>
    <row r="106" spans="15:15" x14ac:dyDescent="0.25">
      <c r="O106"/>
    </row>
    <row r="107" spans="15:15" x14ac:dyDescent="0.25">
      <c r="O107"/>
    </row>
    <row r="108" spans="15:15" x14ac:dyDescent="0.25">
      <c r="O108"/>
    </row>
    <row r="109" spans="15:15" x14ac:dyDescent="0.25">
      <c r="O109"/>
    </row>
    <row r="110" spans="15:15" x14ac:dyDescent="0.25">
      <c r="O110"/>
    </row>
    <row r="111" spans="15:15" x14ac:dyDescent="0.25">
      <c r="O111"/>
    </row>
    <row r="112" spans="15:15" x14ac:dyDescent="0.25">
      <c r="O112"/>
    </row>
    <row r="113" spans="15:15" x14ac:dyDescent="0.25">
      <c r="O113"/>
    </row>
    <row r="114" spans="15:15" x14ac:dyDescent="0.25">
      <c r="O114"/>
    </row>
    <row r="115" spans="15:15" x14ac:dyDescent="0.25">
      <c r="O115"/>
    </row>
    <row r="116" spans="15:15" x14ac:dyDescent="0.25">
      <c r="O116"/>
    </row>
    <row r="117" spans="15:15" x14ac:dyDescent="0.25">
      <c r="O117"/>
    </row>
    <row r="118" spans="15:15" x14ac:dyDescent="0.25">
      <c r="O118"/>
    </row>
    <row r="119" spans="15:15" x14ac:dyDescent="0.25">
      <c r="O119"/>
    </row>
    <row r="120" spans="15:15" x14ac:dyDescent="0.25">
      <c r="O120"/>
    </row>
    <row r="121" spans="15:15" x14ac:dyDescent="0.25">
      <c r="O121"/>
    </row>
    <row r="122" spans="15:15" x14ac:dyDescent="0.25">
      <c r="O122"/>
    </row>
    <row r="123" spans="15:15" x14ac:dyDescent="0.25">
      <c r="O123"/>
    </row>
    <row r="124" spans="15:15" x14ac:dyDescent="0.25">
      <c r="O124"/>
    </row>
    <row r="125" spans="15:15" x14ac:dyDescent="0.25">
      <c r="O125"/>
    </row>
    <row r="126" spans="15:15" x14ac:dyDescent="0.25">
      <c r="O126"/>
    </row>
    <row r="127" spans="15:15" x14ac:dyDescent="0.25">
      <c r="O127"/>
    </row>
    <row r="128" spans="15:15" x14ac:dyDescent="0.25">
      <c r="O128"/>
    </row>
    <row r="129" spans="15:15" x14ac:dyDescent="0.25">
      <c r="O129"/>
    </row>
    <row r="130" spans="15:15" x14ac:dyDescent="0.25">
      <c r="O130"/>
    </row>
    <row r="131" spans="15:15" x14ac:dyDescent="0.25">
      <c r="O131"/>
    </row>
    <row r="132" spans="15:15" x14ac:dyDescent="0.25">
      <c r="O132"/>
    </row>
    <row r="133" spans="15:15" x14ac:dyDescent="0.25">
      <c r="O133"/>
    </row>
    <row r="134" spans="15:15" x14ac:dyDescent="0.25">
      <c r="O134"/>
    </row>
    <row r="135" spans="15:15" x14ac:dyDescent="0.25">
      <c r="O135"/>
    </row>
    <row r="136" spans="15:15" x14ac:dyDescent="0.25">
      <c r="O136"/>
    </row>
    <row r="137" spans="15:15" x14ac:dyDescent="0.25">
      <c r="O137"/>
    </row>
    <row r="138" spans="15:15" x14ac:dyDescent="0.25">
      <c r="O138"/>
    </row>
    <row r="139" spans="15:15" x14ac:dyDescent="0.25">
      <c r="O139"/>
    </row>
    <row r="140" spans="15:15" x14ac:dyDescent="0.25">
      <c r="O140"/>
    </row>
    <row r="141" spans="15:15" x14ac:dyDescent="0.25">
      <c r="O141"/>
    </row>
    <row r="142" spans="15:15" x14ac:dyDescent="0.25">
      <c r="O142"/>
    </row>
    <row r="143" spans="15:15" x14ac:dyDescent="0.25">
      <c r="O143"/>
    </row>
    <row r="144" spans="15:15" x14ac:dyDescent="0.25">
      <c r="O144"/>
    </row>
    <row r="145" spans="15:15" x14ac:dyDescent="0.25">
      <c r="O145"/>
    </row>
    <row r="146" spans="15:15" x14ac:dyDescent="0.25">
      <c r="O146"/>
    </row>
    <row r="147" spans="15:15" x14ac:dyDescent="0.25">
      <c r="O147"/>
    </row>
    <row r="148" spans="15:15" x14ac:dyDescent="0.25">
      <c r="O148"/>
    </row>
    <row r="149" spans="15:15" x14ac:dyDescent="0.25">
      <c r="O149"/>
    </row>
    <row r="150" spans="15:15" x14ac:dyDescent="0.25">
      <c r="O150"/>
    </row>
    <row r="151" spans="15:15" x14ac:dyDescent="0.25">
      <c r="O151"/>
    </row>
    <row r="152" spans="15:15" x14ac:dyDescent="0.25">
      <c r="O152"/>
    </row>
    <row r="153" spans="15:15" x14ac:dyDescent="0.25">
      <c r="O153"/>
    </row>
    <row r="154" spans="15:15" x14ac:dyDescent="0.25">
      <c r="O154"/>
    </row>
    <row r="155" spans="15:15" x14ac:dyDescent="0.25">
      <c r="O155"/>
    </row>
    <row r="156" spans="15:15" x14ac:dyDescent="0.25">
      <c r="O156"/>
    </row>
    <row r="157" spans="15:15" x14ac:dyDescent="0.25">
      <c r="O157"/>
    </row>
    <row r="158" spans="15:15" x14ac:dyDescent="0.25">
      <c r="O158"/>
    </row>
    <row r="159" spans="15:15" x14ac:dyDescent="0.25">
      <c r="O159"/>
    </row>
    <row r="160" spans="15:15" x14ac:dyDescent="0.25">
      <c r="O160"/>
    </row>
    <row r="161" spans="15:15" x14ac:dyDescent="0.25">
      <c r="O161"/>
    </row>
    <row r="162" spans="15:15" x14ac:dyDescent="0.25">
      <c r="O162"/>
    </row>
    <row r="163" spans="15:15" x14ac:dyDescent="0.25">
      <c r="O163"/>
    </row>
    <row r="164" spans="15:15" x14ac:dyDescent="0.25">
      <c r="O164"/>
    </row>
    <row r="165" spans="15:15" x14ac:dyDescent="0.25">
      <c r="O165"/>
    </row>
    <row r="166" spans="15:15" x14ac:dyDescent="0.25">
      <c r="O166"/>
    </row>
    <row r="167" spans="15:15" x14ac:dyDescent="0.25">
      <c r="O167"/>
    </row>
    <row r="168" spans="15:15" x14ac:dyDescent="0.25">
      <c r="O168"/>
    </row>
    <row r="169" spans="15:15" x14ac:dyDescent="0.25">
      <c r="O169"/>
    </row>
    <row r="170" spans="15:15" x14ac:dyDescent="0.25">
      <c r="O170"/>
    </row>
    <row r="171" spans="15:15" x14ac:dyDescent="0.25">
      <c r="O171"/>
    </row>
    <row r="172" spans="15:15" x14ac:dyDescent="0.25">
      <c r="O172"/>
    </row>
    <row r="173" spans="15:15" x14ac:dyDescent="0.25">
      <c r="O173"/>
    </row>
    <row r="174" spans="15:15" x14ac:dyDescent="0.25">
      <c r="O174"/>
    </row>
    <row r="175" spans="15:15" x14ac:dyDescent="0.25">
      <c r="O175"/>
    </row>
    <row r="176" spans="15:15" x14ac:dyDescent="0.25">
      <c r="O176"/>
    </row>
    <row r="177" spans="15:15" x14ac:dyDescent="0.25">
      <c r="O177"/>
    </row>
    <row r="178" spans="15:15" x14ac:dyDescent="0.25">
      <c r="O178"/>
    </row>
    <row r="179" spans="15:15" x14ac:dyDescent="0.25">
      <c r="O179"/>
    </row>
    <row r="180" spans="15:15" x14ac:dyDescent="0.25">
      <c r="O180"/>
    </row>
    <row r="181" spans="15:15" x14ac:dyDescent="0.25">
      <c r="O181"/>
    </row>
    <row r="182" spans="15:15" x14ac:dyDescent="0.25">
      <c r="O182"/>
    </row>
    <row r="183" spans="15:15" x14ac:dyDescent="0.25">
      <c r="O183"/>
    </row>
    <row r="184" spans="15:15" x14ac:dyDescent="0.25">
      <c r="O184"/>
    </row>
    <row r="185" spans="15:15" x14ac:dyDescent="0.25">
      <c r="O185"/>
    </row>
    <row r="186" spans="15:15" x14ac:dyDescent="0.25">
      <c r="O186"/>
    </row>
    <row r="187" spans="15:15" x14ac:dyDescent="0.25">
      <c r="O187"/>
    </row>
    <row r="188" spans="15:15" x14ac:dyDescent="0.25">
      <c r="O188"/>
    </row>
    <row r="189" spans="15:15" x14ac:dyDescent="0.25">
      <c r="O189"/>
    </row>
    <row r="190" spans="15:15" x14ac:dyDescent="0.25">
      <c r="O190"/>
    </row>
    <row r="191" spans="15:15" x14ac:dyDescent="0.25">
      <c r="O191"/>
    </row>
    <row r="192" spans="15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  <row r="203" spans="15:15" x14ac:dyDescent="0.25">
      <c r="O203"/>
    </row>
    <row r="204" spans="15:15" x14ac:dyDescent="0.25">
      <c r="O204"/>
    </row>
    <row r="205" spans="15:15" x14ac:dyDescent="0.25">
      <c r="O205"/>
    </row>
    <row r="206" spans="15:15" x14ac:dyDescent="0.25">
      <c r="O206"/>
    </row>
    <row r="207" spans="15:15" x14ac:dyDescent="0.25">
      <c r="O207"/>
    </row>
    <row r="208" spans="15:15" x14ac:dyDescent="0.25">
      <c r="O208"/>
    </row>
    <row r="209" spans="15:15" x14ac:dyDescent="0.25">
      <c r="O209"/>
    </row>
    <row r="210" spans="15:15" x14ac:dyDescent="0.25">
      <c r="O210"/>
    </row>
    <row r="211" spans="15:15" x14ac:dyDescent="0.25">
      <c r="O211"/>
    </row>
    <row r="212" spans="15:15" x14ac:dyDescent="0.25">
      <c r="O212"/>
    </row>
    <row r="213" spans="15:15" x14ac:dyDescent="0.25">
      <c r="O213"/>
    </row>
    <row r="214" spans="15:15" x14ac:dyDescent="0.25">
      <c r="O214"/>
    </row>
    <row r="215" spans="15:15" x14ac:dyDescent="0.25">
      <c r="O215"/>
    </row>
    <row r="216" spans="15:15" x14ac:dyDescent="0.25">
      <c r="O216"/>
    </row>
    <row r="217" spans="15:15" x14ac:dyDescent="0.25">
      <c r="O217"/>
    </row>
    <row r="218" spans="15:15" x14ac:dyDescent="0.25">
      <c r="O218"/>
    </row>
    <row r="219" spans="15:15" x14ac:dyDescent="0.25">
      <c r="O219"/>
    </row>
    <row r="220" spans="15:15" x14ac:dyDescent="0.25">
      <c r="O220"/>
    </row>
    <row r="221" spans="15:15" x14ac:dyDescent="0.25">
      <c r="O221"/>
    </row>
    <row r="222" spans="15:15" x14ac:dyDescent="0.25">
      <c r="O222"/>
    </row>
    <row r="223" spans="15:15" x14ac:dyDescent="0.25">
      <c r="O223"/>
    </row>
    <row r="224" spans="15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  <row r="1030" spans="15:15" x14ac:dyDescent="0.25">
      <c r="O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2" t="s">
        <v>38</v>
      </c>
      <c r="H3" s="82"/>
      <c r="I3" s="82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2"/>
      <c r="H4" s="82"/>
      <c r="I4" s="82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1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1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1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2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3" t="s">
        <v>56</v>
      </c>
      <c r="B12" s="10" t="s">
        <v>21</v>
      </c>
    </row>
    <row r="13" spans="1:11" ht="30" x14ac:dyDescent="0.25">
      <c r="A13" s="43" t="s">
        <v>53</v>
      </c>
      <c r="B13" s="10" t="s">
        <v>22</v>
      </c>
    </row>
    <row r="14" spans="1:11" ht="38.25" x14ac:dyDescent="0.25">
      <c r="A14" s="44" t="s">
        <v>70</v>
      </c>
      <c r="B14" s="12" t="s">
        <v>23</v>
      </c>
    </row>
    <row r="15" spans="1:11" ht="45" x14ac:dyDescent="0.25">
      <c r="A15" s="45" t="s">
        <v>57</v>
      </c>
      <c r="B15" s="10" t="s">
        <v>24</v>
      </c>
    </row>
    <row r="16" spans="1:11" x14ac:dyDescent="0.25">
      <c r="A16" s="45" t="s">
        <v>25</v>
      </c>
      <c r="B16" s="10" t="s">
        <v>26</v>
      </c>
    </row>
    <row r="17" spans="1:2" x14ac:dyDescent="0.25">
      <c r="A17" s="45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2019-03-06T21:22:03Z</dcterms:modified>
</cp:coreProperties>
</file>