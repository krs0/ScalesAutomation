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1775"/>
  </bookViews>
  <sheets>
    <sheet name="Metrologie" sheetId="2" r:id="rId1"/>
    <sheet name="RawData" sheetId="1" r:id="rId2"/>
    <sheet name="Explicatii" sheetId="3" r:id="rId3"/>
    <sheet name="Chart" sheetId="4" r:id="rId4"/>
  </sheets>
  <functionGroups builtInGroupCount="17"/>
  <definedNames>
    <definedName name="CA_1">Metrologie!$G$3</definedName>
    <definedName name="CA_2">Metrologie!$G$4</definedName>
    <definedName name="CMA">Metrologie!$B$11</definedName>
    <definedName name="CR_1">Metrologie!$I$3</definedName>
    <definedName name="CR_2">Metrologie!$I$4</definedName>
    <definedName name="ENT">Metrologie!$B$10</definedName>
    <definedName name="ES_1">Metrologie!$F$3</definedName>
    <definedName name="ES_2">Metrologie!$F$4</definedName>
    <definedName name="ES_3">Metrologie!$F$5</definedName>
    <definedName name="ES1_Status">Metrologie!$J$3</definedName>
    <definedName name="ES2_Status">Metrologie!$J$4</definedName>
    <definedName name="ES3_OK">Metrologie!$J$5</definedName>
    <definedName name="ES3_Status">Metrologie!$J$5</definedName>
    <definedName name="LotStatus">Metrologie!$J$3</definedName>
    <definedName name="ML">Metrologie!$B$6</definedName>
    <definedName name="_xlnm.Print_Area" localSheetId="0">Metrologie!$A$2:$C$31,Metrologie!$E$1:$R$31</definedName>
    <definedName name="_xlnm.Print_Titles" localSheetId="0">Metrologie!$E:$R,Metrologie!$11:$12</definedName>
    <definedName name="Qn">Metrologie!$B$7</definedName>
    <definedName name="QnES3">Metrologie!$B$22</definedName>
    <definedName name="RN_1">Metrologie!$H$3</definedName>
    <definedName name="RN_2">Metrologie!$H$4</definedName>
    <definedName name="s">Metrologie!$B$21</definedName>
    <definedName name="SumOfSquares">Metrologie!$B$20</definedName>
    <definedName name="Ta">Metrologie!$B$9</definedName>
    <definedName name="test_1" localSheetId="1">RawData!$A$1:$I$30</definedName>
    <definedName name="Xi">Metrologie!$B$19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" i="2" l="1"/>
  <c r="B20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B19" i="2"/>
  <c r="P41" i="2"/>
  <c r="O41" i="2"/>
  <c r="P40" i="2"/>
  <c r="O40" i="2"/>
  <c r="P39" i="2"/>
  <c r="O39" i="2"/>
  <c r="P38" i="2"/>
  <c r="O38" i="2"/>
  <c r="P37" i="2"/>
  <c r="O37" i="2"/>
  <c r="P36" i="2"/>
  <c r="O36" i="2"/>
  <c r="P35" i="2"/>
  <c r="O35" i="2"/>
  <c r="P34" i="2"/>
  <c r="O34" i="2"/>
  <c r="P33" i="2"/>
  <c r="O33" i="2"/>
  <c r="P32" i="2"/>
  <c r="O32" i="2"/>
  <c r="P31" i="2"/>
  <c r="O31" i="2"/>
  <c r="P30" i="2"/>
  <c r="O30" i="2"/>
  <c r="P29" i="2"/>
  <c r="O29" i="2"/>
  <c r="P28" i="2"/>
  <c r="O28" i="2"/>
  <c r="P27" i="2"/>
  <c r="O27" i="2"/>
  <c r="P26" i="2"/>
  <c r="O26" i="2"/>
  <c r="P25" i="2"/>
  <c r="O25" i="2"/>
  <c r="P24" i="2"/>
  <c r="O24" i="2"/>
  <c r="P23" i="2"/>
  <c r="O23" i="2"/>
  <c r="P22" i="2"/>
  <c r="O22" i="2"/>
  <c r="P21" i="2"/>
  <c r="O21" i="2"/>
  <c r="P20" i="2"/>
  <c r="O20" i="2"/>
  <c r="P19" i="2"/>
  <c r="O19" i="2"/>
  <c r="P18" i="2"/>
  <c r="O18" i="2"/>
  <c r="P17" i="2"/>
  <c r="O17" i="2"/>
  <c r="P16" i="2"/>
  <c r="O16" i="2"/>
  <c r="P15" i="2"/>
  <c r="O15" i="2"/>
  <c r="P14" i="2"/>
  <c r="O14" i="2"/>
  <c r="P13" i="2"/>
  <c r="O13" i="2"/>
  <c r="K41" i="2"/>
  <c r="J41" i="2"/>
  <c r="I41" i="2"/>
  <c r="K40" i="2"/>
  <c r="J40" i="2"/>
  <c r="I40" i="2"/>
  <c r="K39" i="2"/>
  <c r="J39" i="2"/>
  <c r="I39" i="2"/>
  <c r="K38" i="2"/>
  <c r="J38" i="2"/>
  <c r="I38" i="2"/>
  <c r="K37" i="2"/>
  <c r="J37" i="2"/>
  <c r="I37" i="2"/>
  <c r="K36" i="2"/>
  <c r="J36" i="2"/>
  <c r="I36" i="2"/>
  <c r="K35" i="2"/>
  <c r="J35" i="2"/>
  <c r="I35" i="2"/>
  <c r="K34" i="2"/>
  <c r="J34" i="2"/>
  <c r="I34" i="2"/>
  <c r="K33" i="2"/>
  <c r="J33" i="2"/>
  <c r="I33" i="2"/>
  <c r="K32" i="2"/>
  <c r="J32" i="2"/>
  <c r="I32" i="2"/>
  <c r="K31" i="2"/>
  <c r="J31" i="2"/>
  <c r="I31" i="2"/>
  <c r="K30" i="2"/>
  <c r="J30" i="2"/>
  <c r="I30" i="2"/>
  <c r="K29" i="2"/>
  <c r="J29" i="2"/>
  <c r="I29" i="2"/>
  <c r="K28" i="2"/>
  <c r="J28" i="2"/>
  <c r="I28" i="2"/>
  <c r="K27" i="2"/>
  <c r="J27" i="2"/>
  <c r="I27" i="2"/>
  <c r="K26" i="2"/>
  <c r="J26" i="2"/>
  <c r="I26" i="2"/>
  <c r="K25" i="2"/>
  <c r="J25" i="2"/>
  <c r="I25" i="2"/>
  <c r="K24" i="2"/>
  <c r="J24" i="2"/>
  <c r="I24" i="2"/>
  <c r="K23" i="2"/>
  <c r="J23" i="2"/>
  <c r="I23" i="2"/>
  <c r="K22" i="2"/>
  <c r="J22" i="2"/>
  <c r="I22" i="2"/>
  <c r="K21" i="2"/>
  <c r="J21" i="2"/>
  <c r="I21" i="2"/>
  <c r="K20" i="2"/>
  <c r="J20" i="2"/>
  <c r="I20" i="2"/>
  <c r="K19" i="2"/>
  <c r="J19" i="2"/>
  <c r="I19" i="2"/>
  <c r="K18" i="2"/>
  <c r="J18" i="2"/>
  <c r="I18" i="2"/>
  <c r="K17" i="2"/>
  <c r="J17" i="2"/>
  <c r="I17" i="2"/>
  <c r="K16" i="2"/>
  <c r="J16" i="2"/>
  <c r="I16" i="2"/>
  <c r="K15" i="2"/>
  <c r="J15" i="2"/>
  <c r="I15" i="2"/>
  <c r="K14" i="2"/>
  <c r="J14" i="2"/>
  <c r="I14" i="2"/>
  <c r="K13" i="2"/>
  <c r="J13" i="2"/>
  <c r="I13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B5" i="2" l="1"/>
  <c r="B4" i="2"/>
  <c r="B3" i="2"/>
  <c r="B9" i="2" l="1"/>
  <c r="B8" i="2"/>
  <c r="B7" i="2"/>
  <c r="F3" i="2" l="1"/>
  <c r="I3" i="2"/>
  <c r="G3" i="2"/>
  <c r="B11" i="2" l="1"/>
  <c r="H3" i="2" l="1"/>
  <c r="B21" i="2" l="1"/>
  <c r="B22" i="2" s="1"/>
  <c r="J3" i="2"/>
  <c r="G4" i="2" s="1"/>
  <c r="B15" i="2" l="1"/>
  <c r="H4" i="2"/>
  <c r="J4" i="2" s="1"/>
  <c r="B14" i="2" s="1"/>
  <c r="B13" i="2"/>
  <c r="I4" i="2"/>
  <c r="A2" i="2" l="1"/>
</calcChain>
</file>

<file path=xl/comments1.xml><?xml version="1.0" encoding="utf-8"?>
<comments xmlns="http://schemas.openxmlformats.org/spreadsheetml/2006/main">
  <authors>
    <author>krs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krs:
Lotul este acceptat daca urmatoarele conditii sunt indeplinite:</t>
        </r>
        <r>
          <rPr>
            <sz val="9"/>
            <color indexed="81"/>
            <rFont val="Tahoma"/>
            <family val="2"/>
          </rPr>
          <t xml:space="preserve">
Esantionul 1 este Ok,
Esantionul 2 este Ok (daca a fost nevoie de un al doilea esantion)
Esantionul 3 este Ok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RN_1 = Numarul de Preambalaje Necorespunzatoare = Suma "Not Ok" din Coloana Comparatie Cr1 cu CMA
CA_1 = Criteriu de Acceptare Esantion 1
CR_1 = Criteriu de Respingere Esantion 1
RN_1 &lt; CA_1            =&gt; Lot Acceptat (Nu e nevoie de al doilea esantion)
RN_1 &gt; CR_1            =&gt; Lot Respins
CA_1 &lt; CR_1 &lt; RN_1 =&gt; Se va mai testa un esantion</t>
        </r>
      </text>
    </comment>
    <comment ref="J4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RN_2 = Numarul de Preambalaje Necorespunzatoare = Suma "Not Ok" din Coloana Comparatie Cr2 cu CMA
CA_2 = Criteriu de Acceptare Esantion 2
CR_2 = Criteriu de Respingere Esantion 2
RN_1 + RN_2 &lt;= CA_2            =&gt; Lot Acceptat
RN_1 + RN_2 &gt;    CR_2            =&gt; Lot Respins
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 xml:space="preserve">    'Lot Size Esantion  Cr de acceptare    Cr de respingere
    '   &lt;= 100?? 30    Xi &gt;=Qn-0,503*s   Xi &lt;Qn-0,503*s
    ' 100 - 500   30    Xi &gt;=Qn-0,503*s   Xi &lt;Qn-0,503*s
    '      &gt; 500   50    Xi &gt;=Qn-0,379*s   Xi &lt;Qn-0,379*s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Numarul de masuratori pe coloana E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Masa Nominala se termina in Kg, se sterge Kg</t>
        </r>
      </text>
    </comment>
    <comment ref="B9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Tara Ambalaj se termina in Kg, se sterge Kg</t>
        </r>
      </text>
    </comment>
    <comment ref="B10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EROARE NEGATIVA TOLERATA ENT se calculeaza conform Tabelului    
Unde:
Qn in g sau ml
ENT in %,g sau ml
5 &lt;= Qn &lt;= 50  9%
50 &lt;= Qn &lt;= 100 4.5g
100 &lt;= Qn &lt;= 200 4.5%
200 &lt;= Qn &lt;= 300 9g
300 &lt;= Qn &lt;= 500 3%
500 &lt;= Qn &lt;= 1000 15g
1000&lt;= Qn &lt;= 10000 1.5%</t>
        </r>
      </text>
    </comment>
    <comment ref="I11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L11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O11" authorId="0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>Un lot este acceptat daca Valoarea Medie a Continutului Real al Masuratorilor 
Xi &gt; Qn-[s/N*0.995]
'Lot Size Esantion Cr de acceptare   Cr de respingere
'   &lt;= 100? 30    Xi &gt;=Qn-0,503*s   Xi &lt;Qn-0,503*s
'100 - 500   30    Xi &gt;=Qn-0,503*s   Xi &lt;Qn-0,503*s
'   &gt;= 501   50    Xi &gt;=Qn-0,379*s   Xi &lt;Qn-0,379*s</t>
        </r>
      </text>
    </comment>
  </commentList>
</comments>
</file>

<file path=xl/connections.xml><?xml version="1.0" encoding="utf-8"?>
<connections xmlns="http://schemas.openxmlformats.org/spreadsheetml/2006/main">
  <connection id="1" interval="1" name="2018-03-04-072149_1211_Gut80-MargarinaCreme_Cutie_20Kg" type="6" refreshedVersion="4" background="1" refreshOnLoad="1" saveData="1">
    <textPr prompt="0" codePage="437" sourceFile="C:\Home\Krs\Work\Cantar\ScalesAutomation\Distribution\CSVOutput\2018-03-04-072149_1211_Gut80-MargarinaCreme_Cutie_20Kg.csv" tab="0" semicolon="1">
      <textFields count="2">
        <textField/>
        <textField/>
      </textFields>
    </textPr>
  </connection>
  <connection id="2" name="2019-01-07-05-39-58_300001_Margarita soft - Uleiuri in amestesc de palmier si floarea soarelui_Galeata - 10 Kg" type="6" refreshedVersion="4" background="1" refreshOnLoad="1" saveData="1">
    <textPr prompt="0" codePage="437" sourceFile="C:\Home\Krs\Work\Cantar\ScalesAutomation\Distribution\Server\CSVServer\2019-01-07-05-39-58_300001_Margarita soft - Uleiuri in amestesc de palmier si floarea soarelui_Galeata - 10 Kg.csv" tab="0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<sst xmlns="http://schemas.openxmlformats.org/spreadsheetml/2006/main" count="176" uniqueCount="120">
  <si>
    <t>Kg</t>
  </si>
  <si>
    <t>Lot</t>
  </si>
  <si>
    <t>Sortimentul</t>
  </si>
  <si>
    <t>Tip Ambalaj</t>
  </si>
  <si>
    <r>
      <t xml:space="preserve">Masa Nominala </t>
    </r>
    <r>
      <rPr>
        <b/>
        <sz val="11"/>
        <color theme="4" tint="-0.249977111117893"/>
        <rFont val="Calibri"/>
        <family val="2"/>
        <scheme val="minor"/>
      </rPr>
      <t>[Qn]</t>
    </r>
  </si>
  <si>
    <r>
      <t xml:space="preserve">Tara Ambalaj </t>
    </r>
    <r>
      <rPr>
        <b/>
        <sz val="11"/>
        <color theme="4" tint="-0.249977111117893"/>
        <rFont val="Calibri"/>
        <family val="2"/>
        <scheme val="minor"/>
      </rPr>
      <t>[Ta]</t>
    </r>
  </si>
  <si>
    <r>
      <t xml:space="preserve">Eroare Negativa Tolerata </t>
    </r>
    <r>
      <rPr>
        <b/>
        <sz val="11"/>
        <color theme="4" tint="-0.249977111117893"/>
        <rFont val="Calibri"/>
        <family val="2"/>
        <scheme val="minor"/>
      </rPr>
      <t>[ENT]</t>
    </r>
  </si>
  <si>
    <r>
      <t>Marimea Lotului</t>
    </r>
    <r>
      <rPr>
        <b/>
        <sz val="11"/>
        <color theme="4" tint="-0.249977111117893"/>
        <rFont val="Calibri"/>
        <family val="2"/>
        <scheme val="minor"/>
      </rPr>
      <t xml:space="preserve"> [ML]</t>
    </r>
  </si>
  <si>
    <r>
      <t xml:space="preserve">Continutul Minim Admis </t>
    </r>
    <r>
      <rPr>
        <b/>
        <sz val="11"/>
        <color theme="4" tint="-0.249977111117893"/>
        <rFont val="Calibri"/>
        <family val="2"/>
        <scheme val="minor"/>
      </rPr>
      <t>[CMA]</t>
    </r>
  </si>
  <si>
    <t>Data</t>
  </si>
  <si>
    <t>INDICATORI</t>
  </si>
  <si>
    <t>EXPLICATIE</t>
  </si>
  <si>
    <t>NR. DE CANTARIRI = NR. DE PREAMBALATE</t>
  </si>
  <si>
    <t>DATA LA CARE SE FACE CANTARIREA</t>
  </si>
  <si>
    <t>ORA LA CARE SE FACE CANTATIREA</t>
  </si>
  <si>
    <t>CANTITATEA EFECTIV CANTARITA =PRODUS + AMBALAJ</t>
  </si>
  <si>
    <t>SE COMPARA  EROAREA NEGATIVA[EN] CU DUBLUL ERORII NEGATIVE TOLERATAENT]   DACA EN&gt;2*ENT PRODUSUL NU POATE AVEA SIMBOLUL E SI NU VA FI COMERCIALIZAT</t>
  </si>
  <si>
    <t xml:space="preserve">NR DE CANTATIRI CE TREBUIE SA FIE  EXTRASE DIN TOTALUL CANTARIRILOR INITIALE  [COL A] CARE VOR FI LUATE IN CALCUL LA VERIFICAREA 2.2.1 ESANTION 1.;  IN FUNCTIE DE MARIMEA LOTULUI VOM AVEA NEVOIE DE  30, 50, 80  CANTARIRI </t>
  </si>
  <si>
    <t>CANTITATEA DE PRODUS REAL[Cr1} =CANTITATEA CANTARITA[Cc] -TARA AMBALAJ[Ta]; IN FUNCTIE DE MARIMEA LOTULUI SE VOR LUA, PT. CALCUL ALEATORIU  30, 50, 80 DE CANTARIRI DIN COL.D</t>
  </si>
  <si>
    <t>SE COMPARA [Cr1] CU CONTINUTUL MINIM ADMIS[CMA]; DACA Cr1&gt;CMA PREAMBALAT ADMIS   DACA Cr1&lt;CMA PREAMBALAT NECORESPUNZATOR A/N</t>
  </si>
  <si>
    <t xml:space="preserve">NR DE CANTATIRI CE TREBUIE SA FIE  EXTRASE DIN TOTALUL CANTARIRILOR INITIALE  [COL A] CARE VOR FI LUATE IN CALCUL LA VERIFICAREA 2.2.1 ESANTION 2.;  IN FUNCTIE DE MARIMEA LOTULUI VOM AVEA NEVOIE DE  30, 50, 80  CANTARIRI </t>
  </si>
  <si>
    <t>CANTITATEA DE PRODUS REAL[Cr2] =CANTITATEA CANTARITA[Cc] -TARA AMBALAJ[Ta]: IN FUNCTIE DE MARIMEA LOTULUI SE VOR LUA, PT. CALCUL ALEATORIU  30, 50, 80 DE CANTARIRI DIN COL.D</t>
  </si>
  <si>
    <t>SE COMPARA [Cr2] CU CONTINUTUL MINIM ADMIS[CMA]; DACA Cr2&gt;CMA PREAMBALAT ADMIS   DACA Cr2&lt;CMA PREAMBALAT NECORESPUNZATOR A/N</t>
  </si>
  <si>
    <t xml:space="preserve">NR DE CANTATIRI CE TREBUIE SA FIE  EXTRASE DIN CELE ALESE LA ESANTIONUL 1 [COL F] CARE VOR FI LUATE IN CALCUL LA VERIFICAREA 2.3.3.1 ESANTION 3;  IN FUNCTIE DE MARIMEA LOTULUI VOM AVEA NEVOIE DE  30, 50 CANTARIRI </t>
  </si>
  <si>
    <t xml:space="preserve">CANTITATEA DE PRODUS REAL[Cr3} =CANTITATEA CANTARITA[Cc] -TARA AMBALAJ[Ta]; IN FUNCTIE DE MARIMEA LOTULUI SE VOR LUA, PT. CALCUL ALEATORIU  30, 50,  CANTARIRI DIN COL.G </t>
  </si>
  <si>
    <t>CONTINUT REAL ES3 - Xi MEDIU</t>
  </si>
  <si>
    <t>DIN CONTINUTUL REAL 3 [Cr3] SE SCADE MEDIA CONTINUTULUI REAL Xi MEDIU</t>
  </si>
  <si>
    <t>[VLUM REAL ES3 - Xi MEDIU]2</t>
  </si>
  <si>
    <t>COL N LA PATRAT</t>
  </si>
  <si>
    <t>SE CALCULEAZA IN FUNCTIE DE CANTITATEA NOMINALA Qn/ CANTITATEA NETA CF. TABEL</t>
  </si>
  <si>
    <t xml:space="preserve"> Qn-[s/RADICAL(N)*0.995]</t>
  </si>
  <si>
    <t>DIN CANTITATEA NOMINALA [Qn] SE SCADE [s/RADICAL(N)*0.995]; UNDE N=NR DE ES3</t>
  </si>
  <si>
    <t>FUNCTIA STDEV(COLM), STDEV(M1:Mn)</t>
  </si>
  <si>
    <t>Qn-0,379*s</t>
  </si>
  <si>
    <r>
      <t xml:space="preserve">Valoarea Medie a cantitatilor reale </t>
    </r>
    <r>
      <rPr>
        <b/>
        <sz val="11"/>
        <color theme="4" tint="-0.249977111117893"/>
        <rFont val="Calibri"/>
        <family val="2"/>
        <scheme val="minor"/>
      </rPr>
      <t>[Xi]</t>
    </r>
  </si>
  <si>
    <r>
      <t xml:space="preserve">Estimatorul Abaterii Standard </t>
    </r>
    <r>
      <rPr>
        <b/>
        <sz val="11"/>
        <color theme="4" tint="-0.249977111117893"/>
        <rFont val="Calibri"/>
        <family val="2"/>
        <scheme val="minor"/>
      </rPr>
      <t>[s]</t>
    </r>
  </si>
  <si>
    <r>
      <rPr>
        <b/>
        <sz val="11"/>
        <color theme="1"/>
        <rFont val="Calibri"/>
        <family val="2"/>
        <scheme val="minor"/>
      </rPr>
      <t>Sum(</t>
    </r>
    <r>
      <rPr>
        <sz val="11"/>
        <color theme="1"/>
        <rFont val="Calibri"/>
        <family val="2"/>
        <scheme val="minor"/>
      </rPr>
      <t>(</t>
    </r>
    <r>
      <rPr>
        <b/>
        <sz val="11"/>
        <color theme="4" tint="-0.249977111117893"/>
        <rFont val="Calibri"/>
        <family val="2"/>
        <scheme val="minor"/>
      </rPr>
      <t>Cr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4" tint="-0.249977111117893"/>
        <rFont val="Calibri"/>
        <family val="2"/>
        <scheme val="minor"/>
      </rPr>
      <t>Xi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</si>
  <si>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 xml:space="preserve">EROARE NEGATIVA TOLERATA </t>
    </r>
    <r>
      <rPr>
        <b/>
        <sz val="12"/>
        <rFont val="Arial"/>
        <family val="2"/>
      </rPr>
      <t>ENT =  CF TABEL</t>
    </r>
  </si>
  <si>
    <r>
      <t xml:space="preserve">Cantitatea nominala </t>
    </r>
    <r>
      <rPr>
        <b/>
        <sz val="12"/>
        <rFont val="Arial"/>
        <family val="2"/>
      </rPr>
      <t>Qn</t>
    </r>
    <r>
      <rPr>
        <sz val="12"/>
        <rFont val="Arial"/>
        <family val="2"/>
      </rPr>
      <t xml:space="preserve"> in g sau ml</t>
    </r>
  </si>
  <si>
    <t>Eroare negativa tolerata</t>
  </si>
  <si>
    <t>in % din Qn</t>
  </si>
  <si>
    <t>in g sau ml</t>
  </si>
  <si>
    <t xml:space="preserve">&lt;= Qn &lt;= </t>
  </si>
  <si>
    <t>-</t>
  </si>
  <si>
    <t>Criteriu de Acceptare</t>
  </si>
  <si>
    <t>Criteriu de Respingere</t>
  </si>
  <si>
    <t>Rezultate Negative</t>
  </si>
  <si>
    <t>Status Esantion</t>
  </si>
  <si>
    <t>#</t>
  </si>
  <si>
    <t>Cantitatea Cantarita [Cc]</t>
  </si>
  <si>
    <t>Ora</t>
  </si>
  <si>
    <t>Comparatie EN&gt;2ENT (Produs 'Fara E' nu se comercializeaza!)</t>
  </si>
  <si>
    <t>Comparatie Cr1 cu CMA</t>
  </si>
  <si>
    <t>Comparatie Cr2 cu CMA</t>
  </si>
  <si>
    <r>
      <rPr>
        <b/>
        <sz val="11"/>
        <color theme="4" tint="-0.249977111117893"/>
        <rFont val="Calibri"/>
        <family val="2"/>
        <scheme val="minor"/>
      </rPr>
      <t>Qn=</t>
    </r>
    <r>
      <rPr>
        <sz val="11"/>
        <color theme="1"/>
        <rFont val="Calibri"/>
        <family val="2"/>
        <scheme val="minor"/>
      </rPr>
      <t>[</t>
    </r>
    <r>
      <rPr>
        <b/>
        <sz val="11"/>
        <color theme="4" tint="-0.249977111117893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/sqrt(</t>
    </r>
    <r>
      <rPr>
        <b/>
        <sz val="11"/>
        <color theme="4" tint="-0.249977111117893"/>
        <rFont val="Calibri"/>
        <family val="2"/>
        <scheme val="minor"/>
      </rPr>
      <t>N</t>
    </r>
    <r>
      <rPr>
        <sz val="11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>*0.995]</t>
    </r>
  </si>
  <si>
    <t>Continutul Real
[Cr1]</t>
  </si>
  <si>
    <t>Continutul Real
[Cr2]</t>
  </si>
  <si>
    <t>Continutul Real [Cr]
Cc - Ta</t>
  </si>
  <si>
    <t>Informatii de Baza</t>
  </si>
  <si>
    <t>Succesiunea 1</t>
  </si>
  <si>
    <t>Succesiunea 2</t>
  </si>
  <si>
    <t>Succesiunea 3</t>
  </si>
  <si>
    <t>Marime Esantion</t>
  </si>
  <si>
    <t>S1</t>
  </si>
  <si>
    <t>S2</t>
  </si>
  <si>
    <t>S3</t>
  </si>
  <si>
    <t>Calcule Intermediare Succesiunea 3</t>
  </si>
  <si>
    <t>Marimea Lotului [ML]</t>
  </si>
  <si>
    <t>Marime Esantion ES1</t>
  </si>
  <si>
    <t>Marime Esantion ES2</t>
  </si>
  <si>
    <t>Marime Esantion ES3</t>
  </si>
  <si>
    <t>Continutul Real
[Cr2]
Cc - Ta</t>
  </si>
  <si>
    <t>Continutul Real
[Cr1]
Cc - Ta</t>
  </si>
  <si>
    <t>Continutul Real [Cr3]
Cc - Ta</t>
  </si>
  <si>
    <t>Continutul Real - Continutul Real Mediu
Cr3 - Xi</t>
  </si>
  <si>
    <r>
      <t>(Cr3 - Xi)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</si>
  <si>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Eroare Negativa Tolerata [ENT]</t>
  </si>
  <si>
    <t>Numarul Total de preambalate  [RN_1] necorespunzatoare din ES1</t>
  </si>
  <si>
    <t>Numarul Total de preambalate  [RN_2] necorespunzatoare din ES2</t>
  </si>
  <si>
    <t>SE NUMARA TOATE "Not Ok" DIN COLOANA "Comparatie Cr1 cu CMA"</t>
  </si>
  <si>
    <t>SE NUMARA TOATE "Not Ok" DIN COLOANA "Comparatie Cr2 cu CMA"</t>
  </si>
  <si>
    <t>Valoarea Medie a cantitatilor reale [Xi]</t>
  </si>
  <si>
    <t>SE CALCULEAZA MEDIA ARITMETICA PE COL "Continutul Real [Cr3]"</t>
  </si>
  <si>
    <t>ESTE EGAL CU NUMARUL DE PREAMBALATE CANTARITE; COUNT(Coloana E)</t>
  </si>
  <si>
    <t>Estimatorul Abaterii Standard [s]</t>
  </si>
  <si>
    <t>Rezultat Esantionul 1</t>
  </si>
  <si>
    <t>Rezultat Esantionul 2</t>
  </si>
  <si>
    <t>Rezultat Esantionul 3</t>
  </si>
  <si>
    <t>Comparatie EN&gt;2ENT Produs 'Fara E' nu se comercializeaza</t>
  </si>
  <si>
    <t>Margarita soft - Uleiuri in amestesc de palmier si floarea soarelui</t>
  </si>
  <si>
    <t>Galeata - 10 Kg</t>
  </si>
  <si>
    <t>15:59:35,293</t>
  </si>
  <si>
    <t>16:00:15,876</t>
  </si>
  <si>
    <t>16:00:53,570</t>
  </si>
  <si>
    <t>16:01:30,061</t>
  </si>
  <si>
    <t>16:02:08,755</t>
  </si>
  <si>
    <t>16:02:48,746</t>
  </si>
  <si>
    <t>16:03:25,925</t>
  </si>
  <si>
    <t>16:04:03,213</t>
  </si>
  <si>
    <t>16:04:42,516</t>
  </si>
  <si>
    <t>16:05:56,780</t>
  </si>
  <si>
    <t>16:06:35,365</t>
  </si>
  <si>
    <t>16:07:15,465</t>
  </si>
  <si>
    <t>16:07:54,252</t>
  </si>
  <si>
    <t>16:08:36,539</t>
  </si>
  <si>
    <t>16:09:16,530</t>
  </si>
  <si>
    <t>16:09:57,630</t>
  </si>
  <si>
    <t>16:10:38,620</t>
  </si>
  <si>
    <t>16:11:18,298</t>
  </si>
  <si>
    <t>16:11:58,492</t>
  </si>
  <si>
    <t>16:12:39,388</t>
  </si>
  <si>
    <t>16:13:20,972</t>
  </si>
  <si>
    <t>16:14:01,853</t>
  </si>
  <si>
    <t>16:14:45,249</t>
  </si>
  <si>
    <t>16:15:27,037</t>
  </si>
  <si>
    <t>16:16:07,510</t>
  </si>
  <si>
    <t>16:16:50,094</t>
  </si>
  <si>
    <t>16:17:33,396</t>
  </si>
  <si>
    <t>16:18:17,776</t>
  </si>
  <si>
    <t>16:22:57,789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</si>
</sst>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"/>
    <numFmt numFmtId="165" formatCode="0.000"/>
    <numFmt numFmtId="166" formatCode="0.00000"/>
    <numFmt numFmtId="167" formatCode="0.000000"/>
    <numFmt numFmtId="168" formatCode="[$-409]d\-mmm\-yy;@"/>
  </numFmts>
  <fonts count="19" x14ac:knownFonts="1"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4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21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0" fontId="0" fillId="0" borderId="1" xfId="0" applyBorder="1"/>
    <xf numFmtId="0" fontId="5" fillId="0" borderId="1" xfId="0" applyFont="1" applyBorder="1" applyAlignment="1">
      <alignment horizontal="left" wrapText="1"/>
    </xf>
    <xf numFmtId="0" fontId="7" fillId="0" borderId="1" xfId="0" applyFont="1" applyBorder="1"/>
    <xf numFmtId="0" fontId="5" fillId="0" borderId="1" xfId="0" applyFont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9" fillId="0" borderId="1" xfId="0" applyFont="1" applyBorder="1" applyAlignment="1">
      <alignment wrapText="1"/>
    </xf>
    <xf numFmtId="0" fontId="0" fillId="0" borderId="1" xfId="0" applyBorder="1" applyAlignment="1">
      <alignment vertical="center"/>
    </xf>
    <xf numFmtId="0" fontId="7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1" fontId="0" fillId="0" borderId="0" xfId="0" applyNumberFormat="1" applyAlignment="1">
      <alignment horizontal="right"/>
    </xf>
    <xf numFmtId="0" fontId="5" fillId="0" borderId="0" xfId="0" applyFont="1"/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164" fontId="0" fillId="2" borderId="0" xfId="0" applyNumberFormat="1" applyFill="1" applyAlignment="1">
      <alignment horizontal="right"/>
    </xf>
    <xf numFmtId="0" fontId="0" fillId="2" borderId="0" xfId="0" applyFill="1" applyAlignment="1">
      <alignment horizontal="left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/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NumberFormat="1" applyFont="1" applyAlignment="1">
      <alignment horizontal="right"/>
    </xf>
    <xf numFmtId="0" fontId="0" fillId="2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1" fillId="0" borderId="0" xfId="0" applyFont="1" applyAlignment="1">
      <alignment horizontal="right"/>
    </xf>
    <xf numFmtId="0" fontId="0" fillId="6" borderId="0" xfId="0" applyFill="1" applyAlignment="1">
      <alignment horizontal="left"/>
    </xf>
    <xf numFmtId="2" fontId="0" fillId="6" borderId="0" xfId="0" applyNumberFormat="1" applyFill="1" applyAlignment="1">
      <alignment horizontal="right"/>
    </xf>
    <xf numFmtId="0" fontId="5" fillId="3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0" fillId="2" borderId="0" xfId="0" applyFill="1" applyAlignment="1"/>
    <xf numFmtId="0" fontId="0" fillId="2" borderId="0" xfId="0" applyFont="1" applyFill="1" applyAlignment="1">
      <alignment horizontal="left"/>
    </xf>
    <xf numFmtId="0" fontId="10" fillId="0" borderId="2" xfId="0" applyFont="1" applyBorder="1" applyAlignment="1">
      <alignment horizontal="center" wrapText="1"/>
    </xf>
    <xf numFmtId="2" fontId="11" fillId="0" borderId="2" xfId="0" applyNumberFormat="1" applyFont="1" applyBorder="1" applyAlignment="1">
      <alignment horizontal="center" wrapText="1"/>
    </xf>
    <xf numFmtId="165" fontId="0" fillId="0" borderId="0" xfId="0" applyNumberFormat="1" applyAlignment="1">
      <alignment horizontal="right"/>
    </xf>
    <xf numFmtId="165" fontId="10" fillId="0" borderId="0" xfId="0" applyNumberFormat="1" applyFont="1" applyAlignment="1">
      <alignment horizontal="center" vertical="center" wrapText="1"/>
    </xf>
    <xf numFmtId="165" fontId="0" fillId="0" borderId="0" xfId="0" applyNumberFormat="1"/>
    <xf numFmtId="165" fontId="10" fillId="0" borderId="2" xfId="0" applyNumberFormat="1" applyFont="1" applyBorder="1" applyAlignment="1">
      <alignment horizontal="center" wrapText="1"/>
    </xf>
    <xf numFmtId="166" fontId="10" fillId="0" borderId="2" xfId="0" applyNumberFormat="1" applyFont="1" applyFill="1" applyBorder="1" applyAlignment="1">
      <alignment horizontal="center" wrapText="1"/>
    </xf>
    <xf numFmtId="166" fontId="0" fillId="0" borderId="0" xfId="0" applyNumberFormat="1"/>
    <xf numFmtId="2" fontId="0" fillId="0" borderId="0" xfId="0" applyNumberFormat="1" applyFill="1"/>
    <xf numFmtId="2" fontId="10" fillId="0" borderId="2" xfId="0" applyNumberFormat="1" applyFont="1" applyBorder="1" applyAlignment="1">
      <alignment horizontal="center" wrapText="1"/>
    </xf>
    <xf numFmtId="2" fontId="0" fillId="0" borderId="0" xfId="0" applyNumberFormat="1" applyFont="1" applyFill="1" applyAlignment="1">
      <alignment horizontal="right"/>
    </xf>
    <xf numFmtId="2" fontId="18" fillId="0" borderId="0" xfId="0" applyNumberFormat="1" applyFont="1" applyFill="1"/>
    <xf numFmtId="2" fontId="4" fillId="0" borderId="0" xfId="0" applyNumberFormat="1" applyFont="1" applyAlignment="1">
      <alignment horizontal="center" vertical="center" wrapText="1"/>
    </xf>
    <xf numFmtId="2" fontId="0" fillId="0" borderId="0" xfId="0" applyNumberFormat="1" applyFont="1" applyAlignment="1">
      <alignment horizontal="right"/>
    </xf>
    <xf numFmtId="167" fontId="0" fillId="0" borderId="0" xfId="0" applyNumberFormat="1" applyFill="1"/>
    <xf numFmtId="167" fontId="10" fillId="0" borderId="2" xfId="0" applyNumberFormat="1" applyFont="1" applyFill="1" applyBorder="1" applyAlignment="1">
      <alignment horizontal="center" wrapText="1"/>
    </xf>
    <xf numFmtId="167" fontId="0" fillId="0" borderId="0" xfId="0" applyNumberFormat="1" applyFont="1" applyFill="1" applyAlignment="1">
      <alignment horizontal="right"/>
    </xf>
    <xf numFmtId="1" fontId="0" fillId="0" borderId="0" xfId="0" applyNumberFormat="1"/>
    <xf numFmtId="1" fontId="10" fillId="0" borderId="2" xfId="0" applyNumberFormat="1" applyFont="1" applyBorder="1" applyAlignment="1">
      <alignment horizontal="center" wrapText="1"/>
    </xf>
    <xf numFmtId="1" fontId="0" fillId="0" borderId="0" xfId="0" applyNumberFormat="1" applyFont="1" applyAlignment="1">
      <alignment horizontal="right"/>
    </xf>
    <xf numFmtId="1" fontId="0" fillId="2" borderId="0" xfId="0" applyNumberFormat="1" applyFill="1" applyAlignment="1">
      <alignment horizontal="center"/>
    </xf>
    <xf numFmtId="1" fontId="4" fillId="0" borderId="0" xfId="0" applyNumberFormat="1" applyFont="1" applyAlignment="1">
      <alignment horizontal="center" vertical="center" wrapText="1"/>
    </xf>
    <xf numFmtId="1" fontId="0" fillId="4" borderId="0" xfId="0" applyNumberFormat="1" applyFill="1" applyAlignment="1">
      <alignment horizontal="center"/>
    </xf>
    <xf numFmtId="14" fontId="0" fillId="0" borderId="0" xfId="0" applyNumberFormat="1"/>
    <xf numFmtId="168" fontId="0" fillId="0" borderId="0" xfId="0" applyNumberFormat="1" applyAlignment="1">
      <alignment horizontal="right"/>
    </xf>
    <xf numFmtId="0" fontId="10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0" fontId="17" fillId="0" borderId="0" xfId="0" quotePrefix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0" fillId="2" borderId="0" xfId="0" applyFont="1" applyFill="1" applyAlignment="1">
      <alignment horizontal="center"/>
    </xf>
    <xf numFmtId="0" fontId="0" fillId="0" borderId="0" xfId="0" applyAlignment="1"/>
    <xf numFmtId="0" fontId="10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0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5" fillId="0" borderId="1" xfId="0" applyFont="1" applyBorder="1" applyAlignment="1">
      <alignment horizontal="center" vertical="center"/>
    </xf>
  </cellXfs>
  <cellStyles count="1">
    <cellStyle name="Normal" xfId="0" builtinId="0"/>
  </cellStyles>
  <dxfs count="11"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EB9C"/>
      <color rgb="FFFFC7CE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RawData!$B$2:$B$28</c:f>
              <c:numCache>
                <c:formatCode>General</c:formatCode>
                <c:ptCount val="27"/>
                <c:pt idx="0">
                  <c:v>10000</c:v>
                </c:pt>
                <c:pt idx="1">
                  <c:v>10020</c:v>
                </c:pt>
                <c:pt idx="2">
                  <c:v>10000</c:v>
                </c:pt>
                <c:pt idx="3">
                  <c:v>10000</c:v>
                </c:pt>
                <c:pt idx="4">
                  <c:v>10020</c:v>
                </c:pt>
                <c:pt idx="5">
                  <c:v>10020</c:v>
                </c:pt>
                <c:pt idx="6">
                  <c:v>10020</c:v>
                </c:pt>
                <c:pt idx="7">
                  <c:v>10000</c:v>
                </c:pt>
                <c:pt idx="8">
                  <c:v>10000</c:v>
                </c:pt>
                <c:pt idx="9">
                  <c:v>10000</c:v>
                </c:pt>
                <c:pt idx="10">
                  <c:v>10000</c:v>
                </c:pt>
                <c:pt idx="11">
                  <c:v>10000</c:v>
                </c:pt>
                <c:pt idx="12">
                  <c:v>10020</c:v>
                </c:pt>
                <c:pt idx="13">
                  <c:v>10020</c:v>
                </c:pt>
                <c:pt idx="14">
                  <c:v>10020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  <c:pt idx="21">
                  <c:v>10000</c:v>
                </c:pt>
                <c:pt idx="22">
                  <c:v>10020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500352"/>
        <c:axId val="215402368"/>
      </c:scatterChart>
      <c:valAx>
        <c:axId val="246500352"/>
        <c:scaling>
          <c:orientation val="minMax"/>
        </c:scaling>
        <c:delete val="0"/>
        <c:axPos val="b"/>
        <c:majorTickMark val="out"/>
        <c:minorTickMark val="none"/>
        <c:tickLblPos val="nextTo"/>
        <c:crossAx val="215402368"/>
        <c:crosses val="autoZero"/>
        <c:crossBetween val="midCat"/>
      </c:valAx>
      <c:valAx>
        <c:axId val="215402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65003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0</xdr:row>
          <xdr:rowOff>38100</xdr:rowOff>
        </xdr:from>
        <xdr:to>
          <xdr:col>7</xdr:col>
          <xdr:colOff>161925</xdr:colOff>
          <xdr:row>0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Actualizeaza Lista Loturi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2</xdr:col>
          <xdr:colOff>0</xdr:colOff>
          <xdr:row>0</xdr:row>
          <xdr:rowOff>285750</xdr:rowOff>
        </xdr:to>
        <xdr:sp macro="" textlink="">
          <xdr:nvSpPr>
            <xdr:cNvPr id="2050" name="cbFileSelec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406400</xdr:colOff>
      <xdr:row>30</xdr:row>
      <xdr:rowOff>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test_1" refreshOnLoad="1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697"/>
  <sheetViews>
    <sheetView tabSelected="1" zoomScaleNormal="100" zoomScaleSheetLayoutView="130" workbookViewId="0">
      <selection activeCell="C1" sqref="C1"/>
    </sheetView>
  </sheetViews>
  <sheetFormatPr defaultRowHeight="15" x14ac:dyDescent="0.25"/>
  <cols>
    <col min="1" max="1" width="34.7109375" customWidth="1"/>
    <col min="2" max="2" width="58.140625" style="7" customWidth="1"/>
    <col min="3" max="3" width="3.140625" style="4" bestFit="1" customWidth="1"/>
    <col min="4" max="4" width="1.5703125" style="4" customWidth="1"/>
    <col min="5" max="5" width="6.42578125" style="7" customWidth="1"/>
    <col min="6" max="6" width="10" style="49" customWidth="1"/>
    <col min="7" max="7" width="10.140625" style="7" customWidth="1"/>
    <col min="8" max="8" width="14.7109375" style="3" customWidth="1"/>
    <col min="9" max="9" width="11" style="64" customWidth="1"/>
    <col min="10" max="10" width="10.85546875" style="7" customWidth="1"/>
    <col min="11" max="11" width="11.5703125" style="3" customWidth="1"/>
    <col min="12" max="12" width="6.42578125" customWidth="1"/>
    <col min="13" max="13" width="14.85546875" style="3" bestFit="1" customWidth="1"/>
    <col min="14" max="14" width="11.28515625" style="3" bestFit="1" customWidth="1"/>
    <col min="15" max="15" width="6.42578125" style="64" customWidth="1"/>
    <col min="16" max="16" width="14.85546875" style="55" bestFit="1" customWidth="1"/>
    <col min="17" max="17" width="16" style="61" bestFit="1" customWidth="1"/>
    <col min="18" max="18" width="12" style="54" bestFit="1" customWidth="1"/>
    <col min="19" max="19" width="3" bestFit="1" customWidth="1"/>
    <col min="20" max="20" width="8.5703125" bestFit="1" customWidth="1"/>
    <col min="21" max="21" width="10.5703125" bestFit="1" customWidth="1"/>
    <col min="22" max="22" width="9.5703125" bestFit="1" customWidth="1"/>
    <col min="23" max="23" width="11.42578125" customWidth="1"/>
  </cols>
  <sheetData>
    <row r="1" spans="1:18" ht="24" customHeight="1" x14ac:dyDescent="0.25"/>
    <row r="2" spans="1:18" ht="38.25" customHeight="1" x14ac:dyDescent="0.25">
      <c r="A2" s="75" t="str">
        <f>IF(AND(OR(ES1_Status = "Ok",ES1_Status = "ES2 Necesar"), ES2_Status &lt;&gt; "Not Ok", ES3_Status = "Ok"), "Lot Acceptat","Lot Respins")</f>
        <v>Lot Acceptat</v>
      </c>
      <c r="B2" s="76"/>
      <c r="C2" s="5"/>
      <c r="D2" s="5"/>
      <c r="E2" s="3"/>
      <c r="F2" s="50" t="s">
        <v>62</v>
      </c>
      <c r="G2" s="30" t="s">
        <v>44</v>
      </c>
      <c r="H2" s="30" t="s">
        <v>46</v>
      </c>
      <c r="I2" s="68" t="s">
        <v>45</v>
      </c>
      <c r="J2" s="59" t="s">
        <v>47</v>
      </c>
    </row>
    <row r="3" spans="1:18" x14ac:dyDescent="0.25">
      <c r="A3" s="2" t="s">
        <v>2</v>
      </c>
      <c r="B3" s="7" t="str">
        <f>RawData!E1</f>
        <v>Margarita soft - Uleiuri in amestesc de palmier si floarea soarelui</v>
      </c>
      <c r="C3" s="3"/>
      <c r="D3" s="3"/>
      <c r="E3" s="3" t="s">
        <v>63</v>
      </c>
      <c r="F3" s="67">
        <f>IF(ML&lt;=100,ML,IF(ML&gt;3201,80, IF(ML&gt;=501,50, IF(ML&gt;100,30,ML))))</f>
        <v>29</v>
      </c>
      <c r="G3" s="32">
        <f>IF(ML=30,1, IF(ML=50,2, IF(ML=80,3,1)))</f>
        <v>1</v>
      </c>
      <c r="H3" s="35">
        <f>COUNTIF(K:K, "Not Ok")</f>
        <v>0</v>
      </c>
      <c r="I3" s="67">
        <f>IF(ML=30,3, IF(ML=50,5, IF(ML=80,7,3)))</f>
        <v>3</v>
      </c>
      <c r="J3" s="7" t="str">
        <f>IF(ML=0,"Not Ok",IF(CA_1&gt;=RN_1,"Ok",IF(RN_1&gt;=CR_1,"Not Ok",IF(ES_1=ML,"Not Ok","ES2 Necesar"))))</f>
        <v>Ok</v>
      </c>
    </row>
    <row r="4" spans="1:18" x14ac:dyDescent="0.25">
      <c r="A4" s="2" t="s">
        <v>1</v>
      </c>
      <c r="B4" s="22">
        <f>RawData!D1</f>
        <v>300001</v>
      </c>
      <c r="C4" s="3"/>
      <c r="D4" s="3"/>
      <c r="E4" s="3" t="s">
        <v>64</v>
      </c>
      <c r="F4" s="67">
        <v>0</v>
      </c>
      <c r="G4" s="33" t="str">
        <f>IF(ES1_Status="ES2 Necesar",IF(ML=30,4, IF(ML=50,6, IF(ML=80,8,4))),"")</f>
        <v/>
      </c>
      <c r="H4" s="36" t="str">
        <f>IF(ES1_Status="ES2 Necesar",COUNTIF(N:N, "Not Ok"),"")</f>
        <v/>
      </c>
      <c r="I4" s="69" t="str">
        <f>IF(ES1_Status="ES2 Necesar",IF(ML=30,5, IF(ML=50,7, IF(ML=80,9,5))),"")</f>
        <v/>
      </c>
      <c r="J4" s="7" t="str">
        <f>IF(ES1_Status="ES2 Necesar",IF(RN_1+RN_2&lt;=CA_2,"Ok","Not Ok"),"")</f>
        <v/>
      </c>
    </row>
    <row r="5" spans="1:18" x14ac:dyDescent="0.25">
      <c r="A5" s="2" t="s">
        <v>9</v>
      </c>
      <c r="B5" s="71">
        <f>RawData!I1</f>
        <v>43472</v>
      </c>
      <c r="E5" s="3" t="s">
        <v>65</v>
      </c>
      <c r="F5" s="67">
        <v>29</v>
      </c>
      <c r="G5" s="74"/>
      <c r="H5" s="74"/>
      <c r="I5" s="74"/>
      <c r="J5" s="7" t="str">
        <f>IF(ES_3=0,"Not Ok",IF(Xi&gt;=QnES3 - 0.503 * s,"Ok","Not Ok"))</f>
        <v>Ok</v>
      </c>
    </row>
    <row r="6" spans="1:18" x14ac:dyDescent="0.25">
      <c r="A6" s="2" t="s">
        <v>7</v>
      </c>
      <c r="B6" s="22">
        <v>29</v>
      </c>
      <c r="C6" s="3"/>
      <c r="D6" s="3"/>
      <c r="E6"/>
      <c r="F6" s="51"/>
      <c r="K6" s="37"/>
    </row>
    <row r="7" spans="1:18" x14ac:dyDescent="0.25">
      <c r="A7" s="2" t="s">
        <v>4</v>
      </c>
      <c r="B7" s="7">
        <f>IF(ISERROR(VALUE(RawData!G1)), LEFT(RawData!G1, FIND("Kg",RawData!G1)-1), RawData!G1/1000)</f>
        <v>10</v>
      </c>
      <c r="C7" s="3" t="s">
        <v>0</v>
      </c>
      <c r="D7" s="3"/>
      <c r="E7"/>
      <c r="H7" s="1"/>
    </row>
    <row r="8" spans="1:18" x14ac:dyDescent="0.25">
      <c r="A8" s="2" t="s">
        <v>3</v>
      </c>
      <c r="B8" s="7" t="str">
        <f>RawData!F1</f>
        <v>Galeata - 10 Kg</v>
      </c>
      <c r="C8" s="3"/>
      <c r="D8" s="3"/>
      <c r="E8"/>
      <c r="F8" s="51"/>
    </row>
    <row r="9" spans="1:18" x14ac:dyDescent="0.25">
      <c r="A9" t="s">
        <v>5</v>
      </c>
      <c r="B9" s="49">
        <f>IF(ISERROR(VALUE(RawData!H1)), LEFT(RawData!H1, FIND("Kg",RawData!H1)-1), RawData!H1/1000)</f>
        <v>0.32</v>
      </c>
      <c r="C9" s="6" t="s">
        <v>0</v>
      </c>
      <c r="E9"/>
      <c r="F9" s="51"/>
    </row>
    <row r="10" spans="1:18" x14ac:dyDescent="0.25">
      <c r="A10" s="2" t="s">
        <v>6</v>
      </c>
      <c r="B10" s="49">
        <v>0.15</v>
      </c>
      <c r="C10" s="6" t="s">
        <v>0</v>
      </c>
      <c r="E10"/>
      <c r="F10" s="51"/>
    </row>
    <row r="11" spans="1:18" x14ac:dyDescent="0.25">
      <c r="A11" s="2" t="s">
        <v>8</v>
      </c>
      <c r="B11" s="49">
        <f>Qn-ENT</f>
        <v>9.85</v>
      </c>
      <c r="C11" s="6" t="s">
        <v>0</v>
      </c>
      <c r="D11" s="6"/>
      <c r="E11" s="77" t="s">
        <v>58</v>
      </c>
      <c r="F11" s="78"/>
      <c r="G11" s="78"/>
      <c r="H11" s="78"/>
      <c r="I11" s="79" t="s">
        <v>59</v>
      </c>
      <c r="J11" s="80"/>
      <c r="K11" s="80"/>
      <c r="L11" s="81" t="s">
        <v>60</v>
      </c>
      <c r="M11" s="82"/>
      <c r="N11" s="82"/>
      <c r="O11" s="72" t="s">
        <v>61</v>
      </c>
      <c r="P11" s="73"/>
      <c r="Q11" s="73"/>
      <c r="R11" s="73"/>
    </row>
    <row r="12" spans="1:18" ht="90" x14ac:dyDescent="0.25">
      <c r="E12" s="47" t="s">
        <v>48</v>
      </c>
      <c r="F12" s="52" t="s">
        <v>49</v>
      </c>
      <c r="G12" s="47" t="s">
        <v>50</v>
      </c>
      <c r="H12" s="48" t="s">
        <v>88</v>
      </c>
      <c r="I12" s="65" t="s">
        <v>48</v>
      </c>
      <c r="J12" s="48" t="s">
        <v>72</v>
      </c>
      <c r="K12" s="47" t="s">
        <v>52</v>
      </c>
      <c r="L12" s="47" t="s">
        <v>48</v>
      </c>
      <c r="M12" s="47" t="s">
        <v>71</v>
      </c>
      <c r="N12" s="47" t="s">
        <v>53</v>
      </c>
      <c r="O12" s="65" t="s">
        <v>48</v>
      </c>
      <c r="P12" s="56" t="s">
        <v>73</v>
      </c>
      <c r="Q12" s="62" t="s">
        <v>74</v>
      </c>
      <c r="R12" s="53" t="s">
        <v>75</v>
      </c>
    </row>
    <row r="13" spans="1:18" ht="15" customHeight="1" x14ac:dyDescent="0.25">
      <c r="A13" s="2" t="s">
        <v>85</v>
      </c>
      <c r="B13" s="7" t="str">
        <f>ES1_Status</f>
        <v>Ok</v>
      </c>
      <c r="E13">
        <v>1</v>
      </c>
      <c r="F13">
        <v>10.32</v>
      </c>
      <c r="G13" t="s">
        <v>91</v>
      </c>
      <c r="H13" s="34" t="str">
        <f>IF(Qn-(F13-Ta)&gt;2*ENT,"Fara E","Ok")</f>
        <v>Ok</v>
      </c>
      <c r="I13" s="66">
        <f>E13</f>
        <v>1</v>
      </c>
      <c r="J13" s="60">
        <f>F13-Ta</f>
        <v>10</v>
      </c>
      <c r="K13" s="34" t="str">
        <f>IF(J13&gt;=CMA,"Ok","Not Ok")</f>
        <v>Ok</v>
      </c>
      <c r="L13" s="34"/>
      <c r="M13" s="34"/>
      <c r="N13" s="34"/>
      <c r="O13" s="66">
        <f>E13</f>
        <v>1</v>
      </c>
      <c r="P13" s="57">
        <f>F13-Ta</f>
        <v>10</v>
      </c>
      <c r="Q13" s="63">
        <f>P13-Xi</f>
        <v>-6.8965517241377228E-3</v>
      </c>
      <c r="R13" s="54">
        <f>POWER(Q13,2)</f>
        <v>4.7562425683706996E-5</v>
      </c>
    </row>
    <row r="14" spans="1:18" ht="14.25" customHeight="1" x14ac:dyDescent="0.25">
      <c r="A14" s="2" t="s">
        <v>86</v>
      </c>
      <c r="B14" s="7" t="str">
        <f>ES2_Status</f>
        <v/>
      </c>
      <c r="E14">
        <v>2</v>
      </c>
      <c r="F14">
        <v>10.34</v>
      </c>
      <c r="G14" t="s">
        <v>92</v>
      </c>
      <c r="H14" s="34" t="str">
        <f>IF(Qn-(F14-Ta)&gt;2*ENT,"Fara E","Ok")</f>
        <v>Ok</v>
      </c>
      <c r="I14" s="66">
        <f>E14</f>
        <v>2</v>
      </c>
      <c r="J14" s="60">
        <f>F14-Ta</f>
        <v>10.02</v>
      </c>
      <c r="K14" s="34" t="str">
        <f>IF(J14&gt;=CMA,"Ok","Not Ok")</f>
        <v>Ok</v>
      </c>
      <c r="L14" s="34"/>
      <c r="M14" s="34"/>
      <c r="N14" s="34"/>
      <c r="O14" s="66">
        <f>E14</f>
        <v>2</v>
      </c>
      <c r="P14" s="57">
        <f>F14-Ta</f>
        <v>10.02</v>
      </c>
      <c r="Q14" s="63">
        <f>P14-Xi</f>
        <v>1.3103448275861851E-2</v>
      </c>
      <c r="R14" s="54">
        <f>POWER(Q14,2)</f>
        <v>1.7170035671818692E-4</v>
      </c>
    </row>
    <row r="15" spans="1:18" x14ac:dyDescent="0.25">
      <c r="A15" s="2" t="s">
        <v>87</v>
      </c>
      <c r="B15" s="7" t="str">
        <f>ES3_Status</f>
        <v>Ok</v>
      </c>
      <c r="E15">
        <v>3</v>
      </c>
      <c r="F15">
        <v>10.32</v>
      </c>
      <c r="G15" t="s">
        <v>93</v>
      </c>
      <c r="H15" s="34" t="str">
        <f>IF(Qn-(F15-Ta)&gt;2*ENT,"Fara E","Ok")</f>
        <v>Ok</v>
      </c>
      <c r="I15" s="66">
        <f>E15</f>
        <v>3</v>
      </c>
      <c r="J15" s="60">
        <f>F15-Ta</f>
        <v>10</v>
      </c>
      <c r="K15" s="34" t="str">
        <f>IF(J15&gt;=CMA,"Ok","Not Ok")</f>
        <v>Ok</v>
      </c>
      <c r="L15" s="34"/>
      <c r="M15" s="34"/>
      <c r="N15" s="34"/>
      <c r="O15" s="66">
        <f>E15</f>
        <v>3</v>
      </c>
      <c r="P15" s="57">
        <f>F15-Ta</f>
        <v>10</v>
      </c>
      <c r="Q15" s="63">
        <f>P15-Xi</f>
        <v>-6.8965517241377228E-3</v>
      </c>
      <c r="R15" s="54">
        <f>POWER(Q15,2)</f>
        <v>4.7562425683706996E-5</v>
      </c>
    </row>
    <row r="16" spans="1:18" ht="14.25" customHeight="1" x14ac:dyDescent="0.25">
      <c r="E16">
        <v>4</v>
      </c>
      <c r="F16">
        <v>10.32</v>
      </c>
      <c r="G16" t="s">
        <v>94</v>
      </c>
      <c r="H16" s="34" t="str">
        <f>IF(Qn-(F16-Ta)&gt;2*ENT,"Fara E","Ok")</f>
        <v>Ok</v>
      </c>
      <c r="I16" s="66">
        <f>E16</f>
        <v>4</v>
      </c>
      <c r="J16" s="60">
        <f>F16-Ta</f>
        <v>10</v>
      </c>
      <c r="K16" s="34" t="str">
        <f>IF(J16&gt;=CMA,"Ok","Not Ok")</f>
        <v>Ok</v>
      </c>
      <c r="L16" s="34"/>
      <c r="M16" s="34"/>
      <c r="N16" s="34"/>
      <c r="O16" s="66">
        <f>E16</f>
        <v>4</v>
      </c>
      <c r="P16" s="57">
        <f>F16-Ta</f>
        <v>10</v>
      </c>
      <c r="Q16" s="63">
        <f>P16-Xi</f>
        <v>-6.8965517241377228E-3</v>
      </c>
      <c r="R16" s="54">
        <f>POWER(Q16,2)</f>
        <v>4.7562425683706996E-5</v>
      </c>
    </row>
    <row r="17" spans="1:18" x14ac:dyDescent="0.25">
      <c r="E17">
        <v>5</v>
      </c>
      <c r="F17">
        <v>10.34</v>
      </c>
      <c r="G17" t="s">
        <v>95</v>
      </c>
      <c r="H17" s="34" t="str">
        <f>IF(Qn-(F17-Ta)&gt;2*ENT,"Fara E","Ok")</f>
        <v>Ok</v>
      </c>
      <c r="I17" s="66">
        <f>E17</f>
        <v>5</v>
      </c>
      <c r="J17" s="60">
        <f>F17-Ta</f>
        <v>10.02</v>
      </c>
      <c r="K17" s="34" t="str">
        <f>IF(J17&gt;=CMA,"Ok","Not Ok")</f>
        <v>Ok</v>
      </c>
      <c r="L17" s="34"/>
      <c r="M17" s="34"/>
      <c r="N17" s="34"/>
      <c r="O17" s="66">
        <f>E17</f>
        <v>5</v>
      </c>
      <c r="P17" s="57">
        <f>F17-Ta</f>
        <v>10.02</v>
      </c>
      <c r="Q17" s="63">
        <f>P17-Xi</f>
        <v>1.3103448275861851E-2</v>
      </c>
      <c r="R17" s="54">
        <f>POWER(Q17,2)</f>
        <v>1.7170035671818692E-4</v>
      </c>
    </row>
    <row r="18" spans="1:18" ht="15" customHeight="1" x14ac:dyDescent="0.25">
      <c r="A18" s="38" t="s">
        <v>66</v>
      </c>
      <c r="B18" s="39"/>
      <c r="E18">
        <v>6</v>
      </c>
      <c r="F18">
        <v>10.34</v>
      </c>
      <c r="G18" t="s">
        <v>96</v>
      </c>
      <c r="H18" s="3" t="str">
        <f>IF(Qn-(F18-Ta)&gt;2*ENT,"Fara E","Ok")</f>
        <v>Ok</v>
      </c>
      <c r="I18" s="64">
        <f>E18</f>
        <v>6</v>
      </c>
      <c r="J18" s="7">
        <f>F18-Ta</f>
        <v>10.02</v>
      </c>
      <c r="K18" s="3" t="str">
        <f>IF(J18&gt;=CMA,"Ok","Not Ok")</f>
        <v>Ok</v>
      </c>
      <c r="O18" s="64">
        <f>E18</f>
        <v>6</v>
      </c>
      <c r="P18" s="55">
        <f>F18-Ta</f>
        <v>10.02</v>
      </c>
      <c r="Q18" s="61">
        <f>P18-Xi</f>
        <v>1.3103448275861851E-2</v>
      </c>
      <c r="R18" s="54">
        <f>POWER(Q18,2)</f>
        <v>1.7170035671818692E-4</v>
      </c>
    </row>
    <row r="19" spans="1:18" x14ac:dyDescent="0.25">
      <c r="A19" s="45" t="s">
        <v>34</v>
      </c>
      <c r="B19" s="28">
        <f>AVERAGE(P13:P42)</f>
        <v>10.006896551724138</v>
      </c>
      <c r="E19">
        <v>7</v>
      </c>
      <c r="F19">
        <v>10.34</v>
      </c>
      <c r="G19" t="s">
        <v>97</v>
      </c>
      <c r="H19" s="3" t="str">
        <f>IF(Qn-(F19-Ta)&gt;2*ENT,"Fara E","Ok")</f>
        <v>Ok</v>
      </c>
      <c r="I19" s="64">
        <f>E19</f>
        <v>7</v>
      </c>
      <c r="J19" s="7">
        <f>F19-Ta</f>
        <v>10.02</v>
      </c>
      <c r="K19" s="3" t="str">
        <f>IF(J19&gt;=CMA,"Ok","Not Ok")</f>
        <v>Ok</v>
      </c>
      <c r="O19" s="64">
        <f>E19</f>
        <v>7</v>
      </c>
      <c r="P19" s="58">
        <f>F19-Ta</f>
        <v>10.02</v>
      </c>
      <c r="Q19" s="61">
        <f>P19-Xi</f>
        <v>1.3103448275861851E-2</v>
      </c>
      <c r="R19" s="54">
        <f>POWER(Q19,2)</f>
        <v>1.7170035671818692E-4</v>
      </c>
    </row>
    <row r="20" spans="1:18" ht="17.25" x14ac:dyDescent="0.25">
      <c r="A20" s="46" t="s">
        <v>36</v>
      </c>
      <c r="B20" s="28">
        <f>SUM(R13,R41)</f>
        <v>9.5124851367413992E-5</v>
      </c>
      <c r="E20">
        <v>8</v>
      </c>
      <c r="F20">
        <v>10.32</v>
      </c>
      <c r="G20" t="s">
        <v>98</v>
      </c>
      <c r="H20" s="3" t="str">
        <f>IF(Qn-(F20-Ta)&gt;2*ENT,"Fara E","Ok")</f>
        <v>Ok</v>
      </c>
      <c r="I20" s="64">
        <f>E20</f>
        <v>8</v>
      </c>
      <c r="J20" s="7">
        <f>F20-Ta</f>
        <v>10</v>
      </c>
      <c r="K20" s="3" t="str">
        <f>IF(J20&gt;=CMA,"Ok","Not Ok")</f>
        <v>Ok</v>
      </c>
      <c r="O20" s="64">
        <f>E20</f>
        <v>8</v>
      </c>
      <c r="P20" s="55">
        <f>F20-Ta</f>
        <v>10</v>
      </c>
      <c r="Q20" s="61">
        <f>P20-Xi</f>
        <v>-6.8965517241377228E-3</v>
      </c>
      <c r="R20" s="54">
        <f>POWER(Q20,2)</f>
        <v>4.7562425683706996E-5</v>
      </c>
    </row>
    <row r="21" spans="1:18" x14ac:dyDescent="0.25">
      <c r="A21" s="29" t="s">
        <v>35</v>
      </c>
      <c r="B21" s="28">
        <f>SQRT(SumOfSquares/(ES_3-1))</f>
        <v>1.8431809787063194E-3</v>
      </c>
      <c r="E21">
        <v>9</v>
      </c>
      <c r="F21">
        <v>10.32</v>
      </c>
      <c r="G21" t="s">
        <v>99</v>
      </c>
      <c r="H21" s="3" t="str">
        <f>IF(Qn-(F21-Ta)&gt;2*ENT,"Fara E","Ok")</f>
        <v>Ok</v>
      </c>
      <c r="I21" s="64">
        <f>E21</f>
        <v>9</v>
      </c>
      <c r="J21" s="7">
        <f>F21-Ta</f>
        <v>10</v>
      </c>
      <c r="K21" s="3" t="str">
        <f>IF(J21&gt;=CMA,"Ok","Not Ok")</f>
        <v>Ok</v>
      </c>
      <c r="O21" s="64">
        <f>E21</f>
        <v>9</v>
      </c>
      <c r="P21" s="55">
        <f>F21-Ta</f>
        <v>10</v>
      </c>
      <c r="Q21" s="61">
        <f>P21-Xi</f>
        <v>-6.8965517241377228E-3</v>
      </c>
      <c r="R21" s="54">
        <f>POWER(Q21,2)</f>
        <v>4.7562425683706996E-5</v>
      </c>
    </row>
    <row r="22" spans="1:18" x14ac:dyDescent="0.25">
      <c r="A22" s="45" t="s">
        <v>54</v>
      </c>
      <c r="B22" s="28">
        <f>s/SQRT(ES_3)*0.995</f>
        <v>3.4055876458656748E-4</v>
      </c>
      <c r="E22">
        <v>10</v>
      </c>
      <c r="F22">
        <v>10.32</v>
      </c>
      <c r="G22" t="s">
        <v>100</v>
      </c>
      <c r="H22" s="3" t="str">
        <f>IF(Qn-(F22-Ta)&gt;2*ENT,"Fara E","Ok")</f>
        <v>Ok</v>
      </c>
      <c r="I22" s="64">
        <f>E22</f>
        <v>10</v>
      </c>
      <c r="J22" s="7">
        <f>F22-Ta</f>
        <v>10</v>
      </c>
      <c r="K22" s="3" t="str">
        <f>IF(J22&gt;=CMA,"Ok","Not Ok")</f>
        <v>Ok</v>
      </c>
      <c r="O22" s="64">
        <f>E22</f>
        <v>10</v>
      </c>
      <c r="P22" s="55">
        <f>F22-Ta</f>
        <v>10</v>
      </c>
      <c r="Q22" s="61">
        <f>P22-Xi</f>
        <v>-6.8965517241377228E-3</v>
      </c>
      <c r="R22" s="54">
        <f>POWER(Q22,2)</f>
        <v>4.7562425683706996E-5</v>
      </c>
    </row>
    <row r="23" spans="1:18" x14ac:dyDescent="0.25">
      <c r="A23" s="2"/>
      <c r="E23">
        <v>11</v>
      </c>
      <c r="F23">
        <v>10.32</v>
      </c>
      <c r="G23" t="s">
        <v>101</v>
      </c>
      <c r="H23" s="3" t="str">
        <f>IF(Qn-(F23-Ta)&gt;2*ENT,"Fara E","Ok")</f>
        <v>Ok</v>
      </c>
      <c r="I23" s="64">
        <f>E23</f>
        <v>11</v>
      </c>
      <c r="J23" s="7">
        <f>F23-Ta</f>
        <v>10</v>
      </c>
      <c r="K23" s="3" t="str">
        <f>IF(J23&gt;=CMA,"Ok","Not Ok")</f>
        <v>Ok</v>
      </c>
      <c r="O23" s="64">
        <f>E23</f>
        <v>11</v>
      </c>
      <c r="P23" s="55">
        <f>F23-Ta</f>
        <v>10</v>
      </c>
      <c r="Q23" s="61">
        <f>P23-Xi</f>
        <v>-6.8965517241377228E-3</v>
      </c>
      <c r="R23" s="54">
        <f>POWER(Q23,2)</f>
        <v>4.7562425683706996E-5</v>
      </c>
    </row>
    <row r="24" spans="1:18" x14ac:dyDescent="0.25">
      <c r="E24">
        <v>12</v>
      </c>
      <c r="F24">
        <v>10.32</v>
      </c>
      <c r="G24" t="s">
        <v>102</v>
      </c>
      <c r="H24" s="3" t="str">
        <f>IF(Qn-(F24-Ta)&gt;2*ENT,"Fara E","Ok")</f>
        <v>Ok</v>
      </c>
      <c r="I24" s="64">
        <f>E24</f>
        <v>12</v>
      </c>
      <c r="J24" s="7">
        <f>F24-Ta</f>
        <v>10</v>
      </c>
      <c r="K24" s="3" t="str">
        <f>IF(J24&gt;=CMA,"Ok","Not Ok")</f>
        <v>Ok</v>
      </c>
      <c r="O24" s="64">
        <f>E24</f>
        <v>12</v>
      </c>
      <c r="P24" s="55">
        <f>F24-Ta</f>
        <v>10</v>
      </c>
      <c r="Q24" s="61">
        <f>P24-Xi</f>
        <v>-6.8965517241377228E-3</v>
      </c>
      <c r="R24" s="54">
        <f>POWER(Q24,2)</f>
        <v>4.7562425683706996E-5</v>
      </c>
    </row>
    <row r="25" spans="1:18" x14ac:dyDescent="0.25">
      <c r="E25">
        <v>13</v>
      </c>
      <c r="F25">
        <v>10.34</v>
      </c>
      <c r="G25" t="s">
        <v>103</v>
      </c>
      <c r="H25" s="3" t="str">
        <f>IF(Qn-(F25-Ta)&gt;2*ENT,"Fara E","Ok")</f>
        <v>Ok</v>
      </c>
      <c r="I25" s="64">
        <f>E25</f>
        <v>13</v>
      </c>
      <c r="J25" s="7">
        <f>F25-Ta</f>
        <v>10.02</v>
      </c>
      <c r="K25" s="3" t="str">
        <f>IF(J25&gt;=CMA,"Ok","Not Ok")</f>
        <v>Ok</v>
      </c>
      <c r="O25" s="64">
        <f>E25</f>
        <v>13</v>
      </c>
      <c r="P25" s="55">
        <f>F25-Ta</f>
        <v>10.02</v>
      </c>
      <c r="Q25" s="61">
        <f>P25-Xi</f>
        <v>1.3103448275861851E-2</v>
      </c>
      <c r="R25" s="54">
        <f>POWER(Q25,2)</f>
        <v>1.7170035671818692E-4</v>
      </c>
    </row>
    <row r="26" spans="1:18" x14ac:dyDescent="0.25">
      <c r="E26">
        <v>14</v>
      </c>
      <c r="F26">
        <v>10.34</v>
      </c>
      <c r="G26" t="s">
        <v>104</v>
      </c>
      <c r="H26" s="3" t="str">
        <f>IF(Qn-(F26-Ta)&gt;2*ENT,"Fara E","Ok")</f>
        <v>Ok</v>
      </c>
      <c r="I26" s="64">
        <f>E26</f>
        <v>14</v>
      </c>
      <c r="J26" s="7">
        <f>F26-Ta</f>
        <v>10.02</v>
      </c>
      <c r="K26" s="3" t="str">
        <f>IF(J26&gt;=CMA,"Ok","Not Ok")</f>
        <v>Ok</v>
      </c>
      <c r="O26" s="64">
        <f>E26</f>
        <v>14</v>
      </c>
      <c r="P26" s="55">
        <f>F26-Ta</f>
        <v>10.02</v>
      </c>
      <c r="Q26" s="61">
        <f>P26-Xi</f>
        <v>1.3103448275861851E-2</v>
      </c>
      <c r="R26" s="54">
        <f>POWER(Q26,2)</f>
        <v>1.7170035671818692E-4</v>
      </c>
    </row>
    <row r="27" spans="1:18" x14ac:dyDescent="0.25">
      <c r="E27">
        <v>15</v>
      </c>
      <c r="F27">
        <v>10.34</v>
      </c>
      <c r="G27" t="s">
        <v>105</v>
      </c>
      <c r="H27" s="3" t="str">
        <f>IF(Qn-(F27-Ta)&gt;2*ENT,"Fara E","Ok")</f>
        <v>Ok</v>
      </c>
      <c r="I27" s="64">
        <f>E27</f>
        <v>15</v>
      </c>
      <c r="J27" s="7">
        <f>F27-Ta</f>
        <v>10.02</v>
      </c>
      <c r="K27" s="3" t="str">
        <f>IF(J27&gt;=CMA,"Ok","Not Ok")</f>
        <v>Ok</v>
      </c>
      <c r="O27" s="64">
        <f>E27</f>
        <v>15</v>
      </c>
      <c r="P27" s="55">
        <f>F27-Ta</f>
        <v>10.02</v>
      </c>
      <c r="Q27" s="61">
        <f>P27-Xi</f>
        <v>1.3103448275861851E-2</v>
      </c>
      <c r="R27" s="54">
        <f>POWER(Q27,2)</f>
        <v>1.7170035671818692E-4</v>
      </c>
    </row>
    <row r="28" spans="1:18" x14ac:dyDescent="0.25">
      <c r="E28">
        <v>16</v>
      </c>
      <c r="F28">
        <v>10.32</v>
      </c>
      <c r="G28" t="s">
        <v>106</v>
      </c>
      <c r="H28" s="3" t="str">
        <f>IF(Qn-(F28-Ta)&gt;2*ENT,"Fara E","Ok")</f>
        <v>Ok</v>
      </c>
      <c r="I28" s="64">
        <f>E28</f>
        <v>16</v>
      </c>
      <c r="J28" s="7">
        <f>F28-Ta</f>
        <v>10</v>
      </c>
      <c r="K28" s="3" t="str">
        <f>IF(J28&gt;=CMA,"Ok","Not Ok")</f>
        <v>Ok</v>
      </c>
      <c r="O28" s="64">
        <f>E28</f>
        <v>16</v>
      </c>
      <c r="P28" s="55">
        <f>F28-Ta</f>
        <v>10</v>
      </c>
      <c r="Q28" s="61">
        <f>P28-Xi</f>
        <v>-6.8965517241377228E-3</v>
      </c>
      <c r="R28" s="54">
        <f>POWER(Q28,2)</f>
        <v>4.7562425683706996E-5</v>
      </c>
    </row>
    <row r="29" spans="1:18" x14ac:dyDescent="0.25">
      <c r="E29">
        <v>17</v>
      </c>
      <c r="F29">
        <v>10.32</v>
      </c>
      <c r="G29" t="s">
        <v>107</v>
      </c>
      <c r="H29" s="3" t="str">
        <f>IF(Qn-(F29-Ta)&gt;2*ENT,"Fara E","Ok")</f>
        <v>Ok</v>
      </c>
      <c r="I29" s="64">
        <f>E29</f>
        <v>17</v>
      </c>
      <c r="J29" s="7">
        <f>F29-Ta</f>
        <v>10</v>
      </c>
      <c r="K29" s="3" t="str">
        <f>IF(J29&gt;=CMA,"Ok","Not Ok")</f>
        <v>Ok</v>
      </c>
      <c r="O29" s="64">
        <f>E29</f>
        <v>17</v>
      </c>
      <c r="P29" s="55">
        <f>F29-Ta</f>
        <v>10</v>
      </c>
      <c r="Q29" s="61">
        <f>P29-Xi</f>
        <v>-6.8965517241377228E-3</v>
      </c>
      <c r="R29" s="54">
        <f>POWER(Q29,2)</f>
        <v>4.7562425683706996E-5</v>
      </c>
    </row>
    <row r="30" spans="1:18" x14ac:dyDescent="0.25">
      <c r="E30">
        <v>18</v>
      </c>
      <c r="F30">
        <v>10.32</v>
      </c>
      <c r="G30" t="s">
        <v>108</v>
      </c>
      <c r="H30" s="3" t="str">
        <f>IF(Qn-(F30-Ta)&gt;2*ENT,"Fara E","Ok")</f>
        <v>Ok</v>
      </c>
      <c r="I30" s="64">
        <f>E30</f>
        <v>18</v>
      </c>
      <c r="J30" s="7">
        <f>F30-Ta</f>
        <v>10</v>
      </c>
      <c r="K30" s="3" t="str">
        <f>IF(J30&gt;=CMA,"Ok","Not Ok")</f>
        <v>Ok</v>
      </c>
      <c r="O30" s="64">
        <f>E30</f>
        <v>18</v>
      </c>
      <c r="P30" s="55">
        <f>F30-Ta</f>
        <v>10</v>
      </c>
      <c r="Q30" s="61">
        <f>P30-Xi</f>
        <v>-6.8965517241377228E-3</v>
      </c>
      <c r="R30" s="54">
        <f>POWER(Q30,2)</f>
        <v>4.7562425683706996E-5</v>
      </c>
    </row>
    <row r="31" spans="1:18" x14ac:dyDescent="0.25">
      <c r="E31">
        <v>19</v>
      </c>
      <c r="F31">
        <v>10.32</v>
      </c>
      <c r="G31" t="s">
        <v>109</v>
      </c>
      <c r="H31" s="3" t="str">
        <f>IF(Qn-(F31-Ta)&gt;2*ENT,"Fara E","Ok")</f>
        <v>Ok</v>
      </c>
      <c r="I31" s="64">
        <f>E31</f>
        <v>19</v>
      </c>
      <c r="J31" s="7">
        <f>F31-Ta</f>
        <v>10</v>
      </c>
      <c r="K31" s="3" t="str">
        <f>IF(J31&gt;=CMA,"Ok","Not Ok")</f>
        <v>Ok</v>
      </c>
      <c r="O31" s="64">
        <f>E31</f>
        <v>19</v>
      </c>
      <c r="P31" s="55">
        <f>F31-Ta</f>
        <v>10</v>
      </c>
      <c r="Q31" s="61">
        <f>P31-Xi</f>
        <v>-6.8965517241377228E-3</v>
      </c>
      <c r="R31" s="54">
        <f>POWER(Q31,2)</f>
        <v>4.7562425683706996E-5</v>
      </c>
    </row>
    <row r="32" spans="1:18" x14ac:dyDescent="0.25">
      <c r="E32">
        <v>20</v>
      </c>
      <c r="F32">
        <v>10.32</v>
      </c>
      <c r="G32" t="s">
        <v>110</v>
      </c>
      <c r="H32" s="3" t="str">
        <f>IF(Qn-(F32-Ta)&gt;2*ENT,"Fara E","Ok")</f>
        <v>Ok</v>
      </c>
      <c r="I32" s="64">
        <f>E32</f>
        <v>20</v>
      </c>
      <c r="J32" s="7">
        <f>F32-Ta</f>
        <v>10</v>
      </c>
      <c r="K32" s="3" t="str">
        <f>IF(J32&gt;=CMA,"Ok","Not Ok")</f>
        <v>Ok</v>
      </c>
      <c r="O32" s="64">
        <f>E32</f>
        <v>20</v>
      </c>
      <c r="P32" s="55">
        <f>F32-Ta</f>
        <v>10</v>
      </c>
      <c r="Q32" s="61">
        <f>P32-Xi</f>
        <v>-6.8965517241377228E-3</v>
      </c>
      <c r="R32" s="54">
        <f>POWER(Q32,2)</f>
        <v>4.7562425683706996E-5</v>
      </c>
    </row>
    <row r="33" spans="5:18" x14ac:dyDescent="0.25">
      <c r="E33">
        <v>21</v>
      </c>
      <c r="F33">
        <v>10.32</v>
      </c>
      <c r="G33" t="s">
        <v>111</v>
      </c>
      <c r="H33" s="3" t="str">
        <f>IF(Qn-(F33-Ta)&gt;2*ENT,"Fara E","Ok")</f>
        <v>Ok</v>
      </c>
      <c r="I33" s="64">
        <f>E33</f>
        <v>21</v>
      </c>
      <c r="J33" s="7">
        <f>F33-Ta</f>
        <v>10</v>
      </c>
      <c r="K33" s="3" t="str">
        <f>IF(J33&gt;=CMA,"Ok","Not Ok")</f>
        <v>Ok</v>
      </c>
      <c r="O33" s="64">
        <f>E33</f>
        <v>21</v>
      </c>
      <c r="P33" s="55">
        <f>F33-Ta</f>
        <v>10</v>
      </c>
      <c r="Q33" s="61">
        <f>P33-Xi</f>
        <v>-6.8965517241377228E-3</v>
      </c>
      <c r="R33" s="54">
        <f>POWER(Q33,2)</f>
        <v>4.7562425683706996E-5</v>
      </c>
    </row>
    <row r="34" spans="5:18" x14ac:dyDescent="0.25">
      <c r="E34">
        <v>22</v>
      </c>
      <c r="F34">
        <v>10.32</v>
      </c>
      <c r="G34" t="s">
        <v>112</v>
      </c>
      <c r="H34" s="3" t="str">
        <f>IF(Qn-(F34-Ta)&gt;2*ENT,"Fara E","Ok")</f>
        <v>Ok</v>
      </c>
      <c r="I34" s="64">
        <f>E34</f>
        <v>22</v>
      </c>
      <c r="J34" s="7">
        <f>F34-Ta</f>
        <v>10</v>
      </c>
      <c r="K34" s="3" t="str">
        <f>IF(J34&gt;=CMA,"Ok","Not Ok")</f>
        <v>Ok</v>
      </c>
      <c r="O34" s="64">
        <f>E34</f>
        <v>22</v>
      </c>
      <c r="P34" s="55">
        <f>F34-Ta</f>
        <v>10</v>
      </c>
      <c r="Q34" s="61">
        <f>P34-Xi</f>
        <v>-6.8965517241377228E-3</v>
      </c>
      <c r="R34" s="54">
        <f>POWER(Q34,2)</f>
        <v>4.7562425683706996E-5</v>
      </c>
    </row>
    <row r="35" spans="5:18" x14ac:dyDescent="0.25">
      <c r="E35">
        <v>23</v>
      </c>
      <c r="F35">
        <v>10.34</v>
      </c>
      <c r="G35" t="s">
        <v>113</v>
      </c>
      <c r="H35" s="3" t="str">
        <f>IF(Qn-(F35-Ta)&gt;2*ENT,"Fara E","Ok")</f>
        <v>Ok</v>
      </c>
      <c r="I35" s="64">
        <f>E35</f>
        <v>23</v>
      </c>
      <c r="J35" s="7">
        <f>F35-Ta</f>
        <v>10.02</v>
      </c>
      <c r="K35" s="3" t="str">
        <f>IF(J35&gt;=CMA,"Ok","Not Ok")</f>
        <v>Ok</v>
      </c>
      <c r="O35" s="64">
        <f>E35</f>
        <v>23</v>
      </c>
      <c r="P35" s="55">
        <f>F35-Ta</f>
        <v>10.02</v>
      </c>
      <c r="Q35" s="61">
        <f>P35-Xi</f>
        <v>1.3103448275861851E-2</v>
      </c>
      <c r="R35" s="54">
        <f>POWER(Q35,2)</f>
        <v>1.7170035671818692E-4</v>
      </c>
    </row>
    <row r="36" spans="5:18" x14ac:dyDescent="0.25">
      <c r="E36">
        <v>24</v>
      </c>
      <c r="F36">
        <v>10.32</v>
      </c>
      <c r="G36" t="s">
        <v>114</v>
      </c>
      <c r="H36" s="3" t="str">
        <f>IF(Qn-(F36-Ta)&gt;2*ENT,"Fara E","Ok")</f>
        <v>Ok</v>
      </c>
      <c r="I36" s="64">
        <f>E36</f>
        <v>24</v>
      </c>
      <c r="J36" s="7">
        <f>F36-Ta</f>
        <v>10</v>
      </c>
      <c r="K36" s="3" t="str">
        <f>IF(J36&gt;=CMA,"Ok","Not Ok")</f>
        <v>Ok</v>
      </c>
      <c r="O36" s="64">
        <f>E36</f>
        <v>24</v>
      </c>
      <c r="P36" s="55">
        <f>F36-Ta</f>
        <v>10</v>
      </c>
      <c r="Q36" s="61">
        <f>P36-Xi</f>
        <v>-6.8965517241377228E-3</v>
      </c>
      <c r="R36" s="54">
        <f>POWER(Q36,2)</f>
        <v>4.7562425683706996E-5</v>
      </c>
    </row>
    <row r="37" spans="5:18" x14ac:dyDescent="0.25">
      <c r="E37">
        <v>25</v>
      </c>
      <c r="F37">
        <v>10.32</v>
      </c>
      <c r="G37" t="s">
        <v>115</v>
      </c>
      <c r="H37" s="3" t="str">
        <f>IF(Qn-(F37-Ta)&gt;2*ENT,"Fara E","Ok")</f>
        <v>Ok</v>
      </c>
      <c r="I37" s="64">
        <f>E37</f>
        <v>25</v>
      </c>
      <c r="J37" s="7">
        <f>F37-Ta</f>
        <v>10</v>
      </c>
      <c r="K37" s="3" t="str">
        <f>IF(J37&gt;=CMA,"Ok","Not Ok")</f>
        <v>Ok</v>
      </c>
      <c r="O37" s="64">
        <f>E37</f>
        <v>25</v>
      </c>
      <c r="P37" s="55">
        <f>F37-Ta</f>
        <v>10</v>
      </c>
      <c r="Q37" s="61">
        <f>P37-Xi</f>
        <v>-6.8965517241377228E-3</v>
      </c>
      <c r="R37" s="54">
        <f>POWER(Q37,2)</f>
        <v>4.7562425683706996E-5</v>
      </c>
    </row>
    <row r="38" spans="5:18" x14ac:dyDescent="0.25">
      <c r="E38">
        <v>26</v>
      </c>
      <c r="F38">
        <v>10.32</v>
      </c>
      <c r="G38" t="s">
        <v>116</v>
      </c>
      <c r="H38" s="3" t="str">
        <f>IF(Qn-(F38-Ta)&gt;2*ENT,"Fara E","Ok")</f>
        <v>Ok</v>
      </c>
      <c r="I38" s="64">
        <f>E38</f>
        <v>26</v>
      </c>
      <c r="J38" s="7">
        <f>F38-Ta</f>
        <v>10</v>
      </c>
      <c r="K38" s="3" t="str">
        <f>IF(J38&gt;=CMA,"Ok","Not Ok")</f>
        <v>Ok</v>
      </c>
      <c r="O38" s="64">
        <f>E38</f>
        <v>26</v>
      </c>
      <c r="P38" s="55">
        <f>F38-Ta</f>
        <v>10</v>
      </c>
      <c r="Q38" s="61">
        <f>P38-Xi</f>
        <v>-6.8965517241377228E-3</v>
      </c>
      <c r="R38" s="54">
        <f>POWER(Q38,2)</f>
        <v>4.7562425683706996E-5</v>
      </c>
    </row>
    <row r="39" spans="5:18" x14ac:dyDescent="0.25">
      <c r="E39">
        <v>27</v>
      </c>
      <c r="F39">
        <v>10.34</v>
      </c>
      <c r="G39" t="s">
        <v>117</v>
      </c>
      <c r="H39" s="3" t="str">
        <f>IF(Qn-(F39-Ta)&gt;2*ENT,"Fara E","Ok")</f>
        <v>Ok</v>
      </c>
      <c r="I39" s="64">
        <f>E39</f>
        <v>27</v>
      </c>
      <c r="J39" s="7">
        <f>F39-Ta</f>
        <v>10.02</v>
      </c>
      <c r="K39" s="3" t="str">
        <f>IF(J39&gt;=CMA,"Ok","Not Ok")</f>
        <v>Ok</v>
      </c>
      <c r="O39" s="64">
        <f>E39</f>
        <v>27</v>
      </c>
      <c r="P39" s="55">
        <f>F39-Ta</f>
        <v>10.02</v>
      </c>
      <c r="Q39" s="61">
        <f>P39-Xi</f>
        <v>1.3103448275861851E-2</v>
      </c>
      <c r="R39" s="54">
        <f>POWER(Q39,2)</f>
        <v>1.7170035671818692E-4</v>
      </c>
    </row>
    <row r="40" spans="5:18" x14ac:dyDescent="0.25">
      <c r="E40">
        <v>28</v>
      </c>
      <c r="F40">
        <v>10.34</v>
      </c>
      <c r="G40" t="s">
        <v>118</v>
      </c>
      <c r="H40" s="3" t="str">
        <f>IF(Qn-(F40-Ta)&gt;2*ENT,"Fara E","Ok")</f>
        <v>Ok</v>
      </c>
      <c r="I40" s="64">
        <f>E40</f>
        <v>28</v>
      </c>
      <c r="J40" s="7">
        <f>F40-Ta</f>
        <v>10.02</v>
      </c>
      <c r="K40" s="3" t="str">
        <f>IF(J40&gt;=CMA,"Ok","Not Ok")</f>
        <v>Ok</v>
      </c>
      <c r="O40" s="64">
        <f>E40</f>
        <v>28</v>
      </c>
      <c r="P40" s="55">
        <f>F40-Ta</f>
        <v>10.02</v>
      </c>
      <c r="Q40" s="61">
        <f>P40-Xi</f>
        <v>1.3103448275861851E-2</v>
      </c>
      <c r="R40" s="54">
        <f>POWER(Q40,2)</f>
        <v>1.7170035671818692E-4</v>
      </c>
    </row>
    <row r="41" spans="5:18" x14ac:dyDescent="0.25">
      <c r="E41">
        <v>29</v>
      </c>
      <c r="F41">
        <v>10.32</v>
      </c>
      <c r="G41" t="s">
        <v>119</v>
      </c>
      <c r="H41" s="3" t="str">
        <f>IF(Qn-(F41-Ta)&gt;2*ENT,"Fara E","Ok")</f>
        <v>Ok</v>
      </c>
      <c r="I41" s="64">
        <f>E41</f>
        <v>29</v>
      </c>
      <c r="J41" s="7">
        <f>F41-Ta</f>
        <v>10</v>
      </c>
      <c r="K41" s="3" t="str">
        <f>IF(J41&gt;=CMA,"Ok","Not Ok")</f>
        <v>Ok</v>
      </c>
      <c r="O41" s="64">
        <f>E41</f>
        <v>29</v>
      </c>
      <c r="P41" s="55">
        <f>F41-Ta</f>
        <v>10</v>
      </c>
      <c r="Q41" s="61">
        <f>P41-Xi</f>
        <v>-6.8965517241377228E-3</v>
      </c>
      <c r="R41" s="54">
        <f>POWER(Q41,2)</f>
        <v>4.7562425683706996E-5</v>
      </c>
    </row>
    <row r="42" spans="5:18" x14ac:dyDescent="0.25">
      <c r="E42"/>
      <c r="F42"/>
      <c r="G42"/>
    </row>
    <row r="43" spans="5:18" x14ac:dyDescent="0.25">
      <c r="E43"/>
      <c r="F43"/>
      <c r="G43"/>
    </row>
    <row r="44" spans="5:18" x14ac:dyDescent="0.25">
      <c r="E44"/>
      <c r="F44"/>
      <c r="G44"/>
    </row>
    <row r="45" spans="5:18" x14ac:dyDescent="0.25">
      <c r="E45"/>
      <c r="F45"/>
      <c r="G45"/>
    </row>
    <row r="46" spans="5:18" x14ac:dyDescent="0.25">
      <c r="E46"/>
      <c r="F46"/>
      <c r="G46"/>
    </row>
    <row r="47" spans="5:18" x14ac:dyDescent="0.25">
      <c r="E47"/>
      <c r="F47"/>
      <c r="G47"/>
    </row>
    <row r="48" spans="5:18" x14ac:dyDescent="0.25">
      <c r="E48"/>
      <c r="F48"/>
      <c r="G48"/>
    </row>
    <row r="49" spans="5:7" x14ac:dyDescent="0.25">
      <c r="E49"/>
      <c r="F49"/>
      <c r="G49"/>
    </row>
    <row r="50" spans="5:7" x14ac:dyDescent="0.25">
      <c r="E50"/>
      <c r="F50"/>
      <c r="G50"/>
    </row>
    <row r="51" spans="5:7" x14ac:dyDescent="0.25">
      <c r="E51"/>
      <c r="F51"/>
      <c r="G51"/>
    </row>
    <row r="52" spans="5:7" x14ac:dyDescent="0.25">
      <c r="E52"/>
      <c r="F52"/>
      <c r="G52"/>
    </row>
    <row r="53" spans="5:7" x14ac:dyDescent="0.25">
      <c r="E53"/>
      <c r="F53"/>
      <c r="G53"/>
    </row>
    <row r="54" spans="5:7" x14ac:dyDescent="0.25">
      <c r="E54"/>
      <c r="F54"/>
      <c r="G54"/>
    </row>
    <row r="55" spans="5:7" x14ac:dyDescent="0.25">
      <c r="E55"/>
      <c r="F55"/>
      <c r="G55"/>
    </row>
    <row r="56" spans="5:7" x14ac:dyDescent="0.25">
      <c r="E56"/>
      <c r="F56"/>
      <c r="G56"/>
    </row>
    <row r="57" spans="5:7" x14ac:dyDescent="0.25">
      <c r="E57"/>
      <c r="F57"/>
      <c r="G57"/>
    </row>
    <row r="58" spans="5:7" x14ac:dyDescent="0.25">
      <c r="E58"/>
      <c r="F58"/>
      <c r="G58"/>
    </row>
    <row r="59" spans="5:7" x14ac:dyDescent="0.25">
      <c r="E59"/>
      <c r="F59"/>
      <c r="G59"/>
    </row>
    <row r="60" spans="5:7" x14ac:dyDescent="0.25">
      <c r="E60"/>
      <c r="F60"/>
      <c r="G60"/>
    </row>
    <row r="61" spans="5:7" x14ac:dyDescent="0.25">
      <c r="E61"/>
      <c r="F61"/>
      <c r="G61"/>
    </row>
    <row r="62" spans="5:7" x14ac:dyDescent="0.25">
      <c r="E62"/>
      <c r="F62"/>
      <c r="G62"/>
    </row>
    <row r="63" spans="5:7" x14ac:dyDescent="0.25">
      <c r="E63"/>
      <c r="F63"/>
      <c r="G63"/>
    </row>
    <row r="64" spans="5:7" x14ac:dyDescent="0.25">
      <c r="E64"/>
      <c r="F64"/>
      <c r="G64"/>
    </row>
    <row r="65" spans="5:7" x14ac:dyDescent="0.25">
      <c r="E65"/>
      <c r="F65"/>
      <c r="G65"/>
    </row>
    <row r="66" spans="5:7" x14ac:dyDescent="0.25">
      <c r="E66"/>
      <c r="F66"/>
      <c r="G66"/>
    </row>
    <row r="67" spans="5:7" x14ac:dyDescent="0.25">
      <c r="E67"/>
      <c r="F67"/>
      <c r="G67"/>
    </row>
    <row r="68" spans="5:7" x14ac:dyDescent="0.25">
      <c r="E68"/>
      <c r="F68"/>
      <c r="G68"/>
    </row>
    <row r="69" spans="5:7" x14ac:dyDescent="0.25">
      <c r="E69"/>
      <c r="F69"/>
      <c r="G69"/>
    </row>
    <row r="70" spans="5:7" x14ac:dyDescent="0.25">
      <c r="E70"/>
      <c r="F70"/>
      <c r="G70"/>
    </row>
    <row r="71" spans="5:7" x14ac:dyDescent="0.25">
      <c r="E71"/>
      <c r="F71"/>
      <c r="G71"/>
    </row>
    <row r="72" spans="5:7" x14ac:dyDescent="0.25">
      <c r="E72"/>
      <c r="F72"/>
      <c r="G72"/>
    </row>
    <row r="73" spans="5:7" x14ac:dyDescent="0.25">
      <c r="E73"/>
      <c r="F73"/>
      <c r="G73"/>
    </row>
    <row r="74" spans="5:7" x14ac:dyDescent="0.25">
      <c r="E74"/>
      <c r="F74"/>
      <c r="G74"/>
    </row>
    <row r="75" spans="5:7" x14ac:dyDescent="0.25">
      <c r="E75"/>
      <c r="F75"/>
      <c r="G75"/>
    </row>
    <row r="76" spans="5:7" x14ac:dyDescent="0.25">
      <c r="E76"/>
      <c r="F76"/>
      <c r="G76"/>
    </row>
    <row r="77" spans="5:7" x14ac:dyDescent="0.25">
      <c r="E77"/>
      <c r="F77"/>
      <c r="G77"/>
    </row>
    <row r="78" spans="5:7" x14ac:dyDescent="0.25">
      <c r="E78"/>
      <c r="F78"/>
      <c r="G78"/>
    </row>
    <row r="79" spans="5:7" x14ac:dyDescent="0.25">
      <c r="E79"/>
      <c r="F79"/>
      <c r="G79"/>
    </row>
    <row r="80" spans="5:7" x14ac:dyDescent="0.25">
      <c r="E80"/>
      <c r="F80"/>
      <c r="G80"/>
    </row>
    <row r="81" spans="5:7" x14ac:dyDescent="0.25">
      <c r="E81"/>
      <c r="F81"/>
      <c r="G81"/>
    </row>
    <row r="82" spans="5:7" x14ac:dyDescent="0.25">
      <c r="E82"/>
      <c r="F82"/>
      <c r="G82"/>
    </row>
    <row r="83" spans="5:7" x14ac:dyDescent="0.25">
      <c r="E83"/>
      <c r="F83"/>
      <c r="G83"/>
    </row>
    <row r="84" spans="5:7" x14ac:dyDescent="0.25">
      <c r="E84"/>
      <c r="F84"/>
      <c r="G84"/>
    </row>
    <row r="85" spans="5:7" x14ac:dyDescent="0.25">
      <c r="E85"/>
      <c r="F85"/>
      <c r="G85"/>
    </row>
    <row r="86" spans="5:7" x14ac:dyDescent="0.25">
      <c r="E86"/>
      <c r="F86"/>
      <c r="G86"/>
    </row>
    <row r="87" spans="5:7" x14ac:dyDescent="0.25">
      <c r="E87"/>
      <c r="F87"/>
      <c r="G87"/>
    </row>
    <row r="88" spans="5:7" x14ac:dyDescent="0.25">
      <c r="E88"/>
      <c r="F88"/>
      <c r="G88"/>
    </row>
    <row r="89" spans="5:7" x14ac:dyDescent="0.25">
      <c r="E89"/>
      <c r="F89"/>
      <c r="G89"/>
    </row>
    <row r="90" spans="5:7" x14ac:dyDescent="0.25">
      <c r="E90"/>
      <c r="F90"/>
      <c r="G90"/>
    </row>
    <row r="91" spans="5:7" x14ac:dyDescent="0.25">
      <c r="E91"/>
      <c r="F91"/>
      <c r="G91"/>
    </row>
    <row r="92" spans="5:7" x14ac:dyDescent="0.25">
      <c r="E92"/>
      <c r="F92"/>
      <c r="G92"/>
    </row>
    <row r="93" spans="5:7" x14ac:dyDescent="0.25">
      <c r="E93"/>
      <c r="F93"/>
      <c r="G93"/>
    </row>
    <row r="94" spans="5:7" x14ac:dyDescent="0.25">
      <c r="E94"/>
      <c r="F94"/>
      <c r="G94"/>
    </row>
    <row r="95" spans="5:7" x14ac:dyDescent="0.25">
      <c r="E95"/>
      <c r="F95"/>
      <c r="G95"/>
    </row>
    <row r="96" spans="5:7" x14ac:dyDescent="0.25">
      <c r="E96"/>
      <c r="F96"/>
      <c r="G96"/>
    </row>
    <row r="97" spans="5:7" x14ac:dyDescent="0.25">
      <c r="E97"/>
      <c r="F97"/>
      <c r="G97"/>
    </row>
    <row r="98" spans="5:7" x14ac:dyDescent="0.25">
      <c r="E98"/>
      <c r="F98"/>
      <c r="G98"/>
    </row>
    <row r="99" spans="5:7" x14ac:dyDescent="0.25">
      <c r="E99"/>
      <c r="F99"/>
      <c r="G99"/>
    </row>
    <row r="100" spans="5:7" x14ac:dyDescent="0.25">
      <c r="E100"/>
      <c r="F100"/>
      <c r="G100"/>
    </row>
    <row r="101" spans="5:7" x14ac:dyDescent="0.25">
      <c r="E101"/>
      <c r="F101"/>
      <c r="G101"/>
    </row>
    <row r="102" spans="5:7" x14ac:dyDescent="0.25">
      <c r="E102"/>
      <c r="F102"/>
      <c r="G102"/>
    </row>
    <row r="103" spans="5:7" x14ac:dyDescent="0.25">
      <c r="E103"/>
      <c r="F103"/>
      <c r="G103"/>
    </row>
    <row r="104" spans="5:7" x14ac:dyDescent="0.25">
      <c r="E104"/>
      <c r="F104"/>
      <c r="G104"/>
    </row>
    <row r="105" spans="5:7" x14ac:dyDescent="0.25">
      <c r="E105"/>
      <c r="F105"/>
      <c r="G105"/>
    </row>
    <row r="106" spans="5:7" x14ac:dyDescent="0.25">
      <c r="E106"/>
      <c r="F106"/>
      <c r="G106"/>
    </row>
    <row r="107" spans="5:7" x14ac:dyDescent="0.25">
      <c r="E107"/>
      <c r="F107"/>
      <c r="G107"/>
    </row>
    <row r="108" spans="5:7" x14ac:dyDescent="0.25">
      <c r="E108"/>
      <c r="F108"/>
      <c r="G108"/>
    </row>
    <row r="109" spans="5:7" x14ac:dyDescent="0.25">
      <c r="E109"/>
      <c r="F109"/>
      <c r="G109"/>
    </row>
    <row r="110" spans="5:7" x14ac:dyDescent="0.25">
      <c r="E110"/>
      <c r="F110"/>
      <c r="G110"/>
    </row>
    <row r="111" spans="5:7" x14ac:dyDescent="0.25">
      <c r="E111"/>
      <c r="F111"/>
      <c r="G111"/>
    </row>
    <row r="112" spans="5:7" x14ac:dyDescent="0.25">
      <c r="E112"/>
      <c r="F112"/>
      <c r="G112"/>
    </row>
    <row r="113" spans="5:7" x14ac:dyDescent="0.25">
      <c r="E113"/>
      <c r="F113"/>
      <c r="G113"/>
    </row>
    <row r="114" spans="5:7" x14ac:dyDescent="0.25">
      <c r="E114"/>
      <c r="F114"/>
      <c r="G114"/>
    </row>
    <row r="115" spans="5:7" x14ac:dyDescent="0.25">
      <c r="E115"/>
      <c r="F115"/>
      <c r="G115"/>
    </row>
    <row r="116" spans="5:7" x14ac:dyDescent="0.25">
      <c r="E116"/>
      <c r="F116"/>
      <c r="G116"/>
    </row>
    <row r="117" spans="5:7" x14ac:dyDescent="0.25">
      <c r="E117"/>
      <c r="F117"/>
      <c r="G117"/>
    </row>
    <row r="118" spans="5:7" x14ac:dyDescent="0.25">
      <c r="E118"/>
      <c r="F118"/>
      <c r="G118"/>
    </row>
    <row r="119" spans="5:7" x14ac:dyDescent="0.25">
      <c r="E119"/>
      <c r="F119"/>
      <c r="G119"/>
    </row>
    <row r="120" spans="5:7" x14ac:dyDescent="0.25">
      <c r="E120"/>
      <c r="F120"/>
      <c r="G120"/>
    </row>
    <row r="121" spans="5:7" x14ac:dyDescent="0.25">
      <c r="E121"/>
      <c r="F121"/>
      <c r="G121"/>
    </row>
    <row r="122" spans="5:7" x14ac:dyDescent="0.25">
      <c r="E122"/>
      <c r="F122"/>
      <c r="G122"/>
    </row>
    <row r="123" spans="5:7" x14ac:dyDescent="0.25">
      <c r="E123"/>
      <c r="F123"/>
      <c r="G123"/>
    </row>
    <row r="124" spans="5:7" x14ac:dyDescent="0.25">
      <c r="E124"/>
      <c r="F124"/>
      <c r="G124"/>
    </row>
    <row r="125" spans="5:7" x14ac:dyDescent="0.25">
      <c r="E125"/>
      <c r="F125"/>
      <c r="G125"/>
    </row>
    <row r="126" spans="5:7" x14ac:dyDescent="0.25">
      <c r="E126"/>
      <c r="F126"/>
      <c r="G126"/>
    </row>
    <row r="127" spans="5:7" x14ac:dyDescent="0.25">
      <c r="E127"/>
      <c r="F127"/>
      <c r="G127"/>
    </row>
    <row r="128" spans="5:7" x14ac:dyDescent="0.25">
      <c r="E128"/>
      <c r="F128"/>
      <c r="G128"/>
    </row>
    <row r="129" spans="5:7" x14ac:dyDescent="0.25">
      <c r="E129"/>
      <c r="F129"/>
      <c r="G129"/>
    </row>
    <row r="130" spans="5:7" x14ac:dyDescent="0.25">
      <c r="E130"/>
      <c r="F130"/>
      <c r="G130"/>
    </row>
    <row r="131" spans="5:7" x14ac:dyDescent="0.25">
      <c r="E131"/>
      <c r="F131"/>
      <c r="G131"/>
    </row>
    <row r="132" spans="5:7" x14ac:dyDescent="0.25">
      <c r="E132"/>
      <c r="F132"/>
      <c r="G132"/>
    </row>
    <row r="133" spans="5:7" x14ac:dyDescent="0.25">
      <c r="E133"/>
      <c r="F133"/>
      <c r="G133"/>
    </row>
    <row r="134" spans="5:7" x14ac:dyDescent="0.25">
      <c r="E134"/>
      <c r="F134"/>
      <c r="G134"/>
    </row>
    <row r="135" spans="5:7" x14ac:dyDescent="0.25">
      <c r="E135"/>
      <c r="F135"/>
      <c r="G135"/>
    </row>
    <row r="136" spans="5:7" x14ac:dyDescent="0.25">
      <c r="E136"/>
      <c r="F136"/>
      <c r="G136"/>
    </row>
    <row r="137" spans="5:7" x14ac:dyDescent="0.25">
      <c r="E137"/>
      <c r="F137"/>
      <c r="G137"/>
    </row>
    <row r="138" spans="5:7" x14ac:dyDescent="0.25">
      <c r="E138"/>
      <c r="F138"/>
      <c r="G138"/>
    </row>
    <row r="139" spans="5:7" x14ac:dyDescent="0.25">
      <c r="E139"/>
      <c r="F139"/>
      <c r="G139"/>
    </row>
    <row r="140" spans="5:7" x14ac:dyDescent="0.25">
      <c r="E140"/>
      <c r="F140"/>
      <c r="G140"/>
    </row>
    <row r="141" spans="5:7" x14ac:dyDescent="0.25">
      <c r="E141"/>
      <c r="F141"/>
      <c r="G141"/>
    </row>
    <row r="142" spans="5:7" x14ac:dyDescent="0.25">
      <c r="E142"/>
      <c r="F142"/>
      <c r="G142"/>
    </row>
    <row r="143" spans="5:7" x14ac:dyDescent="0.25">
      <c r="E143"/>
      <c r="F143"/>
      <c r="G143"/>
    </row>
    <row r="144" spans="5:7" x14ac:dyDescent="0.25">
      <c r="E144"/>
      <c r="F144"/>
      <c r="G144"/>
    </row>
    <row r="145" spans="5:7" x14ac:dyDescent="0.25">
      <c r="E145"/>
      <c r="F145"/>
      <c r="G145"/>
    </row>
    <row r="146" spans="5:7" x14ac:dyDescent="0.25">
      <c r="E146"/>
      <c r="F146"/>
      <c r="G146"/>
    </row>
    <row r="147" spans="5:7" x14ac:dyDescent="0.25">
      <c r="E147"/>
      <c r="F147"/>
      <c r="G147"/>
    </row>
    <row r="148" spans="5:7" x14ac:dyDescent="0.25">
      <c r="E148"/>
      <c r="F148"/>
      <c r="G148"/>
    </row>
    <row r="149" spans="5:7" x14ac:dyDescent="0.25">
      <c r="E149"/>
      <c r="F149"/>
      <c r="G149"/>
    </row>
    <row r="150" spans="5:7" x14ac:dyDescent="0.25">
      <c r="E150"/>
      <c r="F150"/>
      <c r="G150"/>
    </row>
    <row r="151" spans="5:7" x14ac:dyDescent="0.25">
      <c r="E151"/>
      <c r="F151"/>
      <c r="G151"/>
    </row>
    <row r="152" spans="5:7" x14ac:dyDescent="0.25">
      <c r="E152"/>
      <c r="F152"/>
      <c r="G152"/>
    </row>
    <row r="153" spans="5:7" x14ac:dyDescent="0.25">
      <c r="E153"/>
      <c r="F153"/>
      <c r="G153"/>
    </row>
    <row r="154" spans="5:7" x14ac:dyDescent="0.25">
      <c r="E154"/>
      <c r="F154"/>
      <c r="G154"/>
    </row>
    <row r="155" spans="5:7" x14ac:dyDescent="0.25">
      <c r="E155"/>
      <c r="F155"/>
      <c r="G155"/>
    </row>
    <row r="156" spans="5:7" x14ac:dyDescent="0.25">
      <c r="E156"/>
      <c r="F156"/>
      <c r="G156"/>
    </row>
    <row r="157" spans="5:7" x14ac:dyDescent="0.25">
      <c r="E157"/>
      <c r="F157"/>
      <c r="G157"/>
    </row>
    <row r="158" spans="5:7" x14ac:dyDescent="0.25">
      <c r="E158"/>
      <c r="F158"/>
      <c r="G158"/>
    </row>
    <row r="159" spans="5:7" x14ac:dyDescent="0.25">
      <c r="E159"/>
      <c r="F159"/>
      <c r="G159"/>
    </row>
    <row r="160" spans="5:7" x14ac:dyDescent="0.25">
      <c r="E160"/>
      <c r="F160"/>
      <c r="G160"/>
    </row>
    <row r="161" spans="5:7" x14ac:dyDescent="0.25">
      <c r="E161"/>
      <c r="F161"/>
      <c r="G161"/>
    </row>
    <row r="162" spans="5:7" x14ac:dyDescent="0.25">
      <c r="E162"/>
      <c r="F162"/>
      <c r="G162"/>
    </row>
    <row r="163" spans="5:7" x14ac:dyDescent="0.25">
      <c r="E163"/>
      <c r="F163"/>
      <c r="G163"/>
    </row>
    <row r="164" spans="5:7" x14ac:dyDescent="0.25">
      <c r="E164"/>
      <c r="F164"/>
      <c r="G164"/>
    </row>
    <row r="165" spans="5:7" x14ac:dyDescent="0.25">
      <c r="E165"/>
      <c r="F165"/>
      <c r="G165"/>
    </row>
    <row r="166" spans="5:7" x14ac:dyDescent="0.25">
      <c r="E166"/>
      <c r="F166"/>
      <c r="G166"/>
    </row>
    <row r="167" spans="5:7" x14ac:dyDescent="0.25">
      <c r="E167"/>
      <c r="F167"/>
      <c r="G167"/>
    </row>
    <row r="168" spans="5:7" x14ac:dyDescent="0.25">
      <c r="E168"/>
      <c r="F168"/>
      <c r="G168"/>
    </row>
    <row r="169" spans="5:7" x14ac:dyDescent="0.25">
      <c r="E169"/>
      <c r="F169"/>
      <c r="G169"/>
    </row>
    <row r="170" spans="5:7" x14ac:dyDescent="0.25">
      <c r="E170"/>
      <c r="F170"/>
      <c r="G170"/>
    </row>
    <row r="171" spans="5:7" x14ac:dyDescent="0.25">
      <c r="E171"/>
      <c r="F171"/>
      <c r="G171"/>
    </row>
    <row r="172" spans="5:7" x14ac:dyDescent="0.25">
      <c r="E172"/>
      <c r="F172"/>
      <c r="G172"/>
    </row>
    <row r="173" spans="5:7" x14ac:dyDescent="0.25">
      <c r="E173"/>
      <c r="F173"/>
      <c r="G173"/>
    </row>
    <row r="174" spans="5:7" x14ac:dyDescent="0.25">
      <c r="E174"/>
      <c r="F174"/>
      <c r="G174"/>
    </row>
    <row r="175" spans="5:7" x14ac:dyDescent="0.25">
      <c r="E175"/>
      <c r="F175"/>
      <c r="G175"/>
    </row>
    <row r="176" spans="5:7" x14ac:dyDescent="0.25">
      <c r="E176"/>
      <c r="F176"/>
      <c r="G176"/>
    </row>
    <row r="177" spans="5:7" x14ac:dyDescent="0.25">
      <c r="E177"/>
      <c r="F177"/>
      <c r="G177"/>
    </row>
    <row r="178" spans="5:7" x14ac:dyDescent="0.25">
      <c r="E178"/>
      <c r="F178"/>
      <c r="G178"/>
    </row>
    <row r="179" spans="5:7" x14ac:dyDescent="0.25">
      <c r="E179"/>
      <c r="F179"/>
      <c r="G179"/>
    </row>
    <row r="180" spans="5:7" x14ac:dyDescent="0.25">
      <c r="E180"/>
      <c r="F180"/>
      <c r="G180"/>
    </row>
    <row r="181" spans="5:7" x14ac:dyDescent="0.25">
      <c r="E181"/>
      <c r="F181"/>
      <c r="G181"/>
    </row>
    <row r="182" spans="5:7" x14ac:dyDescent="0.25">
      <c r="E182"/>
      <c r="F182"/>
      <c r="G182"/>
    </row>
    <row r="183" spans="5:7" x14ac:dyDescent="0.25">
      <c r="E183"/>
      <c r="F183"/>
      <c r="G183"/>
    </row>
    <row r="184" spans="5:7" x14ac:dyDescent="0.25">
      <c r="E184"/>
      <c r="F184"/>
      <c r="G184"/>
    </row>
    <row r="185" spans="5:7" x14ac:dyDescent="0.25">
      <c r="E185"/>
      <c r="F185"/>
      <c r="G185"/>
    </row>
    <row r="186" spans="5:7" x14ac:dyDescent="0.25">
      <c r="E186"/>
      <c r="F186"/>
      <c r="G186"/>
    </row>
    <row r="187" spans="5:7" x14ac:dyDescent="0.25">
      <c r="E187"/>
      <c r="F187"/>
      <c r="G187"/>
    </row>
    <row r="188" spans="5:7" x14ac:dyDescent="0.25">
      <c r="E188"/>
      <c r="F188"/>
      <c r="G188"/>
    </row>
    <row r="189" spans="5:7" x14ac:dyDescent="0.25">
      <c r="E189"/>
      <c r="F189"/>
      <c r="G189"/>
    </row>
    <row r="190" spans="5:7" x14ac:dyDescent="0.25">
      <c r="E190"/>
      <c r="F190"/>
      <c r="G190"/>
    </row>
    <row r="191" spans="5:7" x14ac:dyDescent="0.25">
      <c r="E191"/>
      <c r="F191"/>
      <c r="G191"/>
    </row>
    <row r="192" spans="5:7" x14ac:dyDescent="0.25">
      <c r="E192"/>
      <c r="F192"/>
      <c r="G192"/>
    </row>
    <row r="193" spans="5:7" x14ac:dyDescent="0.25">
      <c r="E193"/>
      <c r="F193"/>
      <c r="G193"/>
    </row>
    <row r="194" spans="5:7" x14ac:dyDescent="0.25">
      <c r="E194"/>
      <c r="F194"/>
      <c r="G194"/>
    </row>
    <row r="195" spans="5:7" x14ac:dyDescent="0.25">
      <c r="E195"/>
      <c r="F195"/>
      <c r="G195"/>
    </row>
    <row r="196" spans="5:7" x14ac:dyDescent="0.25">
      <c r="E196"/>
      <c r="F196"/>
      <c r="G196"/>
    </row>
    <row r="197" spans="5:7" x14ac:dyDescent="0.25">
      <c r="E197"/>
      <c r="F197"/>
      <c r="G197"/>
    </row>
    <row r="198" spans="5:7" x14ac:dyDescent="0.25">
      <c r="E198"/>
      <c r="F198"/>
      <c r="G198"/>
    </row>
    <row r="199" spans="5:7" x14ac:dyDescent="0.25">
      <c r="E199"/>
      <c r="F199"/>
      <c r="G199"/>
    </row>
    <row r="200" spans="5:7" x14ac:dyDescent="0.25">
      <c r="E200"/>
      <c r="F200"/>
      <c r="G200"/>
    </row>
    <row r="201" spans="5:7" x14ac:dyDescent="0.25">
      <c r="E201"/>
      <c r="F201"/>
      <c r="G201"/>
    </row>
    <row r="202" spans="5:7" x14ac:dyDescent="0.25">
      <c r="E202"/>
      <c r="F202"/>
      <c r="G202"/>
    </row>
    <row r="203" spans="5:7" x14ac:dyDescent="0.25">
      <c r="E203"/>
      <c r="F203"/>
      <c r="G203"/>
    </row>
    <row r="204" spans="5:7" x14ac:dyDescent="0.25">
      <c r="E204"/>
      <c r="F204"/>
      <c r="G204"/>
    </row>
    <row r="205" spans="5:7" x14ac:dyDescent="0.25">
      <c r="E205"/>
      <c r="F205"/>
      <c r="G205"/>
    </row>
    <row r="206" spans="5:7" x14ac:dyDescent="0.25">
      <c r="E206"/>
      <c r="F206"/>
      <c r="G206"/>
    </row>
    <row r="207" spans="5:7" x14ac:dyDescent="0.25">
      <c r="E207"/>
      <c r="F207"/>
      <c r="G207"/>
    </row>
    <row r="208" spans="5:7" x14ac:dyDescent="0.25">
      <c r="E208"/>
      <c r="F208"/>
      <c r="G208"/>
    </row>
    <row r="209" spans="5:7" x14ac:dyDescent="0.25">
      <c r="E209"/>
      <c r="F209"/>
      <c r="G209"/>
    </row>
    <row r="210" spans="5:7" x14ac:dyDescent="0.25">
      <c r="E210"/>
      <c r="F210"/>
      <c r="G210"/>
    </row>
    <row r="211" spans="5:7" x14ac:dyDescent="0.25">
      <c r="E211"/>
      <c r="F211"/>
      <c r="G211"/>
    </row>
    <row r="212" spans="5:7" x14ac:dyDescent="0.25">
      <c r="E212"/>
      <c r="F212"/>
      <c r="G212"/>
    </row>
    <row r="213" spans="5:7" x14ac:dyDescent="0.25">
      <c r="E213"/>
      <c r="F213"/>
      <c r="G213"/>
    </row>
    <row r="214" spans="5:7" x14ac:dyDescent="0.25">
      <c r="E214"/>
      <c r="F214"/>
      <c r="G214"/>
    </row>
    <row r="215" spans="5:7" x14ac:dyDescent="0.25">
      <c r="E215"/>
      <c r="F215"/>
      <c r="G215"/>
    </row>
    <row r="216" spans="5:7" x14ac:dyDescent="0.25">
      <c r="E216"/>
      <c r="F216"/>
      <c r="G216"/>
    </row>
    <row r="217" spans="5:7" x14ac:dyDescent="0.25">
      <c r="E217"/>
      <c r="F217"/>
      <c r="G217"/>
    </row>
    <row r="218" spans="5:7" x14ac:dyDescent="0.25">
      <c r="E218"/>
      <c r="F218"/>
      <c r="G218"/>
    </row>
    <row r="219" spans="5:7" x14ac:dyDescent="0.25">
      <c r="E219"/>
      <c r="F219"/>
      <c r="G219"/>
    </row>
    <row r="220" spans="5:7" x14ac:dyDescent="0.25">
      <c r="E220"/>
      <c r="F220"/>
      <c r="G220"/>
    </row>
    <row r="221" spans="5:7" x14ac:dyDescent="0.25">
      <c r="E221"/>
      <c r="F221"/>
      <c r="G221"/>
    </row>
    <row r="222" spans="5:7" x14ac:dyDescent="0.25">
      <c r="E222"/>
      <c r="F222"/>
      <c r="G222"/>
    </row>
    <row r="223" spans="5:7" x14ac:dyDescent="0.25">
      <c r="E223"/>
      <c r="F223"/>
      <c r="G223"/>
    </row>
    <row r="224" spans="5:7" x14ac:dyDescent="0.25">
      <c r="E224"/>
      <c r="F224"/>
      <c r="G224"/>
    </row>
    <row r="225" spans="5:7" x14ac:dyDescent="0.25">
      <c r="E225"/>
      <c r="F225"/>
      <c r="G225"/>
    </row>
    <row r="226" spans="5:7" x14ac:dyDescent="0.25">
      <c r="E226"/>
      <c r="F226"/>
      <c r="G226"/>
    </row>
    <row r="227" spans="5:7" x14ac:dyDescent="0.25">
      <c r="E227"/>
      <c r="F227"/>
      <c r="G227"/>
    </row>
    <row r="228" spans="5:7" x14ac:dyDescent="0.25">
      <c r="E228"/>
      <c r="F228"/>
      <c r="G228"/>
    </row>
    <row r="229" spans="5:7" x14ac:dyDescent="0.25">
      <c r="E229"/>
      <c r="F229"/>
      <c r="G229"/>
    </row>
    <row r="230" spans="5:7" x14ac:dyDescent="0.25">
      <c r="E230"/>
      <c r="F230"/>
      <c r="G230"/>
    </row>
    <row r="231" spans="5:7" x14ac:dyDescent="0.25">
      <c r="E231"/>
      <c r="F231"/>
      <c r="G231"/>
    </row>
    <row r="232" spans="5:7" x14ac:dyDescent="0.25">
      <c r="E232"/>
      <c r="F232"/>
      <c r="G232"/>
    </row>
    <row r="233" spans="5:7" x14ac:dyDescent="0.25">
      <c r="E233"/>
      <c r="F233"/>
      <c r="G233"/>
    </row>
    <row r="234" spans="5:7" x14ac:dyDescent="0.25">
      <c r="E234"/>
      <c r="F234"/>
      <c r="G234"/>
    </row>
    <row r="235" spans="5:7" x14ac:dyDescent="0.25">
      <c r="E235"/>
      <c r="F235"/>
      <c r="G235"/>
    </row>
    <row r="236" spans="5:7" x14ac:dyDescent="0.25">
      <c r="E236"/>
      <c r="F236"/>
      <c r="G236"/>
    </row>
    <row r="237" spans="5:7" x14ac:dyDescent="0.25">
      <c r="E237"/>
      <c r="F237"/>
      <c r="G237"/>
    </row>
    <row r="238" spans="5:7" x14ac:dyDescent="0.25">
      <c r="E238"/>
      <c r="F238"/>
      <c r="G238"/>
    </row>
    <row r="239" spans="5:7" x14ac:dyDescent="0.25">
      <c r="E239"/>
      <c r="F239"/>
      <c r="G239"/>
    </row>
    <row r="240" spans="5:7" x14ac:dyDescent="0.25">
      <c r="E240"/>
      <c r="F240"/>
      <c r="G240"/>
    </row>
    <row r="241" spans="5:7" x14ac:dyDescent="0.25">
      <c r="E241"/>
      <c r="F241"/>
      <c r="G241"/>
    </row>
    <row r="242" spans="5:7" x14ac:dyDescent="0.25">
      <c r="E242"/>
      <c r="F242"/>
      <c r="G242"/>
    </row>
    <row r="243" spans="5:7" x14ac:dyDescent="0.25">
      <c r="E243"/>
      <c r="F243"/>
      <c r="G243"/>
    </row>
    <row r="244" spans="5:7" x14ac:dyDescent="0.25">
      <c r="E244"/>
      <c r="F244"/>
      <c r="G244"/>
    </row>
    <row r="245" spans="5:7" x14ac:dyDescent="0.25">
      <c r="E245"/>
      <c r="F245"/>
      <c r="G245"/>
    </row>
    <row r="246" spans="5:7" x14ac:dyDescent="0.25">
      <c r="E246"/>
      <c r="F246"/>
      <c r="G246"/>
    </row>
    <row r="247" spans="5:7" x14ac:dyDescent="0.25">
      <c r="E247"/>
      <c r="F247"/>
      <c r="G247"/>
    </row>
    <row r="248" spans="5:7" x14ac:dyDescent="0.25">
      <c r="E248"/>
      <c r="F248"/>
      <c r="G248"/>
    </row>
    <row r="249" spans="5:7" x14ac:dyDescent="0.25">
      <c r="E249"/>
      <c r="F249"/>
      <c r="G249"/>
    </row>
    <row r="250" spans="5:7" x14ac:dyDescent="0.25">
      <c r="E250"/>
      <c r="F250"/>
      <c r="G250"/>
    </row>
    <row r="251" spans="5:7" x14ac:dyDescent="0.25">
      <c r="E251"/>
      <c r="F251"/>
      <c r="G251"/>
    </row>
    <row r="252" spans="5:7" x14ac:dyDescent="0.25">
      <c r="E252"/>
      <c r="F252"/>
      <c r="G252"/>
    </row>
    <row r="253" spans="5:7" x14ac:dyDescent="0.25">
      <c r="E253"/>
      <c r="F253"/>
      <c r="G253"/>
    </row>
    <row r="254" spans="5:7" x14ac:dyDescent="0.25">
      <c r="E254"/>
      <c r="F254"/>
      <c r="G254"/>
    </row>
    <row r="255" spans="5:7" x14ac:dyDescent="0.25">
      <c r="E255"/>
      <c r="F255"/>
      <c r="G255"/>
    </row>
    <row r="256" spans="5:7" x14ac:dyDescent="0.25">
      <c r="E256"/>
      <c r="F256"/>
      <c r="G256"/>
    </row>
    <row r="257" spans="5:7" x14ac:dyDescent="0.25">
      <c r="E257"/>
      <c r="F257"/>
      <c r="G257"/>
    </row>
    <row r="258" spans="5:7" x14ac:dyDescent="0.25">
      <c r="E258"/>
      <c r="F258"/>
      <c r="G258"/>
    </row>
    <row r="259" spans="5:7" x14ac:dyDescent="0.25">
      <c r="E259"/>
      <c r="F259"/>
      <c r="G259"/>
    </row>
    <row r="260" spans="5:7" x14ac:dyDescent="0.25">
      <c r="E260"/>
      <c r="F260"/>
      <c r="G260"/>
    </row>
    <row r="261" spans="5:7" x14ac:dyDescent="0.25">
      <c r="E261"/>
      <c r="F261"/>
      <c r="G261"/>
    </row>
    <row r="262" spans="5:7" x14ac:dyDescent="0.25">
      <c r="E262"/>
      <c r="F262"/>
      <c r="G262"/>
    </row>
    <row r="263" spans="5:7" x14ac:dyDescent="0.25">
      <c r="E263"/>
      <c r="F263"/>
      <c r="G263"/>
    </row>
    <row r="264" spans="5:7" x14ac:dyDescent="0.25">
      <c r="E264"/>
      <c r="F264"/>
      <c r="G264"/>
    </row>
    <row r="265" spans="5:7" x14ac:dyDescent="0.25">
      <c r="E265"/>
      <c r="F265"/>
      <c r="G265"/>
    </row>
    <row r="266" spans="5:7" x14ac:dyDescent="0.25">
      <c r="E266"/>
      <c r="F266"/>
      <c r="G266"/>
    </row>
    <row r="267" spans="5:7" x14ac:dyDescent="0.25">
      <c r="E267"/>
      <c r="F267"/>
      <c r="G267"/>
    </row>
    <row r="268" spans="5:7" x14ac:dyDescent="0.25">
      <c r="E268"/>
      <c r="F268"/>
      <c r="G268"/>
    </row>
    <row r="269" spans="5:7" x14ac:dyDescent="0.25">
      <c r="E269"/>
      <c r="F269"/>
      <c r="G269"/>
    </row>
    <row r="270" spans="5:7" x14ac:dyDescent="0.25">
      <c r="E270"/>
      <c r="F270"/>
      <c r="G270"/>
    </row>
    <row r="271" spans="5:7" x14ac:dyDescent="0.25">
      <c r="E271"/>
      <c r="F271"/>
      <c r="G271"/>
    </row>
    <row r="272" spans="5:7" x14ac:dyDescent="0.25">
      <c r="E272"/>
      <c r="F272"/>
      <c r="G272"/>
    </row>
    <row r="273" spans="5:7" x14ac:dyDescent="0.25">
      <c r="E273"/>
      <c r="F273"/>
      <c r="G273"/>
    </row>
    <row r="274" spans="5:7" x14ac:dyDescent="0.25">
      <c r="E274"/>
      <c r="F274"/>
      <c r="G274"/>
    </row>
    <row r="275" spans="5:7" x14ac:dyDescent="0.25">
      <c r="E275"/>
      <c r="F275"/>
      <c r="G275"/>
    </row>
    <row r="276" spans="5:7" x14ac:dyDescent="0.25">
      <c r="E276"/>
      <c r="F276"/>
      <c r="G276"/>
    </row>
    <row r="277" spans="5:7" x14ac:dyDescent="0.25">
      <c r="E277"/>
      <c r="F277"/>
      <c r="G277"/>
    </row>
    <row r="278" spans="5:7" x14ac:dyDescent="0.25">
      <c r="E278"/>
      <c r="F278"/>
      <c r="G278"/>
    </row>
    <row r="279" spans="5:7" x14ac:dyDescent="0.25">
      <c r="E279"/>
      <c r="F279"/>
      <c r="G279"/>
    </row>
    <row r="280" spans="5:7" x14ac:dyDescent="0.25">
      <c r="E280"/>
      <c r="F280"/>
      <c r="G280"/>
    </row>
    <row r="281" spans="5:7" x14ac:dyDescent="0.25">
      <c r="E281"/>
      <c r="F281"/>
      <c r="G281"/>
    </row>
    <row r="282" spans="5:7" x14ac:dyDescent="0.25">
      <c r="E282"/>
      <c r="F282"/>
      <c r="G282"/>
    </row>
    <row r="283" spans="5:7" x14ac:dyDescent="0.25">
      <c r="E283"/>
      <c r="F283"/>
      <c r="G283"/>
    </row>
    <row r="284" spans="5:7" x14ac:dyDescent="0.25">
      <c r="E284"/>
      <c r="F284"/>
      <c r="G284"/>
    </row>
    <row r="285" spans="5:7" x14ac:dyDescent="0.25">
      <c r="E285"/>
      <c r="F285"/>
      <c r="G285"/>
    </row>
    <row r="286" spans="5:7" x14ac:dyDescent="0.25">
      <c r="E286"/>
      <c r="F286"/>
      <c r="G286"/>
    </row>
    <row r="287" spans="5:7" x14ac:dyDescent="0.25">
      <c r="E287"/>
      <c r="F287"/>
      <c r="G287"/>
    </row>
    <row r="288" spans="5:7" x14ac:dyDescent="0.25">
      <c r="E288"/>
      <c r="F288"/>
      <c r="G288"/>
    </row>
    <row r="289" spans="5:7" x14ac:dyDescent="0.25">
      <c r="E289"/>
      <c r="F289"/>
      <c r="G289"/>
    </row>
    <row r="290" spans="5:7" x14ac:dyDescent="0.25">
      <c r="E290"/>
      <c r="F290"/>
      <c r="G290"/>
    </row>
    <row r="291" spans="5:7" x14ac:dyDescent="0.25">
      <c r="E291"/>
      <c r="F291"/>
      <c r="G291"/>
    </row>
    <row r="292" spans="5:7" x14ac:dyDescent="0.25">
      <c r="E292"/>
      <c r="F292"/>
      <c r="G292"/>
    </row>
    <row r="293" spans="5:7" x14ac:dyDescent="0.25">
      <c r="E293"/>
      <c r="F293"/>
      <c r="G293"/>
    </row>
    <row r="294" spans="5:7" x14ac:dyDescent="0.25">
      <c r="E294"/>
      <c r="F294"/>
      <c r="G294"/>
    </row>
    <row r="295" spans="5:7" x14ac:dyDescent="0.25">
      <c r="E295"/>
      <c r="F295"/>
      <c r="G295"/>
    </row>
    <row r="296" spans="5:7" x14ac:dyDescent="0.25">
      <c r="E296"/>
      <c r="F296"/>
      <c r="G296"/>
    </row>
    <row r="297" spans="5:7" x14ac:dyDescent="0.25">
      <c r="E297"/>
      <c r="F297"/>
      <c r="G297"/>
    </row>
    <row r="298" spans="5:7" x14ac:dyDescent="0.25">
      <c r="E298"/>
      <c r="F298"/>
      <c r="G298"/>
    </row>
    <row r="299" spans="5:7" x14ac:dyDescent="0.25">
      <c r="E299"/>
      <c r="F299"/>
      <c r="G299"/>
    </row>
    <row r="300" spans="5:7" x14ac:dyDescent="0.25">
      <c r="E300"/>
      <c r="F300"/>
      <c r="G300"/>
    </row>
    <row r="301" spans="5:7" x14ac:dyDescent="0.25">
      <c r="E301"/>
      <c r="F301"/>
      <c r="G301"/>
    </row>
    <row r="302" spans="5:7" x14ac:dyDescent="0.25">
      <c r="E302"/>
      <c r="F302"/>
      <c r="G302"/>
    </row>
    <row r="303" spans="5:7" x14ac:dyDescent="0.25">
      <c r="E303"/>
      <c r="F303"/>
      <c r="G303"/>
    </row>
    <row r="304" spans="5:7" x14ac:dyDescent="0.25">
      <c r="E304"/>
      <c r="F304"/>
      <c r="G304"/>
    </row>
    <row r="305" spans="5:7" x14ac:dyDescent="0.25">
      <c r="E305"/>
      <c r="F305"/>
      <c r="G305"/>
    </row>
    <row r="306" spans="5:7" x14ac:dyDescent="0.25">
      <c r="E306"/>
      <c r="F306"/>
      <c r="G306"/>
    </row>
    <row r="307" spans="5:7" x14ac:dyDescent="0.25">
      <c r="E307"/>
      <c r="F307"/>
      <c r="G307"/>
    </row>
    <row r="308" spans="5:7" x14ac:dyDescent="0.25">
      <c r="E308"/>
      <c r="F308"/>
      <c r="G308"/>
    </row>
    <row r="309" spans="5:7" x14ac:dyDescent="0.25">
      <c r="E309"/>
      <c r="F309"/>
      <c r="G309"/>
    </row>
    <row r="310" spans="5:7" x14ac:dyDescent="0.25">
      <c r="E310"/>
      <c r="F310"/>
      <c r="G310"/>
    </row>
    <row r="311" spans="5:7" x14ac:dyDescent="0.25">
      <c r="E311"/>
      <c r="F311"/>
      <c r="G311"/>
    </row>
    <row r="312" spans="5:7" x14ac:dyDescent="0.25">
      <c r="E312"/>
      <c r="F312"/>
      <c r="G312"/>
    </row>
    <row r="313" spans="5:7" x14ac:dyDescent="0.25">
      <c r="E313"/>
      <c r="F313"/>
      <c r="G313"/>
    </row>
    <row r="314" spans="5:7" x14ac:dyDescent="0.25">
      <c r="E314"/>
      <c r="F314"/>
      <c r="G314"/>
    </row>
    <row r="315" spans="5:7" x14ac:dyDescent="0.25">
      <c r="E315"/>
      <c r="F315"/>
      <c r="G315"/>
    </row>
    <row r="316" spans="5:7" x14ac:dyDescent="0.25">
      <c r="E316"/>
      <c r="F316"/>
      <c r="G316"/>
    </row>
    <row r="317" spans="5:7" x14ac:dyDescent="0.25">
      <c r="E317"/>
      <c r="F317"/>
      <c r="G317"/>
    </row>
    <row r="318" spans="5:7" x14ac:dyDescent="0.25">
      <c r="E318"/>
      <c r="F318"/>
      <c r="G318"/>
    </row>
    <row r="319" spans="5:7" x14ac:dyDescent="0.25">
      <c r="E319"/>
      <c r="F319"/>
      <c r="G319"/>
    </row>
    <row r="320" spans="5:7" x14ac:dyDescent="0.25">
      <c r="E320"/>
      <c r="F320"/>
      <c r="G320"/>
    </row>
    <row r="321" spans="5:7" x14ac:dyDescent="0.25">
      <c r="E321"/>
      <c r="F321"/>
      <c r="G321"/>
    </row>
    <row r="322" spans="5:7" x14ac:dyDescent="0.25">
      <c r="E322"/>
      <c r="F322"/>
      <c r="G322"/>
    </row>
    <row r="323" spans="5:7" x14ac:dyDescent="0.25">
      <c r="E323"/>
      <c r="F323"/>
      <c r="G323"/>
    </row>
    <row r="324" spans="5:7" x14ac:dyDescent="0.25">
      <c r="E324"/>
      <c r="F324"/>
      <c r="G324"/>
    </row>
    <row r="325" spans="5:7" x14ac:dyDescent="0.25">
      <c r="E325"/>
      <c r="F325"/>
      <c r="G325"/>
    </row>
    <row r="326" spans="5:7" x14ac:dyDescent="0.25">
      <c r="E326"/>
      <c r="F326"/>
      <c r="G326"/>
    </row>
    <row r="327" spans="5:7" x14ac:dyDescent="0.25">
      <c r="E327"/>
      <c r="F327"/>
      <c r="G327"/>
    </row>
    <row r="328" spans="5:7" x14ac:dyDescent="0.25">
      <c r="E328"/>
      <c r="F328"/>
      <c r="G328"/>
    </row>
    <row r="329" spans="5:7" x14ac:dyDescent="0.25">
      <c r="E329"/>
      <c r="F329"/>
      <c r="G329"/>
    </row>
    <row r="330" spans="5:7" x14ac:dyDescent="0.25">
      <c r="E330"/>
      <c r="F330"/>
      <c r="G330"/>
    </row>
    <row r="331" spans="5:7" x14ac:dyDescent="0.25">
      <c r="E331"/>
      <c r="F331"/>
      <c r="G331"/>
    </row>
    <row r="332" spans="5:7" x14ac:dyDescent="0.25">
      <c r="E332"/>
      <c r="F332"/>
      <c r="G332"/>
    </row>
    <row r="333" spans="5:7" x14ac:dyDescent="0.25">
      <c r="E333"/>
      <c r="F333"/>
      <c r="G333"/>
    </row>
    <row r="334" spans="5:7" x14ac:dyDescent="0.25">
      <c r="E334"/>
      <c r="F334"/>
      <c r="G334"/>
    </row>
    <row r="335" spans="5:7" x14ac:dyDescent="0.25">
      <c r="E335"/>
      <c r="F335"/>
      <c r="G335"/>
    </row>
    <row r="336" spans="5:7" x14ac:dyDescent="0.25">
      <c r="E336"/>
      <c r="F336"/>
      <c r="G336"/>
    </row>
    <row r="337" spans="5:7" x14ac:dyDescent="0.25">
      <c r="E337"/>
      <c r="F337"/>
      <c r="G337"/>
    </row>
    <row r="338" spans="5:7" x14ac:dyDescent="0.25">
      <c r="E338"/>
      <c r="F338"/>
      <c r="G338"/>
    </row>
    <row r="339" spans="5:7" x14ac:dyDescent="0.25">
      <c r="E339"/>
      <c r="F339"/>
      <c r="G339"/>
    </row>
    <row r="340" spans="5:7" x14ac:dyDescent="0.25">
      <c r="E340"/>
      <c r="F340"/>
      <c r="G340"/>
    </row>
    <row r="341" spans="5:7" x14ac:dyDescent="0.25">
      <c r="E341"/>
      <c r="F341"/>
      <c r="G341"/>
    </row>
    <row r="342" spans="5:7" x14ac:dyDescent="0.25">
      <c r="E342"/>
      <c r="F342"/>
      <c r="G342"/>
    </row>
    <row r="343" spans="5:7" x14ac:dyDescent="0.25">
      <c r="E343"/>
      <c r="F343"/>
      <c r="G343"/>
    </row>
    <row r="344" spans="5:7" x14ac:dyDescent="0.25">
      <c r="E344"/>
      <c r="F344"/>
      <c r="G344"/>
    </row>
    <row r="345" spans="5:7" x14ac:dyDescent="0.25">
      <c r="E345"/>
      <c r="F345"/>
      <c r="G345"/>
    </row>
    <row r="346" spans="5:7" x14ac:dyDescent="0.25">
      <c r="E346"/>
      <c r="F346"/>
      <c r="G346"/>
    </row>
    <row r="347" spans="5:7" x14ac:dyDescent="0.25">
      <c r="E347"/>
      <c r="F347"/>
      <c r="G347"/>
    </row>
    <row r="348" spans="5:7" x14ac:dyDescent="0.25">
      <c r="E348"/>
      <c r="F348"/>
      <c r="G348"/>
    </row>
    <row r="349" spans="5:7" x14ac:dyDescent="0.25">
      <c r="E349"/>
      <c r="F349"/>
      <c r="G349"/>
    </row>
    <row r="350" spans="5:7" x14ac:dyDescent="0.25">
      <c r="E350"/>
      <c r="F350"/>
      <c r="G350"/>
    </row>
    <row r="351" spans="5:7" x14ac:dyDescent="0.25">
      <c r="E351"/>
      <c r="F351"/>
      <c r="G351"/>
    </row>
    <row r="352" spans="5:7" x14ac:dyDescent="0.25">
      <c r="E352"/>
      <c r="F352"/>
      <c r="G352"/>
    </row>
    <row r="353" spans="5:7" x14ac:dyDescent="0.25">
      <c r="E353"/>
      <c r="F353"/>
      <c r="G353"/>
    </row>
    <row r="354" spans="5:7" x14ac:dyDescent="0.25">
      <c r="E354"/>
      <c r="F354"/>
      <c r="G354"/>
    </row>
    <row r="355" spans="5:7" x14ac:dyDescent="0.25">
      <c r="E355"/>
      <c r="F355"/>
      <c r="G355"/>
    </row>
    <row r="356" spans="5:7" x14ac:dyDescent="0.25">
      <c r="E356"/>
      <c r="F356"/>
      <c r="G356"/>
    </row>
    <row r="357" spans="5:7" x14ac:dyDescent="0.25">
      <c r="E357"/>
      <c r="F357"/>
      <c r="G357"/>
    </row>
    <row r="358" spans="5:7" x14ac:dyDescent="0.25">
      <c r="E358"/>
      <c r="F358"/>
      <c r="G358"/>
    </row>
    <row r="359" spans="5:7" x14ac:dyDescent="0.25">
      <c r="E359"/>
      <c r="F359"/>
      <c r="G359"/>
    </row>
    <row r="360" spans="5:7" x14ac:dyDescent="0.25">
      <c r="E360"/>
      <c r="F360"/>
      <c r="G360"/>
    </row>
    <row r="361" spans="5:7" x14ac:dyDescent="0.25">
      <c r="E361"/>
      <c r="F361"/>
      <c r="G361"/>
    </row>
    <row r="362" spans="5:7" x14ac:dyDescent="0.25">
      <c r="E362"/>
      <c r="F362"/>
      <c r="G362"/>
    </row>
    <row r="363" spans="5:7" x14ac:dyDescent="0.25">
      <c r="E363"/>
      <c r="F363"/>
      <c r="G363"/>
    </row>
    <row r="364" spans="5:7" x14ac:dyDescent="0.25">
      <c r="E364"/>
      <c r="F364"/>
      <c r="G364"/>
    </row>
    <row r="365" spans="5:7" x14ac:dyDescent="0.25">
      <c r="E365"/>
      <c r="F365"/>
      <c r="G365"/>
    </row>
    <row r="366" spans="5:7" x14ac:dyDescent="0.25">
      <c r="E366"/>
      <c r="F366"/>
      <c r="G366"/>
    </row>
    <row r="367" spans="5:7" x14ac:dyDescent="0.25">
      <c r="E367"/>
      <c r="F367"/>
      <c r="G367"/>
    </row>
    <row r="368" spans="5:7" x14ac:dyDescent="0.25">
      <c r="E368"/>
      <c r="F368"/>
      <c r="G368"/>
    </row>
    <row r="369" spans="5:7" x14ac:dyDescent="0.25">
      <c r="E369"/>
      <c r="F369"/>
      <c r="G369"/>
    </row>
    <row r="370" spans="5:7" x14ac:dyDescent="0.25">
      <c r="E370"/>
      <c r="F370"/>
      <c r="G370"/>
    </row>
    <row r="371" spans="5:7" x14ac:dyDescent="0.25">
      <c r="E371"/>
      <c r="F371"/>
      <c r="G371"/>
    </row>
    <row r="372" spans="5:7" x14ac:dyDescent="0.25">
      <c r="E372"/>
      <c r="F372"/>
      <c r="G372"/>
    </row>
    <row r="373" spans="5:7" x14ac:dyDescent="0.25">
      <c r="E373"/>
      <c r="F373"/>
      <c r="G373"/>
    </row>
    <row r="374" spans="5:7" x14ac:dyDescent="0.25">
      <c r="E374"/>
      <c r="F374"/>
      <c r="G374"/>
    </row>
    <row r="375" spans="5:7" x14ac:dyDescent="0.25">
      <c r="E375"/>
      <c r="F375"/>
      <c r="G375"/>
    </row>
    <row r="376" spans="5:7" x14ac:dyDescent="0.25">
      <c r="E376"/>
      <c r="F376"/>
      <c r="G376"/>
    </row>
    <row r="377" spans="5:7" x14ac:dyDescent="0.25">
      <c r="E377"/>
      <c r="F377"/>
      <c r="G377"/>
    </row>
    <row r="378" spans="5:7" x14ac:dyDescent="0.25">
      <c r="E378"/>
      <c r="F378"/>
      <c r="G378"/>
    </row>
    <row r="379" spans="5:7" x14ac:dyDescent="0.25">
      <c r="E379"/>
      <c r="F379"/>
      <c r="G379"/>
    </row>
    <row r="380" spans="5:7" x14ac:dyDescent="0.25">
      <c r="E380"/>
      <c r="F380"/>
      <c r="G380"/>
    </row>
    <row r="381" spans="5:7" x14ac:dyDescent="0.25">
      <c r="E381"/>
      <c r="F381"/>
      <c r="G381"/>
    </row>
    <row r="382" spans="5:7" x14ac:dyDescent="0.25">
      <c r="E382"/>
      <c r="F382"/>
      <c r="G382"/>
    </row>
    <row r="383" spans="5:7" x14ac:dyDescent="0.25">
      <c r="E383"/>
      <c r="F383"/>
      <c r="G383"/>
    </row>
    <row r="384" spans="5:7" x14ac:dyDescent="0.25">
      <c r="E384"/>
      <c r="F384"/>
      <c r="G384"/>
    </row>
    <row r="385" spans="5:7" x14ac:dyDescent="0.25">
      <c r="E385"/>
      <c r="F385"/>
      <c r="G385"/>
    </row>
    <row r="386" spans="5:7" x14ac:dyDescent="0.25">
      <c r="E386"/>
      <c r="F386"/>
      <c r="G386"/>
    </row>
    <row r="387" spans="5:7" x14ac:dyDescent="0.25">
      <c r="E387"/>
      <c r="F387"/>
      <c r="G387"/>
    </row>
    <row r="388" spans="5:7" x14ac:dyDescent="0.25">
      <c r="E388"/>
      <c r="F388"/>
      <c r="G388"/>
    </row>
    <row r="389" spans="5:7" x14ac:dyDescent="0.25">
      <c r="E389"/>
      <c r="F389"/>
      <c r="G389"/>
    </row>
    <row r="390" spans="5:7" x14ac:dyDescent="0.25">
      <c r="E390"/>
      <c r="F390"/>
      <c r="G390"/>
    </row>
    <row r="391" spans="5:7" x14ac:dyDescent="0.25">
      <c r="E391"/>
      <c r="F391"/>
      <c r="G391"/>
    </row>
    <row r="392" spans="5:7" x14ac:dyDescent="0.25">
      <c r="E392"/>
      <c r="F392"/>
      <c r="G392"/>
    </row>
    <row r="393" spans="5:7" x14ac:dyDescent="0.25">
      <c r="E393"/>
      <c r="F393"/>
      <c r="G393"/>
    </row>
    <row r="394" spans="5:7" x14ac:dyDescent="0.25">
      <c r="E394"/>
      <c r="F394"/>
      <c r="G394"/>
    </row>
    <row r="395" spans="5:7" x14ac:dyDescent="0.25">
      <c r="E395"/>
      <c r="F395"/>
      <c r="G395"/>
    </row>
    <row r="396" spans="5:7" x14ac:dyDescent="0.25">
      <c r="E396"/>
      <c r="F396"/>
      <c r="G396"/>
    </row>
    <row r="397" spans="5:7" x14ac:dyDescent="0.25">
      <c r="E397"/>
      <c r="F397"/>
      <c r="G397"/>
    </row>
    <row r="398" spans="5:7" x14ac:dyDescent="0.25">
      <c r="E398"/>
      <c r="F398"/>
      <c r="G398"/>
    </row>
    <row r="399" spans="5:7" x14ac:dyDescent="0.25">
      <c r="E399"/>
      <c r="F399"/>
      <c r="G399"/>
    </row>
    <row r="400" spans="5:7" x14ac:dyDescent="0.25">
      <c r="E400"/>
      <c r="F400"/>
      <c r="G400"/>
    </row>
    <row r="401" spans="5:7" x14ac:dyDescent="0.25">
      <c r="E401"/>
      <c r="F401"/>
      <c r="G401"/>
    </row>
    <row r="402" spans="5:7" x14ac:dyDescent="0.25">
      <c r="E402"/>
      <c r="F402"/>
      <c r="G402"/>
    </row>
    <row r="403" spans="5:7" x14ac:dyDescent="0.25">
      <c r="E403"/>
      <c r="F403"/>
      <c r="G403"/>
    </row>
    <row r="404" spans="5:7" x14ac:dyDescent="0.25">
      <c r="E404"/>
      <c r="F404"/>
      <c r="G404"/>
    </row>
    <row r="405" spans="5:7" x14ac:dyDescent="0.25">
      <c r="E405"/>
      <c r="F405"/>
      <c r="G405"/>
    </row>
    <row r="406" spans="5:7" x14ac:dyDescent="0.25">
      <c r="E406"/>
      <c r="F406"/>
      <c r="G406"/>
    </row>
    <row r="407" spans="5:7" x14ac:dyDescent="0.25">
      <c r="E407"/>
      <c r="F407"/>
      <c r="G407"/>
    </row>
    <row r="408" spans="5:7" x14ac:dyDescent="0.25">
      <c r="E408"/>
      <c r="F408"/>
      <c r="G408"/>
    </row>
    <row r="409" spans="5:7" x14ac:dyDescent="0.25">
      <c r="E409"/>
      <c r="F409"/>
      <c r="G409"/>
    </row>
    <row r="410" spans="5:7" x14ac:dyDescent="0.25">
      <c r="E410"/>
      <c r="F410"/>
      <c r="G410"/>
    </row>
    <row r="411" spans="5:7" x14ac:dyDescent="0.25">
      <c r="E411"/>
      <c r="F411"/>
      <c r="G411"/>
    </row>
    <row r="412" spans="5:7" x14ac:dyDescent="0.25">
      <c r="E412"/>
      <c r="F412"/>
      <c r="G412"/>
    </row>
    <row r="413" spans="5:7" x14ac:dyDescent="0.25">
      <c r="E413"/>
      <c r="F413"/>
      <c r="G413"/>
    </row>
    <row r="414" spans="5:7" x14ac:dyDescent="0.25">
      <c r="E414"/>
      <c r="F414"/>
      <c r="G414"/>
    </row>
    <row r="415" spans="5:7" x14ac:dyDescent="0.25">
      <c r="E415"/>
      <c r="F415"/>
      <c r="G415"/>
    </row>
    <row r="416" spans="5:7" x14ac:dyDescent="0.25">
      <c r="E416"/>
      <c r="F416"/>
      <c r="G416"/>
    </row>
    <row r="417" spans="5:7" x14ac:dyDescent="0.25">
      <c r="E417"/>
      <c r="F417"/>
      <c r="G417"/>
    </row>
    <row r="418" spans="5:7" x14ac:dyDescent="0.25">
      <c r="E418"/>
      <c r="F418"/>
      <c r="G418"/>
    </row>
    <row r="419" spans="5:7" x14ac:dyDescent="0.25">
      <c r="E419"/>
      <c r="F419"/>
      <c r="G419"/>
    </row>
    <row r="420" spans="5:7" x14ac:dyDescent="0.25">
      <c r="E420"/>
      <c r="F420"/>
      <c r="G420"/>
    </row>
    <row r="421" spans="5:7" x14ac:dyDescent="0.25">
      <c r="E421"/>
      <c r="F421"/>
      <c r="G421"/>
    </row>
    <row r="422" spans="5:7" x14ac:dyDescent="0.25">
      <c r="E422"/>
      <c r="F422"/>
      <c r="G422"/>
    </row>
    <row r="423" spans="5:7" x14ac:dyDescent="0.25">
      <c r="E423"/>
      <c r="F423"/>
      <c r="G423"/>
    </row>
    <row r="424" spans="5:7" x14ac:dyDescent="0.25">
      <c r="E424"/>
      <c r="F424"/>
      <c r="G424"/>
    </row>
    <row r="425" spans="5:7" x14ac:dyDescent="0.25">
      <c r="E425"/>
      <c r="F425"/>
      <c r="G425"/>
    </row>
    <row r="426" spans="5:7" x14ac:dyDescent="0.25">
      <c r="E426"/>
      <c r="F426"/>
      <c r="G426"/>
    </row>
    <row r="427" spans="5:7" x14ac:dyDescent="0.25">
      <c r="E427"/>
      <c r="F427"/>
      <c r="G427"/>
    </row>
    <row r="428" spans="5:7" x14ac:dyDescent="0.25">
      <c r="E428"/>
      <c r="F428"/>
      <c r="G428"/>
    </row>
    <row r="429" spans="5:7" x14ac:dyDescent="0.25">
      <c r="E429"/>
      <c r="F429"/>
      <c r="G429"/>
    </row>
    <row r="430" spans="5:7" x14ac:dyDescent="0.25">
      <c r="E430"/>
      <c r="F430"/>
      <c r="G430"/>
    </row>
    <row r="431" spans="5:7" x14ac:dyDescent="0.25">
      <c r="E431"/>
      <c r="F431"/>
      <c r="G431"/>
    </row>
    <row r="432" spans="5:7" x14ac:dyDescent="0.25">
      <c r="E432"/>
      <c r="F432"/>
      <c r="G432"/>
    </row>
    <row r="433" spans="5:7" x14ac:dyDescent="0.25">
      <c r="E433"/>
      <c r="F433"/>
      <c r="G433"/>
    </row>
    <row r="434" spans="5:7" x14ac:dyDescent="0.25">
      <c r="E434"/>
      <c r="F434"/>
      <c r="G434"/>
    </row>
    <row r="435" spans="5:7" x14ac:dyDescent="0.25">
      <c r="E435"/>
      <c r="F435"/>
      <c r="G435"/>
    </row>
    <row r="436" spans="5:7" x14ac:dyDescent="0.25">
      <c r="E436"/>
      <c r="F436"/>
      <c r="G436"/>
    </row>
    <row r="437" spans="5:7" x14ac:dyDescent="0.25">
      <c r="E437"/>
      <c r="F437"/>
      <c r="G437"/>
    </row>
    <row r="438" spans="5:7" x14ac:dyDescent="0.25">
      <c r="E438"/>
      <c r="F438"/>
      <c r="G438"/>
    </row>
    <row r="439" spans="5:7" x14ac:dyDescent="0.25">
      <c r="E439"/>
      <c r="F439"/>
      <c r="G439"/>
    </row>
    <row r="440" spans="5:7" x14ac:dyDescent="0.25">
      <c r="E440"/>
      <c r="F440"/>
      <c r="G440"/>
    </row>
    <row r="441" spans="5:7" x14ac:dyDescent="0.25">
      <c r="E441"/>
      <c r="F441"/>
      <c r="G441"/>
    </row>
    <row r="442" spans="5:7" x14ac:dyDescent="0.25">
      <c r="E442"/>
      <c r="F442"/>
      <c r="G442"/>
    </row>
    <row r="443" spans="5:7" x14ac:dyDescent="0.25">
      <c r="E443"/>
      <c r="F443"/>
      <c r="G443"/>
    </row>
    <row r="444" spans="5:7" x14ac:dyDescent="0.25">
      <c r="E444"/>
      <c r="F444"/>
      <c r="G444"/>
    </row>
    <row r="445" spans="5:7" x14ac:dyDescent="0.25">
      <c r="E445"/>
      <c r="F445"/>
      <c r="G445"/>
    </row>
    <row r="446" spans="5:7" x14ac:dyDescent="0.25">
      <c r="E446"/>
      <c r="F446"/>
      <c r="G446"/>
    </row>
    <row r="447" spans="5:7" x14ac:dyDescent="0.25">
      <c r="E447"/>
      <c r="F447"/>
      <c r="G447"/>
    </row>
    <row r="448" spans="5:7" x14ac:dyDescent="0.25">
      <c r="E448"/>
      <c r="F448"/>
      <c r="G448"/>
    </row>
    <row r="449" spans="5:7" x14ac:dyDescent="0.25">
      <c r="E449"/>
      <c r="F449"/>
      <c r="G449"/>
    </row>
    <row r="450" spans="5:7" x14ac:dyDescent="0.25">
      <c r="E450"/>
      <c r="F450"/>
      <c r="G450"/>
    </row>
    <row r="451" spans="5:7" x14ac:dyDescent="0.25">
      <c r="E451"/>
      <c r="F451"/>
      <c r="G451"/>
    </row>
    <row r="452" spans="5:7" x14ac:dyDescent="0.25">
      <c r="E452"/>
      <c r="F452"/>
      <c r="G452"/>
    </row>
    <row r="453" spans="5:7" x14ac:dyDescent="0.25">
      <c r="E453"/>
      <c r="F453"/>
      <c r="G453"/>
    </row>
    <row r="454" spans="5:7" x14ac:dyDescent="0.25">
      <c r="E454"/>
      <c r="F454"/>
      <c r="G454"/>
    </row>
    <row r="455" spans="5:7" x14ac:dyDescent="0.25">
      <c r="E455"/>
      <c r="F455"/>
      <c r="G455"/>
    </row>
    <row r="456" spans="5:7" x14ac:dyDescent="0.25">
      <c r="E456"/>
      <c r="F456"/>
      <c r="G456"/>
    </row>
    <row r="457" spans="5:7" x14ac:dyDescent="0.25">
      <c r="E457"/>
      <c r="F457"/>
      <c r="G457"/>
    </row>
    <row r="458" spans="5:7" x14ac:dyDescent="0.25">
      <c r="E458"/>
      <c r="F458"/>
      <c r="G458"/>
    </row>
    <row r="459" spans="5:7" x14ac:dyDescent="0.25">
      <c r="E459"/>
      <c r="F459"/>
      <c r="G459"/>
    </row>
    <row r="460" spans="5:7" x14ac:dyDescent="0.25">
      <c r="E460"/>
      <c r="F460"/>
      <c r="G460"/>
    </row>
    <row r="461" spans="5:7" x14ac:dyDescent="0.25">
      <c r="E461"/>
      <c r="F461"/>
      <c r="G461"/>
    </row>
    <row r="462" spans="5:7" x14ac:dyDescent="0.25">
      <c r="E462"/>
      <c r="F462"/>
      <c r="G462"/>
    </row>
    <row r="463" spans="5:7" x14ac:dyDescent="0.25">
      <c r="E463"/>
      <c r="F463"/>
      <c r="G463"/>
    </row>
    <row r="464" spans="5:7" x14ac:dyDescent="0.25">
      <c r="E464"/>
      <c r="F464"/>
      <c r="G464"/>
    </row>
    <row r="465" spans="5:7" x14ac:dyDescent="0.25">
      <c r="E465"/>
      <c r="F465"/>
      <c r="G465"/>
    </row>
    <row r="466" spans="5:7" x14ac:dyDescent="0.25">
      <c r="E466"/>
      <c r="F466"/>
      <c r="G466"/>
    </row>
    <row r="467" spans="5:7" x14ac:dyDescent="0.25">
      <c r="E467"/>
      <c r="F467"/>
      <c r="G467"/>
    </row>
    <row r="468" spans="5:7" x14ac:dyDescent="0.25">
      <c r="E468"/>
      <c r="F468"/>
      <c r="G468"/>
    </row>
    <row r="469" spans="5:7" x14ac:dyDescent="0.25">
      <c r="E469"/>
      <c r="F469"/>
      <c r="G469"/>
    </row>
    <row r="470" spans="5:7" x14ac:dyDescent="0.25">
      <c r="E470"/>
      <c r="F470"/>
      <c r="G470"/>
    </row>
    <row r="471" spans="5:7" x14ac:dyDescent="0.25">
      <c r="E471"/>
      <c r="F471"/>
      <c r="G471"/>
    </row>
    <row r="472" spans="5:7" x14ac:dyDescent="0.25">
      <c r="E472"/>
      <c r="F472"/>
      <c r="G472"/>
    </row>
    <row r="473" spans="5:7" x14ac:dyDescent="0.25">
      <c r="E473"/>
      <c r="F473"/>
      <c r="G473"/>
    </row>
    <row r="474" spans="5:7" x14ac:dyDescent="0.25">
      <c r="E474"/>
      <c r="F474"/>
      <c r="G474"/>
    </row>
    <row r="475" spans="5:7" x14ac:dyDescent="0.25">
      <c r="E475"/>
      <c r="F475"/>
      <c r="G475"/>
    </row>
    <row r="476" spans="5:7" x14ac:dyDescent="0.25">
      <c r="E476"/>
      <c r="F476"/>
      <c r="G476"/>
    </row>
    <row r="477" spans="5:7" x14ac:dyDescent="0.25">
      <c r="E477"/>
      <c r="F477"/>
      <c r="G477"/>
    </row>
    <row r="478" spans="5:7" x14ac:dyDescent="0.25">
      <c r="E478"/>
      <c r="F478"/>
      <c r="G478"/>
    </row>
    <row r="479" spans="5:7" x14ac:dyDescent="0.25">
      <c r="E479"/>
      <c r="F479"/>
      <c r="G479"/>
    </row>
    <row r="480" spans="5:7" x14ac:dyDescent="0.25">
      <c r="E480"/>
      <c r="F480"/>
      <c r="G480"/>
    </row>
    <row r="481" spans="5:7" x14ac:dyDescent="0.25">
      <c r="E481"/>
      <c r="F481"/>
      <c r="G481"/>
    </row>
    <row r="482" spans="5:7" x14ac:dyDescent="0.25">
      <c r="E482"/>
      <c r="F482"/>
      <c r="G482"/>
    </row>
    <row r="483" spans="5:7" x14ac:dyDescent="0.25">
      <c r="E483"/>
      <c r="F483"/>
      <c r="G483"/>
    </row>
    <row r="484" spans="5:7" x14ac:dyDescent="0.25">
      <c r="E484"/>
      <c r="F484"/>
      <c r="G484"/>
    </row>
    <row r="485" spans="5:7" x14ac:dyDescent="0.25">
      <c r="E485"/>
      <c r="F485"/>
      <c r="G485"/>
    </row>
    <row r="486" spans="5:7" x14ac:dyDescent="0.25">
      <c r="E486"/>
      <c r="F486"/>
      <c r="G486"/>
    </row>
    <row r="487" spans="5:7" x14ac:dyDescent="0.25">
      <c r="E487"/>
      <c r="F487"/>
      <c r="G487"/>
    </row>
    <row r="488" spans="5:7" x14ac:dyDescent="0.25">
      <c r="E488"/>
      <c r="F488"/>
      <c r="G488"/>
    </row>
    <row r="489" spans="5:7" x14ac:dyDescent="0.25">
      <c r="E489"/>
      <c r="F489"/>
      <c r="G489"/>
    </row>
    <row r="490" spans="5:7" x14ac:dyDescent="0.25">
      <c r="E490"/>
      <c r="F490"/>
      <c r="G490"/>
    </row>
    <row r="491" spans="5:7" x14ac:dyDescent="0.25">
      <c r="E491"/>
      <c r="F491"/>
      <c r="G491"/>
    </row>
    <row r="492" spans="5:7" x14ac:dyDescent="0.25">
      <c r="E492"/>
      <c r="F492"/>
      <c r="G492"/>
    </row>
    <row r="493" spans="5:7" x14ac:dyDescent="0.25">
      <c r="E493"/>
      <c r="F493"/>
      <c r="G493"/>
    </row>
    <row r="494" spans="5:7" x14ac:dyDescent="0.25">
      <c r="E494"/>
      <c r="F494"/>
      <c r="G494"/>
    </row>
    <row r="495" spans="5:7" x14ac:dyDescent="0.25">
      <c r="E495"/>
      <c r="F495"/>
      <c r="G495"/>
    </row>
    <row r="496" spans="5:7" x14ac:dyDescent="0.25">
      <c r="E496"/>
      <c r="F496"/>
      <c r="G496"/>
    </row>
    <row r="497" spans="5:7" x14ac:dyDescent="0.25">
      <c r="E497"/>
      <c r="F497"/>
      <c r="G497"/>
    </row>
    <row r="498" spans="5:7" x14ac:dyDescent="0.25">
      <c r="E498"/>
      <c r="F498"/>
      <c r="G498"/>
    </row>
    <row r="499" spans="5:7" x14ac:dyDescent="0.25">
      <c r="E499"/>
      <c r="F499"/>
      <c r="G499"/>
    </row>
    <row r="500" spans="5:7" x14ac:dyDescent="0.25">
      <c r="E500"/>
      <c r="F500"/>
      <c r="G500"/>
    </row>
    <row r="501" spans="5:7" x14ac:dyDescent="0.25">
      <c r="E501"/>
      <c r="F501"/>
      <c r="G501"/>
    </row>
    <row r="502" spans="5:7" x14ac:dyDescent="0.25">
      <c r="E502"/>
      <c r="F502"/>
      <c r="G502"/>
    </row>
    <row r="503" spans="5:7" x14ac:dyDescent="0.25">
      <c r="E503"/>
      <c r="F503"/>
      <c r="G503"/>
    </row>
    <row r="504" spans="5:7" x14ac:dyDescent="0.25">
      <c r="E504"/>
      <c r="F504"/>
      <c r="G504"/>
    </row>
    <row r="505" spans="5:7" x14ac:dyDescent="0.25">
      <c r="E505"/>
      <c r="F505"/>
      <c r="G505"/>
    </row>
    <row r="506" spans="5:7" x14ac:dyDescent="0.25">
      <c r="E506"/>
      <c r="F506"/>
      <c r="G506"/>
    </row>
    <row r="507" spans="5:7" x14ac:dyDescent="0.25">
      <c r="E507"/>
      <c r="F507"/>
      <c r="G507"/>
    </row>
    <row r="508" spans="5:7" x14ac:dyDescent="0.25">
      <c r="E508"/>
      <c r="F508"/>
      <c r="G508"/>
    </row>
    <row r="509" spans="5:7" x14ac:dyDescent="0.25">
      <c r="E509"/>
      <c r="F509"/>
      <c r="G509"/>
    </row>
    <row r="510" spans="5:7" x14ac:dyDescent="0.25">
      <c r="E510"/>
      <c r="F510"/>
      <c r="G510"/>
    </row>
    <row r="511" spans="5:7" x14ac:dyDescent="0.25">
      <c r="E511"/>
      <c r="F511"/>
      <c r="G511"/>
    </row>
    <row r="512" spans="5:7" x14ac:dyDescent="0.25">
      <c r="E512"/>
      <c r="F512"/>
      <c r="G512"/>
    </row>
    <row r="513" spans="5:7" x14ac:dyDescent="0.25">
      <c r="E513"/>
      <c r="F513"/>
      <c r="G513"/>
    </row>
    <row r="514" spans="5:7" x14ac:dyDescent="0.25">
      <c r="E514"/>
      <c r="F514"/>
      <c r="G514"/>
    </row>
    <row r="515" spans="5:7" x14ac:dyDescent="0.25">
      <c r="E515"/>
      <c r="F515"/>
      <c r="G515"/>
    </row>
    <row r="516" spans="5:7" x14ac:dyDescent="0.25">
      <c r="E516"/>
      <c r="F516"/>
      <c r="G516"/>
    </row>
    <row r="517" spans="5:7" x14ac:dyDescent="0.25">
      <c r="E517"/>
      <c r="F517"/>
      <c r="G517"/>
    </row>
    <row r="518" spans="5:7" x14ac:dyDescent="0.25">
      <c r="E518"/>
      <c r="F518"/>
      <c r="G518"/>
    </row>
    <row r="519" spans="5:7" x14ac:dyDescent="0.25">
      <c r="E519"/>
      <c r="F519"/>
      <c r="G519"/>
    </row>
    <row r="520" spans="5:7" x14ac:dyDescent="0.25">
      <c r="E520"/>
      <c r="F520"/>
      <c r="G520"/>
    </row>
    <row r="521" spans="5:7" x14ac:dyDescent="0.25">
      <c r="E521"/>
      <c r="F521"/>
      <c r="G521"/>
    </row>
    <row r="522" spans="5:7" x14ac:dyDescent="0.25">
      <c r="E522"/>
      <c r="F522"/>
      <c r="G522"/>
    </row>
    <row r="523" spans="5:7" x14ac:dyDescent="0.25">
      <c r="E523"/>
      <c r="F523"/>
      <c r="G523"/>
    </row>
    <row r="524" spans="5:7" x14ac:dyDescent="0.25">
      <c r="E524"/>
      <c r="F524"/>
      <c r="G524"/>
    </row>
    <row r="525" spans="5:7" x14ac:dyDescent="0.25">
      <c r="E525"/>
      <c r="F525"/>
      <c r="G525"/>
    </row>
    <row r="526" spans="5:7" x14ac:dyDescent="0.25">
      <c r="E526"/>
      <c r="F526"/>
      <c r="G526"/>
    </row>
    <row r="527" spans="5:7" x14ac:dyDescent="0.25">
      <c r="E527"/>
      <c r="F527"/>
      <c r="G527"/>
    </row>
    <row r="528" spans="5:7" x14ac:dyDescent="0.25">
      <c r="E528"/>
      <c r="F528"/>
      <c r="G528"/>
    </row>
    <row r="529" spans="5:7" x14ac:dyDescent="0.25">
      <c r="E529"/>
      <c r="F529"/>
      <c r="G529"/>
    </row>
    <row r="530" spans="5:7" x14ac:dyDescent="0.25">
      <c r="E530"/>
      <c r="F530"/>
      <c r="G530"/>
    </row>
    <row r="531" spans="5:7" x14ac:dyDescent="0.25">
      <c r="E531"/>
      <c r="F531"/>
      <c r="G531"/>
    </row>
    <row r="532" spans="5:7" x14ac:dyDescent="0.25">
      <c r="E532"/>
      <c r="F532"/>
      <c r="G532"/>
    </row>
    <row r="533" spans="5:7" x14ac:dyDescent="0.25">
      <c r="E533"/>
      <c r="F533"/>
      <c r="G533"/>
    </row>
    <row r="534" spans="5:7" x14ac:dyDescent="0.25">
      <c r="E534"/>
      <c r="F534"/>
      <c r="G534"/>
    </row>
    <row r="535" spans="5:7" x14ac:dyDescent="0.25">
      <c r="E535"/>
      <c r="F535"/>
      <c r="G535"/>
    </row>
    <row r="536" spans="5:7" x14ac:dyDescent="0.25">
      <c r="E536"/>
      <c r="F536"/>
      <c r="G536"/>
    </row>
    <row r="537" spans="5:7" x14ac:dyDescent="0.25">
      <c r="E537"/>
      <c r="F537"/>
      <c r="G537"/>
    </row>
    <row r="538" spans="5:7" x14ac:dyDescent="0.25">
      <c r="E538"/>
      <c r="F538"/>
      <c r="G538"/>
    </row>
    <row r="539" spans="5:7" x14ac:dyDescent="0.25">
      <c r="E539"/>
      <c r="F539"/>
      <c r="G539"/>
    </row>
    <row r="540" spans="5:7" x14ac:dyDescent="0.25">
      <c r="E540"/>
      <c r="F540"/>
      <c r="G540"/>
    </row>
    <row r="541" spans="5:7" x14ac:dyDescent="0.25">
      <c r="E541"/>
      <c r="F541"/>
      <c r="G541"/>
    </row>
    <row r="542" spans="5:7" x14ac:dyDescent="0.25">
      <c r="E542"/>
      <c r="F542"/>
      <c r="G542"/>
    </row>
    <row r="543" spans="5:7" x14ac:dyDescent="0.25">
      <c r="E543"/>
      <c r="F543"/>
      <c r="G543"/>
    </row>
    <row r="544" spans="5:7" x14ac:dyDescent="0.25">
      <c r="E544"/>
      <c r="F544"/>
      <c r="G544"/>
    </row>
    <row r="545" spans="5:7" x14ac:dyDescent="0.25">
      <c r="E545"/>
      <c r="F545"/>
      <c r="G545"/>
    </row>
    <row r="546" spans="5:7" x14ac:dyDescent="0.25">
      <c r="E546"/>
      <c r="F546"/>
      <c r="G546"/>
    </row>
    <row r="547" spans="5:7" x14ac:dyDescent="0.25">
      <c r="E547"/>
      <c r="F547"/>
      <c r="G547"/>
    </row>
    <row r="548" spans="5:7" x14ac:dyDescent="0.25">
      <c r="E548"/>
      <c r="F548"/>
      <c r="G548"/>
    </row>
    <row r="549" spans="5:7" x14ac:dyDescent="0.25">
      <c r="E549"/>
      <c r="F549"/>
      <c r="G549"/>
    </row>
    <row r="550" spans="5:7" x14ac:dyDescent="0.25">
      <c r="E550"/>
      <c r="F550"/>
      <c r="G550"/>
    </row>
    <row r="551" spans="5:7" x14ac:dyDescent="0.25">
      <c r="E551"/>
      <c r="F551"/>
      <c r="G551"/>
    </row>
    <row r="552" spans="5:7" x14ac:dyDescent="0.25">
      <c r="E552"/>
      <c r="F552"/>
      <c r="G552"/>
    </row>
    <row r="553" spans="5:7" x14ac:dyDescent="0.25">
      <c r="E553"/>
      <c r="F553"/>
      <c r="G553"/>
    </row>
    <row r="554" spans="5:7" x14ac:dyDescent="0.25">
      <c r="E554"/>
      <c r="F554"/>
      <c r="G554"/>
    </row>
    <row r="555" spans="5:7" x14ac:dyDescent="0.25">
      <c r="E555"/>
      <c r="F555"/>
      <c r="G555"/>
    </row>
    <row r="556" spans="5:7" x14ac:dyDescent="0.25">
      <c r="E556"/>
      <c r="F556"/>
      <c r="G556"/>
    </row>
    <row r="557" spans="5:7" x14ac:dyDescent="0.25">
      <c r="E557"/>
      <c r="F557"/>
      <c r="G557"/>
    </row>
    <row r="558" spans="5:7" x14ac:dyDescent="0.25">
      <c r="E558"/>
      <c r="F558"/>
      <c r="G558"/>
    </row>
    <row r="559" spans="5:7" x14ac:dyDescent="0.25">
      <c r="E559"/>
      <c r="F559"/>
      <c r="G559"/>
    </row>
    <row r="560" spans="5:7" x14ac:dyDescent="0.25">
      <c r="E560"/>
      <c r="F560"/>
      <c r="G560"/>
    </row>
    <row r="561" spans="5:7" x14ac:dyDescent="0.25">
      <c r="E561"/>
      <c r="F561"/>
      <c r="G561"/>
    </row>
    <row r="562" spans="5:7" x14ac:dyDescent="0.25">
      <c r="E562"/>
      <c r="F562"/>
      <c r="G562"/>
    </row>
    <row r="563" spans="5:7" x14ac:dyDescent="0.25">
      <c r="E563"/>
      <c r="F563"/>
      <c r="G563"/>
    </row>
    <row r="564" spans="5:7" x14ac:dyDescent="0.25">
      <c r="E564"/>
      <c r="F564"/>
      <c r="G564"/>
    </row>
    <row r="565" spans="5:7" x14ac:dyDescent="0.25">
      <c r="E565"/>
      <c r="F565"/>
      <c r="G565"/>
    </row>
    <row r="566" spans="5:7" x14ac:dyDescent="0.25">
      <c r="E566"/>
      <c r="F566"/>
      <c r="G566"/>
    </row>
    <row r="567" spans="5:7" x14ac:dyDescent="0.25">
      <c r="E567"/>
      <c r="F567"/>
      <c r="G567"/>
    </row>
    <row r="568" spans="5:7" x14ac:dyDescent="0.25">
      <c r="E568"/>
      <c r="F568"/>
      <c r="G568"/>
    </row>
    <row r="569" spans="5:7" x14ac:dyDescent="0.25">
      <c r="E569"/>
      <c r="F569"/>
      <c r="G569"/>
    </row>
    <row r="570" spans="5:7" x14ac:dyDescent="0.25">
      <c r="E570"/>
      <c r="F570"/>
      <c r="G570"/>
    </row>
    <row r="571" spans="5:7" x14ac:dyDescent="0.25">
      <c r="E571"/>
      <c r="F571"/>
      <c r="G571"/>
    </row>
    <row r="572" spans="5:7" x14ac:dyDescent="0.25">
      <c r="E572"/>
      <c r="F572"/>
      <c r="G572"/>
    </row>
    <row r="573" spans="5:7" x14ac:dyDescent="0.25">
      <c r="E573"/>
      <c r="F573"/>
      <c r="G573"/>
    </row>
    <row r="574" spans="5:7" x14ac:dyDescent="0.25">
      <c r="E574"/>
      <c r="F574"/>
      <c r="G574"/>
    </row>
    <row r="575" spans="5:7" x14ac:dyDescent="0.25">
      <c r="E575"/>
      <c r="F575"/>
      <c r="G575"/>
    </row>
    <row r="576" spans="5:7" x14ac:dyDescent="0.25">
      <c r="E576"/>
      <c r="F576"/>
      <c r="G576"/>
    </row>
    <row r="577" spans="5:7" x14ac:dyDescent="0.25">
      <c r="E577"/>
      <c r="F577"/>
      <c r="G577"/>
    </row>
    <row r="578" spans="5:7" x14ac:dyDescent="0.25">
      <c r="E578"/>
      <c r="F578"/>
      <c r="G578"/>
    </row>
    <row r="579" spans="5:7" x14ac:dyDescent="0.25">
      <c r="E579"/>
      <c r="F579"/>
      <c r="G579"/>
    </row>
    <row r="580" spans="5:7" x14ac:dyDescent="0.25">
      <c r="E580"/>
      <c r="F580"/>
      <c r="G580"/>
    </row>
    <row r="581" spans="5:7" x14ac:dyDescent="0.25">
      <c r="E581"/>
      <c r="F581"/>
      <c r="G581"/>
    </row>
    <row r="582" spans="5:7" x14ac:dyDescent="0.25">
      <c r="E582"/>
      <c r="F582"/>
      <c r="G582"/>
    </row>
    <row r="583" spans="5:7" x14ac:dyDescent="0.25">
      <c r="E583"/>
      <c r="F583"/>
      <c r="G583"/>
    </row>
    <row r="584" spans="5:7" x14ac:dyDescent="0.25">
      <c r="E584"/>
      <c r="F584"/>
      <c r="G584"/>
    </row>
    <row r="585" spans="5:7" x14ac:dyDescent="0.25">
      <c r="E585"/>
      <c r="F585"/>
      <c r="G585"/>
    </row>
    <row r="586" spans="5:7" x14ac:dyDescent="0.25">
      <c r="E586"/>
      <c r="F586"/>
      <c r="G586"/>
    </row>
    <row r="587" spans="5:7" x14ac:dyDescent="0.25">
      <c r="E587"/>
      <c r="F587"/>
      <c r="G587"/>
    </row>
    <row r="588" spans="5:7" x14ac:dyDescent="0.25">
      <c r="E588"/>
      <c r="F588"/>
      <c r="G588"/>
    </row>
    <row r="589" spans="5:7" x14ac:dyDescent="0.25">
      <c r="E589"/>
      <c r="F589"/>
      <c r="G589"/>
    </row>
    <row r="590" spans="5:7" x14ac:dyDescent="0.25">
      <c r="E590"/>
      <c r="F590"/>
      <c r="G590"/>
    </row>
    <row r="591" spans="5:7" x14ac:dyDescent="0.25">
      <c r="E591"/>
      <c r="F591"/>
      <c r="G591"/>
    </row>
    <row r="592" spans="5:7" x14ac:dyDescent="0.25">
      <c r="E592"/>
      <c r="F592"/>
      <c r="G592"/>
    </row>
    <row r="593" spans="5:7" x14ac:dyDescent="0.25">
      <c r="E593"/>
      <c r="F593"/>
      <c r="G593"/>
    </row>
    <row r="594" spans="5:7" x14ac:dyDescent="0.25">
      <c r="E594"/>
      <c r="F594"/>
      <c r="G594"/>
    </row>
    <row r="595" spans="5:7" x14ac:dyDescent="0.25">
      <c r="E595"/>
      <c r="F595"/>
      <c r="G595"/>
    </row>
    <row r="596" spans="5:7" x14ac:dyDescent="0.25">
      <c r="E596"/>
      <c r="F596"/>
      <c r="G596"/>
    </row>
    <row r="597" spans="5:7" x14ac:dyDescent="0.25">
      <c r="E597"/>
      <c r="F597"/>
      <c r="G597"/>
    </row>
    <row r="598" spans="5:7" x14ac:dyDescent="0.25">
      <c r="E598"/>
      <c r="F598"/>
      <c r="G598"/>
    </row>
    <row r="599" spans="5:7" x14ac:dyDescent="0.25">
      <c r="E599"/>
      <c r="F599"/>
      <c r="G599"/>
    </row>
    <row r="600" spans="5:7" x14ac:dyDescent="0.25">
      <c r="E600"/>
      <c r="F600"/>
      <c r="G600"/>
    </row>
    <row r="601" spans="5:7" x14ac:dyDescent="0.25">
      <c r="E601"/>
      <c r="F601"/>
      <c r="G601"/>
    </row>
    <row r="602" spans="5:7" x14ac:dyDescent="0.25">
      <c r="E602"/>
      <c r="F602"/>
      <c r="G602"/>
    </row>
    <row r="603" spans="5:7" x14ac:dyDescent="0.25">
      <c r="E603"/>
      <c r="F603"/>
      <c r="G603"/>
    </row>
    <row r="604" spans="5:7" x14ac:dyDescent="0.25">
      <c r="E604"/>
      <c r="F604"/>
      <c r="G604"/>
    </row>
    <row r="605" spans="5:7" x14ac:dyDescent="0.25">
      <c r="E605"/>
      <c r="F605"/>
      <c r="G605"/>
    </row>
    <row r="606" spans="5:7" x14ac:dyDescent="0.25">
      <c r="E606"/>
      <c r="F606"/>
      <c r="G606"/>
    </row>
    <row r="607" spans="5:7" x14ac:dyDescent="0.25">
      <c r="E607"/>
      <c r="F607"/>
      <c r="G607"/>
    </row>
    <row r="608" spans="5:7" x14ac:dyDescent="0.25">
      <c r="E608"/>
      <c r="F608"/>
      <c r="G608"/>
    </row>
    <row r="609" spans="5:7" x14ac:dyDescent="0.25">
      <c r="E609"/>
      <c r="F609"/>
      <c r="G609"/>
    </row>
    <row r="610" spans="5:7" x14ac:dyDescent="0.25">
      <c r="E610"/>
      <c r="F610"/>
      <c r="G610"/>
    </row>
    <row r="611" spans="5:7" x14ac:dyDescent="0.25">
      <c r="E611"/>
      <c r="F611"/>
      <c r="G611"/>
    </row>
    <row r="612" spans="5:7" x14ac:dyDescent="0.25">
      <c r="E612"/>
      <c r="F612"/>
      <c r="G612"/>
    </row>
    <row r="613" spans="5:7" x14ac:dyDescent="0.25">
      <c r="E613"/>
      <c r="F613"/>
      <c r="G613"/>
    </row>
    <row r="614" spans="5:7" x14ac:dyDescent="0.25">
      <c r="E614"/>
      <c r="F614"/>
      <c r="G614"/>
    </row>
    <row r="615" spans="5:7" x14ac:dyDescent="0.25">
      <c r="E615"/>
      <c r="F615"/>
      <c r="G615"/>
    </row>
    <row r="616" spans="5:7" x14ac:dyDescent="0.25">
      <c r="E616"/>
      <c r="F616"/>
      <c r="G616"/>
    </row>
    <row r="617" spans="5:7" x14ac:dyDescent="0.25">
      <c r="E617"/>
      <c r="F617"/>
      <c r="G617"/>
    </row>
    <row r="618" spans="5:7" x14ac:dyDescent="0.25">
      <c r="E618"/>
      <c r="F618"/>
      <c r="G618"/>
    </row>
    <row r="619" spans="5:7" x14ac:dyDescent="0.25">
      <c r="E619"/>
      <c r="F619"/>
      <c r="G619"/>
    </row>
    <row r="620" spans="5:7" x14ac:dyDescent="0.25">
      <c r="E620"/>
      <c r="F620"/>
      <c r="G620"/>
    </row>
    <row r="621" spans="5:7" x14ac:dyDescent="0.25">
      <c r="E621"/>
      <c r="F621"/>
      <c r="G621"/>
    </row>
    <row r="622" spans="5:7" x14ac:dyDescent="0.25">
      <c r="E622"/>
      <c r="F622"/>
      <c r="G622"/>
    </row>
    <row r="623" spans="5:7" x14ac:dyDescent="0.25">
      <c r="E623"/>
      <c r="F623"/>
      <c r="G623"/>
    </row>
    <row r="624" spans="5:7" x14ac:dyDescent="0.25">
      <c r="E624"/>
      <c r="F624"/>
      <c r="G624"/>
    </row>
    <row r="625" spans="5:7" x14ac:dyDescent="0.25">
      <c r="E625"/>
      <c r="F625"/>
      <c r="G625"/>
    </row>
    <row r="626" spans="5:7" x14ac:dyDescent="0.25">
      <c r="E626"/>
      <c r="F626"/>
      <c r="G626"/>
    </row>
    <row r="627" spans="5:7" x14ac:dyDescent="0.25">
      <c r="E627"/>
      <c r="F627"/>
      <c r="G627"/>
    </row>
    <row r="628" spans="5:7" x14ac:dyDescent="0.25">
      <c r="E628"/>
      <c r="F628"/>
      <c r="G628"/>
    </row>
    <row r="629" spans="5:7" x14ac:dyDescent="0.25">
      <c r="E629"/>
      <c r="F629"/>
      <c r="G629"/>
    </row>
    <row r="630" spans="5:7" x14ac:dyDescent="0.25">
      <c r="E630"/>
      <c r="F630"/>
      <c r="G630"/>
    </row>
    <row r="631" spans="5:7" x14ac:dyDescent="0.25">
      <c r="E631"/>
      <c r="F631"/>
      <c r="G631"/>
    </row>
    <row r="632" spans="5:7" x14ac:dyDescent="0.25">
      <c r="E632"/>
      <c r="F632"/>
      <c r="G632"/>
    </row>
    <row r="633" spans="5:7" x14ac:dyDescent="0.25">
      <c r="E633"/>
      <c r="F633"/>
      <c r="G633"/>
    </row>
    <row r="634" spans="5:7" x14ac:dyDescent="0.25">
      <c r="E634"/>
      <c r="F634"/>
      <c r="G634"/>
    </row>
    <row r="635" spans="5:7" x14ac:dyDescent="0.25">
      <c r="E635"/>
      <c r="F635"/>
      <c r="G635"/>
    </row>
    <row r="636" spans="5:7" x14ac:dyDescent="0.25">
      <c r="E636"/>
      <c r="F636"/>
      <c r="G636"/>
    </row>
    <row r="637" spans="5:7" x14ac:dyDescent="0.25">
      <c r="E637"/>
      <c r="F637"/>
      <c r="G637"/>
    </row>
    <row r="638" spans="5:7" x14ac:dyDescent="0.25">
      <c r="E638"/>
      <c r="F638"/>
      <c r="G638"/>
    </row>
    <row r="639" spans="5:7" x14ac:dyDescent="0.25">
      <c r="E639"/>
      <c r="F639"/>
      <c r="G639"/>
    </row>
    <row r="640" spans="5:7" x14ac:dyDescent="0.25">
      <c r="E640"/>
      <c r="F640"/>
      <c r="G640"/>
    </row>
    <row r="641" spans="5:7" x14ac:dyDescent="0.25">
      <c r="E641"/>
      <c r="F641"/>
      <c r="G641"/>
    </row>
    <row r="642" spans="5:7" x14ac:dyDescent="0.25">
      <c r="E642"/>
      <c r="F642"/>
      <c r="G642"/>
    </row>
    <row r="643" spans="5:7" x14ac:dyDescent="0.25">
      <c r="E643"/>
      <c r="F643"/>
      <c r="G643"/>
    </row>
    <row r="644" spans="5:7" x14ac:dyDescent="0.25">
      <c r="E644"/>
      <c r="F644"/>
      <c r="G644"/>
    </row>
    <row r="645" spans="5:7" x14ac:dyDescent="0.25">
      <c r="E645"/>
      <c r="F645"/>
      <c r="G645"/>
    </row>
    <row r="646" spans="5:7" x14ac:dyDescent="0.25">
      <c r="E646"/>
      <c r="F646"/>
      <c r="G646"/>
    </row>
    <row r="647" spans="5:7" x14ac:dyDescent="0.25">
      <c r="E647"/>
      <c r="F647"/>
      <c r="G647"/>
    </row>
    <row r="648" spans="5:7" x14ac:dyDescent="0.25">
      <c r="E648"/>
      <c r="F648"/>
      <c r="G648"/>
    </row>
    <row r="649" spans="5:7" x14ac:dyDescent="0.25">
      <c r="E649"/>
      <c r="F649"/>
      <c r="G649"/>
    </row>
    <row r="650" spans="5:7" x14ac:dyDescent="0.25">
      <c r="E650"/>
      <c r="F650"/>
      <c r="G650"/>
    </row>
    <row r="651" spans="5:7" x14ac:dyDescent="0.25">
      <c r="E651"/>
      <c r="F651"/>
      <c r="G651"/>
    </row>
    <row r="652" spans="5:7" x14ac:dyDescent="0.25">
      <c r="E652"/>
      <c r="F652"/>
      <c r="G652"/>
    </row>
    <row r="653" spans="5:7" x14ac:dyDescent="0.25">
      <c r="E653"/>
      <c r="F653"/>
      <c r="G653"/>
    </row>
    <row r="654" spans="5:7" x14ac:dyDescent="0.25">
      <c r="E654"/>
      <c r="F654"/>
      <c r="G654"/>
    </row>
    <row r="655" spans="5:7" x14ac:dyDescent="0.25">
      <c r="E655"/>
      <c r="F655"/>
      <c r="G655"/>
    </row>
    <row r="656" spans="5:7" x14ac:dyDescent="0.25">
      <c r="E656"/>
      <c r="F656"/>
      <c r="G656"/>
    </row>
    <row r="657" spans="5:7" x14ac:dyDescent="0.25">
      <c r="E657"/>
      <c r="F657"/>
      <c r="G657"/>
    </row>
    <row r="658" spans="5:7" x14ac:dyDescent="0.25">
      <c r="E658"/>
      <c r="F658"/>
      <c r="G658"/>
    </row>
    <row r="659" spans="5:7" x14ac:dyDescent="0.25">
      <c r="E659"/>
      <c r="F659"/>
      <c r="G659"/>
    </row>
    <row r="660" spans="5:7" x14ac:dyDescent="0.25">
      <c r="E660"/>
      <c r="F660"/>
      <c r="G660"/>
    </row>
    <row r="661" spans="5:7" x14ac:dyDescent="0.25">
      <c r="E661"/>
      <c r="F661"/>
      <c r="G661"/>
    </row>
    <row r="662" spans="5:7" x14ac:dyDescent="0.25">
      <c r="E662"/>
      <c r="F662"/>
      <c r="G662"/>
    </row>
    <row r="663" spans="5:7" x14ac:dyDescent="0.25">
      <c r="E663"/>
      <c r="F663"/>
      <c r="G663"/>
    </row>
    <row r="664" spans="5:7" x14ac:dyDescent="0.25">
      <c r="E664"/>
      <c r="F664"/>
      <c r="G664"/>
    </row>
    <row r="665" spans="5:7" x14ac:dyDescent="0.25">
      <c r="E665"/>
      <c r="F665"/>
      <c r="G665"/>
    </row>
    <row r="666" spans="5:7" x14ac:dyDescent="0.25">
      <c r="E666"/>
      <c r="F666"/>
      <c r="G666"/>
    </row>
    <row r="667" spans="5:7" x14ac:dyDescent="0.25">
      <c r="E667"/>
      <c r="F667"/>
      <c r="G667"/>
    </row>
    <row r="668" spans="5:7" x14ac:dyDescent="0.25">
      <c r="E668"/>
      <c r="F668"/>
      <c r="G668"/>
    </row>
    <row r="669" spans="5:7" x14ac:dyDescent="0.25">
      <c r="E669"/>
      <c r="F669"/>
      <c r="G669"/>
    </row>
    <row r="670" spans="5:7" x14ac:dyDescent="0.25">
      <c r="E670"/>
      <c r="F670"/>
      <c r="G670"/>
    </row>
    <row r="671" spans="5:7" x14ac:dyDescent="0.25">
      <c r="E671"/>
      <c r="F671"/>
      <c r="G671"/>
    </row>
    <row r="672" spans="5:7" x14ac:dyDescent="0.25">
      <c r="E672"/>
      <c r="F672"/>
      <c r="G672"/>
    </row>
    <row r="673" spans="5:7" x14ac:dyDescent="0.25">
      <c r="E673"/>
      <c r="F673"/>
      <c r="G673"/>
    </row>
    <row r="674" spans="5:7" x14ac:dyDescent="0.25">
      <c r="E674"/>
      <c r="F674"/>
      <c r="G674"/>
    </row>
    <row r="675" spans="5:7" x14ac:dyDescent="0.25">
      <c r="E675"/>
      <c r="F675"/>
      <c r="G675"/>
    </row>
    <row r="676" spans="5:7" x14ac:dyDescent="0.25">
      <c r="E676"/>
      <c r="F676"/>
      <c r="G676"/>
    </row>
    <row r="677" spans="5:7" x14ac:dyDescent="0.25">
      <c r="E677"/>
      <c r="F677"/>
      <c r="G677"/>
    </row>
    <row r="678" spans="5:7" x14ac:dyDescent="0.25">
      <c r="E678"/>
      <c r="F678"/>
      <c r="G678"/>
    </row>
    <row r="679" spans="5:7" x14ac:dyDescent="0.25">
      <c r="E679"/>
      <c r="F679"/>
      <c r="G679"/>
    </row>
    <row r="680" spans="5:7" x14ac:dyDescent="0.25">
      <c r="E680"/>
      <c r="F680"/>
      <c r="G680"/>
    </row>
    <row r="681" spans="5:7" x14ac:dyDescent="0.25">
      <c r="E681"/>
      <c r="F681"/>
      <c r="G681"/>
    </row>
    <row r="682" spans="5:7" x14ac:dyDescent="0.25">
      <c r="E682"/>
      <c r="F682"/>
      <c r="G682"/>
    </row>
    <row r="683" spans="5:7" x14ac:dyDescent="0.25">
      <c r="E683"/>
      <c r="F683"/>
      <c r="G683"/>
    </row>
    <row r="684" spans="5:7" x14ac:dyDescent="0.25">
      <c r="E684"/>
      <c r="F684"/>
      <c r="G684"/>
    </row>
    <row r="685" spans="5:7" x14ac:dyDescent="0.25">
      <c r="E685"/>
      <c r="F685"/>
      <c r="G685"/>
    </row>
    <row r="686" spans="5:7" x14ac:dyDescent="0.25">
      <c r="E686"/>
      <c r="F686"/>
      <c r="G686"/>
    </row>
    <row r="687" spans="5:7" x14ac:dyDescent="0.25">
      <c r="E687"/>
      <c r="F687"/>
      <c r="G687"/>
    </row>
    <row r="688" spans="5:7" x14ac:dyDescent="0.25">
      <c r="E688"/>
      <c r="F688"/>
      <c r="G688"/>
    </row>
    <row r="689" spans="5:7" x14ac:dyDescent="0.25">
      <c r="E689"/>
      <c r="F689"/>
      <c r="G689"/>
    </row>
    <row r="690" spans="5:7" x14ac:dyDescent="0.25">
      <c r="E690"/>
      <c r="F690"/>
      <c r="G690"/>
    </row>
    <row r="691" spans="5:7" x14ac:dyDescent="0.25">
      <c r="E691"/>
      <c r="F691"/>
      <c r="G691"/>
    </row>
    <row r="692" spans="5:7" x14ac:dyDescent="0.25">
      <c r="E692"/>
      <c r="F692"/>
      <c r="G692"/>
    </row>
    <row r="693" spans="5:7" x14ac:dyDescent="0.25">
      <c r="E693"/>
      <c r="F693"/>
      <c r="G693"/>
    </row>
    <row r="694" spans="5:7" x14ac:dyDescent="0.25">
      <c r="E694"/>
      <c r="F694"/>
      <c r="G694"/>
    </row>
    <row r="695" spans="5:7" x14ac:dyDescent="0.25">
      <c r="E695"/>
      <c r="F695"/>
      <c r="G695"/>
    </row>
    <row r="696" spans="5:7" x14ac:dyDescent="0.25">
      <c r="E696"/>
      <c r="F696"/>
      <c r="G696"/>
    </row>
    <row r="697" spans="5:7" x14ac:dyDescent="0.25">
      <c r="E697"/>
      <c r="F697"/>
      <c r="G697"/>
    </row>
  </sheetData>
  <mergeCells count="6">
    <mergeCell ref="O11:R11"/>
    <mergeCell ref="G5:I5"/>
    <mergeCell ref="A2:B2"/>
    <mergeCell ref="E11:H11"/>
    <mergeCell ref="I11:K11"/>
    <mergeCell ref="L11:N11"/>
  </mergeCells>
  <conditionalFormatting sqref="K2:K1048576 N1:N1048576">
    <cfRule type="cellIs" dxfId="10" priority="13" operator="equal">
      <formula>"Not Ok"</formula>
    </cfRule>
  </conditionalFormatting>
  <conditionalFormatting sqref="H1:H6 H8:H1048576">
    <cfRule type="cellIs" dxfId="9" priority="11" operator="equal">
      <formula>"Fara E"</formula>
    </cfRule>
  </conditionalFormatting>
  <conditionalFormatting sqref="J3:J5">
    <cfRule type="cellIs" dxfId="8" priority="8" operator="equal">
      <formula>"Not Ok"</formula>
    </cfRule>
    <cfRule type="cellIs" dxfId="7" priority="9" operator="equal">
      <formula>"Es2 Necesar"</formula>
    </cfRule>
    <cfRule type="cellIs" dxfId="6" priority="10" operator="equal">
      <formula>"Ok"</formula>
    </cfRule>
  </conditionalFormatting>
  <conditionalFormatting sqref="G4:I4">
    <cfRule type="cellIs" dxfId="5" priority="6" operator="notEqual">
      <formula>""</formula>
    </cfRule>
  </conditionalFormatting>
  <conditionalFormatting sqref="A2:B2">
    <cfRule type="cellIs" dxfId="4" priority="4" operator="equal">
      <formula>"Lot Acceptat"</formula>
    </cfRule>
    <cfRule type="cellIs" dxfId="3" priority="5" operator="equal">
      <formula>"Lot Respins"</formula>
    </cfRule>
  </conditionalFormatting>
  <conditionalFormatting sqref="B13:B15">
    <cfRule type="cellIs" dxfId="2" priority="1" operator="equal">
      <formula>"Es2 Necesar"</formula>
    </cfRule>
    <cfRule type="cellIs" dxfId="1" priority="2" operator="equal">
      <formula>"Not Ok"</formula>
    </cfRule>
    <cfRule type="cellIs" dxfId="0" priority="3" operator="equal">
      <formula>"OK"</formula>
    </cfRule>
  </conditionalFormatting>
  <pageMargins left="0.25" right="0.25" top="0.75" bottom="0.75" header="0.3" footer="0.3"/>
  <pageSetup paperSize="9" scale="90" orientation="landscape" horizontalDpi="300" verticalDpi="300" r:id="rId1"/>
  <colBreaks count="2" manualBreakCount="2">
    <brk id="4" max="1048575" man="1"/>
    <brk id="19" max="1048575" man="1"/>
  </colBreaks>
  <drawing r:id="rId2"/>
  <legacyDrawing r:id="rId3"/>
  <controls>
    <mc:AlternateContent xmlns:mc="http://schemas.openxmlformats.org/markup-compatibility/2006">
      <mc:Choice Requires="x14">
        <control shapeId="2050" r:id="rId4" name="cbFileSelect">
          <controlPr autoLine="0" linkedCell="#REF!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2</xdr:col>
                <xdr:colOff>0</xdr:colOff>
                <xdr:row>0</xdr:row>
                <xdr:rowOff>285750</xdr:rowOff>
              </to>
            </anchor>
          </controlPr>
        </control>
      </mc:Choice>
      <mc:Fallback>
        <control shapeId="2050" r:id="rId4" name="cbFileSelect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Refresh_Click">
            <anchor moveWithCells="1">
              <from>
                <xdr:col>4</xdr:col>
                <xdr:colOff>76200</xdr:colOff>
                <xdr:row>0</xdr:row>
                <xdr:rowOff>38100</xdr:rowOff>
              </from>
              <to>
                <xdr:col>7</xdr:col>
                <xdr:colOff>161925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1029"/>
  <sheetViews>
    <sheetView workbookViewId="0">
      <selection activeCell="C12" sqref="C12"/>
    </sheetView>
  </sheetViews>
  <sheetFormatPr defaultRowHeight="15" x14ac:dyDescent="0.25"/>
  <cols>
    <col min="1" max="1" width="3" customWidth="1"/>
    <col min="2" max="2" width="22.85546875" customWidth="1"/>
    <col min="3" max="3" width="11.7109375" customWidth="1"/>
    <col min="4" max="4" width="7" customWidth="1"/>
    <col min="5" max="5" width="59.5703125" customWidth="1"/>
    <col min="6" max="6" width="14" customWidth="1"/>
    <col min="7" max="7" width="6" customWidth="1"/>
    <col min="8" max="8" width="4" customWidth="1"/>
    <col min="9" max="9" width="8.7109375" customWidth="1"/>
    <col min="10" max="10" width="22.85546875" customWidth="1"/>
    <col min="11" max="11" width="4.140625" customWidth="1"/>
    <col min="12" max="12" width="8" customWidth="1"/>
    <col min="13" max="13" width="30.5703125" customWidth="1"/>
    <col min="14" max="14" width="16.42578125" customWidth="1"/>
    <col min="15" max="15" width="5.140625" style="4" customWidth="1"/>
    <col min="16" max="16" width="7.7109375" customWidth="1"/>
    <col min="17" max="18" width="9.7109375" customWidth="1"/>
    <col min="19" max="19" width="10.140625" customWidth="1"/>
    <col min="20" max="22" width="9.140625" customWidth="1"/>
  </cols>
  <sheetData>
    <row r="1" spans="1:25" x14ac:dyDescent="0.25">
      <c r="A1" t="s">
        <v>48</v>
      </c>
      <c r="B1" t="s">
        <v>49</v>
      </c>
      <c r="C1" t="s">
        <v>50</v>
      </c>
      <c r="D1">
        <v>300001</v>
      </c>
      <c r="E1" t="s">
        <v>89</v>
      </c>
      <c r="F1" t="s">
        <v>90</v>
      </c>
      <c r="G1">
        <v>10000</v>
      </c>
      <c r="H1">
        <v>320</v>
      </c>
      <c r="I1" s="70">
        <v>43472</v>
      </c>
      <c r="O1"/>
      <c r="V1" s="31"/>
      <c r="W1" s="31"/>
      <c r="X1" s="31"/>
      <c r="Y1" s="31"/>
    </row>
    <row r="2" spans="1:25" x14ac:dyDescent="0.25">
      <c r="A2">
        <v>1</v>
      </c>
      <c r="B2">
        <v>10000</v>
      </c>
      <c r="C2" t="s">
        <v>91</v>
      </c>
      <c r="O2"/>
    </row>
    <row r="3" spans="1:25" x14ac:dyDescent="0.25">
      <c r="A3">
        <v>2</v>
      </c>
      <c r="B3">
        <v>10020</v>
      </c>
      <c r="C3" t="s">
        <v>92</v>
      </c>
      <c r="O3"/>
    </row>
    <row r="4" spans="1:25" x14ac:dyDescent="0.25">
      <c r="A4">
        <v>3</v>
      </c>
      <c r="B4">
        <v>10000</v>
      </c>
      <c r="C4" t="s">
        <v>93</v>
      </c>
      <c r="O4"/>
    </row>
    <row r="5" spans="1:25" x14ac:dyDescent="0.25">
      <c r="A5">
        <v>4</v>
      </c>
      <c r="B5">
        <v>10000</v>
      </c>
      <c r="C5" t="s">
        <v>94</v>
      </c>
      <c r="O5"/>
    </row>
    <row r="6" spans="1:25" x14ac:dyDescent="0.25">
      <c r="A6">
        <v>5</v>
      </c>
      <c r="B6">
        <v>10020</v>
      </c>
      <c r="C6" t="s">
        <v>95</v>
      </c>
      <c r="O6"/>
    </row>
    <row r="7" spans="1:25" x14ac:dyDescent="0.25">
      <c r="A7">
        <v>6</v>
      </c>
      <c r="B7">
        <v>10020</v>
      </c>
      <c r="C7" t="s">
        <v>96</v>
      </c>
      <c r="O7"/>
    </row>
    <row r="8" spans="1:25" x14ac:dyDescent="0.25">
      <c r="A8">
        <v>7</v>
      </c>
      <c r="B8">
        <v>10020</v>
      </c>
      <c r="C8" t="s">
        <v>97</v>
      </c>
      <c r="O8"/>
    </row>
    <row r="9" spans="1:25" x14ac:dyDescent="0.25">
      <c r="A9">
        <v>8</v>
      </c>
      <c r="B9">
        <v>10000</v>
      </c>
      <c r="C9" t="s">
        <v>98</v>
      </c>
      <c r="O9"/>
    </row>
    <row r="10" spans="1:25" x14ac:dyDescent="0.25">
      <c r="A10">
        <v>9</v>
      </c>
      <c r="B10">
        <v>10000</v>
      </c>
      <c r="C10" t="s">
        <v>99</v>
      </c>
      <c r="O10"/>
    </row>
    <row r="11" spans="1:25" x14ac:dyDescent="0.25">
      <c r="A11">
        <v>11</v>
      </c>
      <c r="B11">
        <v>10000</v>
      </c>
      <c r="C11" t="s">
        <v>100</v>
      </c>
      <c r="O11"/>
    </row>
    <row r="12" spans="1:25" x14ac:dyDescent="0.25">
      <c r="A12">
        <v>12</v>
      </c>
      <c r="B12">
        <v>10000</v>
      </c>
      <c r="C12" t="s">
        <v>101</v>
      </c>
      <c r="O12"/>
    </row>
    <row r="13" spans="1:25" x14ac:dyDescent="0.25">
      <c r="A13">
        <v>13</v>
      </c>
      <c r="B13">
        <v>10000</v>
      </c>
      <c r="C13" t="s">
        <v>102</v>
      </c>
      <c r="O13"/>
    </row>
    <row r="14" spans="1:25" x14ac:dyDescent="0.25">
      <c r="A14">
        <v>14</v>
      </c>
      <c r="B14">
        <v>10020</v>
      </c>
      <c r="C14" t="s">
        <v>103</v>
      </c>
      <c r="O14"/>
    </row>
    <row r="15" spans="1:25" x14ac:dyDescent="0.25">
      <c r="A15">
        <v>15</v>
      </c>
      <c r="B15">
        <v>10020</v>
      </c>
      <c r="C15" t="s">
        <v>104</v>
      </c>
      <c r="O15"/>
    </row>
    <row r="16" spans="1:25" x14ac:dyDescent="0.25">
      <c r="A16">
        <v>16</v>
      </c>
      <c r="B16">
        <v>10020</v>
      </c>
      <c r="C16" t="s">
        <v>105</v>
      </c>
      <c r="O16"/>
    </row>
    <row r="17" spans="1:15" x14ac:dyDescent="0.25">
      <c r="A17">
        <v>17</v>
      </c>
      <c r="B17">
        <v>10000</v>
      </c>
      <c r="C17" t="s">
        <v>106</v>
      </c>
      <c r="O17"/>
    </row>
    <row r="18" spans="1:15" x14ac:dyDescent="0.25">
      <c r="A18">
        <v>18</v>
      </c>
      <c r="B18">
        <v>10000</v>
      </c>
      <c r="C18" t="s">
        <v>107</v>
      </c>
      <c r="O18"/>
    </row>
    <row r="19" spans="1:15" x14ac:dyDescent="0.25">
      <c r="A19">
        <v>19</v>
      </c>
      <c r="B19">
        <v>10000</v>
      </c>
      <c r="C19" t="s">
        <v>108</v>
      </c>
      <c r="O19"/>
    </row>
    <row r="20" spans="1:15" x14ac:dyDescent="0.25">
      <c r="A20">
        <v>20</v>
      </c>
      <c r="B20">
        <v>10000</v>
      </c>
      <c r="C20" t="s">
        <v>109</v>
      </c>
      <c r="O20"/>
    </row>
    <row r="21" spans="1:15" x14ac:dyDescent="0.25">
      <c r="A21">
        <v>21</v>
      </c>
      <c r="B21">
        <v>10000</v>
      </c>
      <c r="C21" t="s">
        <v>110</v>
      </c>
      <c r="O21"/>
    </row>
    <row r="22" spans="1:15" x14ac:dyDescent="0.25">
      <c r="A22">
        <v>22</v>
      </c>
      <c r="B22">
        <v>10000</v>
      </c>
      <c r="C22" t="s">
        <v>111</v>
      </c>
      <c r="O22"/>
    </row>
    <row r="23" spans="1:15" x14ac:dyDescent="0.25">
      <c r="A23">
        <v>23</v>
      </c>
      <c r="B23">
        <v>10000</v>
      </c>
      <c r="C23" t="s">
        <v>112</v>
      </c>
      <c r="O23"/>
    </row>
    <row r="24" spans="1:15" x14ac:dyDescent="0.25">
      <c r="A24">
        <v>24</v>
      </c>
      <c r="B24">
        <v>10020</v>
      </c>
      <c r="C24" t="s">
        <v>113</v>
      </c>
      <c r="O24"/>
    </row>
    <row r="25" spans="1:15" x14ac:dyDescent="0.25">
      <c r="A25">
        <v>25</v>
      </c>
      <c r="B25">
        <v>10000</v>
      </c>
      <c r="C25" t="s">
        <v>114</v>
      </c>
      <c r="O25"/>
    </row>
    <row r="26" spans="1:15" x14ac:dyDescent="0.25">
      <c r="A26">
        <v>26</v>
      </c>
      <c r="B26">
        <v>10000</v>
      </c>
      <c r="C26" t="s">
        <v>115</v>
      </c>
      <c r="O26"/>
    </row>
    <row r="27" spans="1:15" x14ac:dyDescent="0.25">
      <c r="A27">
        <v>27</v>
      </c>
      <c r="B27">
        <v>10000</v>
      </c>
      <c r="C27" t="s">
        <v>116</v>
      </c>
      <c r="O27"/>
    </row>
    <row r="28" spans="1:15" x14ac:dyDescent="0.25">
      <c r="A28">
        <v>28</v>
      </c>
      <c r="B28">
        <v>10020</v>
      </c>
      <c r="C28" t="s">
        <v>117</v>
      </c>
      <c r="O28"/>
    </row>
    <row r="29" spans="1:15" x14ac:dyDescent="0.25">
      <c r="A29">
        <v>29</v>
      </c>
      <c r="B29">
        <v>10020</v>
      </c>
      <c r="C29" t="s">
        <v>118</v>
      </c>
      <c r="O29"/>
    </row>
    <row r="30" spans="1:15" x14ac:dyDescent="0.25">
      <c r="A30">
        <v>30</v>
      </c>
      <c r="B30">
        <v>10000</v>
      </c>
      <c r="C30" t="s">
        <v>119</v>
      </c>
      <c r="O30"/>
    </row>
    <row r="31" spans="1:15" x14ac:dyDescent="0.25">
      <c r="O31"/>
    </row>
    <row r="32" spans="1:15" x14ac:dyDescent="0.25">
      <c r="O32"/>
    </row>
    <row r="33" spans="15:15" x14ac:dyDescent="0.25">
      <c r="O33"/>
    </row>
    <row r="34" spans="15:15" x14ac:dyDescent="0.25">
      <c r="O34"/>
    </row>
    <row r="35" spans="15:15" x14ac:dyDescent="0.25">
      <c r="O35"/>
    </row>
    <row r="36" spans="15:15" x14ac:dyDescent="0.25">
      <c r="O36"/>
    </row>
    <row r="37" spans="15:15" x14ac:dyDescent="0.25">
      <c r="O37"/>
    </row>
    <row r="38" spans="15:15" x14ac:dyDescent="0.25">
      <c r="O38"/>
    </row>
    <row r="39" spans="15:15" x14ac:dyDescent="0.25">
      <c r="O39"/>
    </row>
    <row r="40" spans="15:15" x14ac:dyDescent="0.25">
      <c r="O40"/>
    </row>
    <row r="41" spans="15:15" x14ac:dyDescent="0.25">
      <c r="O41"/>
    </row>
    <row r="42" spans="15:15" x14ac:dyDescent="0.25">
      <c r="O42"/>
    </row>
    <row r="43" spans="15:15" x14ac:dyDescent="0.25">
      <c r="O43"/>
    </row>
    <row r="44" spans="15:15" x14ac:dyDescent="0.25">
      <c r="O44"/>
    </row>
    <row r="45" spans="15:15" x14ac:dyDescent="0.25">
      <c r="O45"/>
    </row>
    <row r="46" spans="15:15" x14ac:dyDescent="0.25">
      <c r="O46"/>
    </row>
    <row r="47" spans="15:15" x14ac:dyDescent="0.25">
      <c r="O47"/>
    </row>
    <row r="48" spans="15:15" x14ac:dyDescent="0.25">
      <c r="O48"/>
    </row>
    <row r="49" spans="15:15" x14ac:dyDescent="0.25">
      <c r="O49"/>
    </row>
    <row r="50" spans="15:15" x14ac:dyDescent="0.25">
      <c r="O50"/>
    </row>
    <row r="51" spans="15:15" x14ac:dyDescent="0.25">
      <c r="O51"/>
    </row>
    <row r="52" spans="15:15" x14ac:dyDescent="0.25">
      <c r="O52"/>
    </row>
    <row r="53" spans="15:15" x14ac:dyDescent="0.25">
      <c r="O53"/>
    </row>
    <row r="54" spans="15:15" x14ac:dyDescent="0.25">
      <c r="O54"/>
    </row>
    <row r="55" spans="15:15" x14ac:dyDescent="0.25">
      <c r="O55"/>
    </row>
    <row r="56" spans="15:15" x14ac:dyDescent="0.25">
      <c r="O56"/>
    </row>
    <row r="57" spans="15:15" x14ac:dyDescent="0.25">
      <c r="O57"/>
    </row>
    <row r="58" spans="15:15" x14ac:dyDescent="0.25">
      <c r="O58"/>
    </row>
    <row r="59" spans="15:15" x14ac:dyDescent="0.25">
      <c r="O59"/>
    </row>
    <row r="60" spans="15:15" x14ac:dyDescent="0.25">
      <c r="O60"/>
    </row>
    <row r="61" spans="15:15" x14ac:dyDescent="0.25">
      <c r="O61"/>
    </row>
    <row r="62" spans="15:15" x14ac:dyDescent="0.25">
      <c r="O62"/>
    </row>
    <row r="63" spans="15:15" x14ac:dyDescent="0.25">
      <c r="O63"/>
    </row>
    <row r="64" spans="15:15" x14ac:dyDescent="0.25">
      <c r="O64"/>
    </row>
    <row r="65" spans="15:15" x14ac:dyDescent="0.25">
      <c r="O65"/>
    </row>
    <row r="66" spans="15:15" x14ac:dyDescent="0.25">
      <c r="O66"/>
    </row>
    <row r="67" spans="15:15" x14ac:dyDescent="0.25">
      <c r="O67"/>
    </row>
    <row r="68" spans="15:15" x14ac:dyDescent="0.25">
      <c r="O68"/>
    </row>
    <row r="69" spans="15:15" x14ac:dyDescent="0.25">
      <c r="O69"/>
    </row>
    <row r="70" spans="15:15" x14ac:dyDescent="0.25">
      <c r="O70"/>
    </row>
    <row r="71" spans="15:15" x14ac:dyDescent="0.25">
      <c r="O71"/>
    </row>
    <row r="72" spans="15:15" x14ac:dyDescent="0.25">
      <c r="O72"/>
    </row>
    <row r="73" spans="15:15" x14ac:dyDescent="0.25">
      <c r="O73"/>
    </row>
    <row r="74" spans="15:15" x14ac:dyDescent="0.25">
      <c r="O74"/>
    </row>
    <row r="75" spans="15:15" x14ac:dyDescent="0.25">
      <c r="O75"/>
    </row>
    <row r="76" spans="15:15" x14ac:dyDescent="0.25">
      <c r="O76"/>
    </row>
    <row r="77" spans="15:15" x14ac:dyDescent="0.25">
      <c r="O77"/>
    </row>
    <row r="78" spans="15:15" x14ac:dyDescent="0.25">
      <c r="O78"/>
    </row>
    <row r="79" spans="15:15" x14ac:dyDescent="0.25">
      <c r="O79"/>
    </row>
    <row r="80" spans="15:15" x14ac:dyDescent="0.25">
      <c r="O80"/>
    </row>
    <row r="81" spans="15:15" x14ac:dyDescent="0.25">
      <c r="O81"/>
    </row>
    <row r="82" spans="15:15" x14ac:dyDescent="0.25">
      <c r="O82"/>
    </row>
    <row r="83" spans="15:15" x14ac:dyDescent="0.25">
      <c r="O83"/>
    </row>
    <row r="84" spans="15:15" x14ac:dyDescent="0.25">
      <c r="O84"/>
    </row>
    <row r="85" spans="15:15" x14ac:dyDescent="0.25">
      <c r="O85"/>
    </row>
    <row r="86" spans="15:15" x14ac:dyDescent="0.25">
      <c r="O86"/>
    </row>
    <row r="87" spans="15:15" x14ac:dyDescent="0.25">
      <c r="O87"/>
    </row>
    <row r="88" spans="15:15" x14ac:dyDescent="0.25">
      <c r="O88"/>
    </row>
    <row r="89" spans="15:15" x14ac:dyDescent="0.25">
      <c r="O89"/>
    </row>
    <row r="90" spans="15:15" x14ac:dyDescent="0.25">
      <c r="O90"/>
    </row>
    <row r="91" spans="15:15" x14ac:dyDescent="0.25">
      <c r="O91"/>
    </row>
    <row r="92" spans="15:15" x14ac:dyDescent="0.25">
      <c r="O92"/>
    </row>
    <row r="93" spans="15:15" x14ac:dyDescent="0.25">
      <c r="O93"/>
    </row>
    <row r="94" spans="15:15" x14ac:dyDescent="0.25">
      <c r="O94"/>
    </row>
    <row r="95" spans="15:15" x14ac:dyDescent="0.25">
      <c r="O95"/>
    </row>
    <row r="96" spans="15:15" x14ac:dyDescent="0.25">
      <c r="O96"/>
    </row>
    <row r="97" spans="15:15" x14ac:dyDescent="0.25">
      <c r="O97"/>
    </row>
    <row r="98" spans="15:15" x14ac:dyDescent="0.25">
      <c r="O98"/>
    </row>
    <row r="99" spans="15:15" x14ac:dyDescent="0.25">
      <c r="O99"/>
    </row>
    <row r="100" spans="15:15" x14ac:dyDescent="0.25">
      <c r="O100"/>
    </row>
    <row r="101" spans="15:15" x14ac:dyDescent="0.25">
      <c r="O101"/>
    </row>
    <row r="102" spans="15:15" x14ac:dyDescent="0.25">
      <c r="O102"/>
    </row>
    <row r="103" spans="15:15" x14ac:dyDescent="0.25">
      <c r="O103"/>
    </row>
    <row r="104" spans="15:15" x14ac:dyDescent="0.25">
      <c r="O104"/>
    </row>
    <row r="105" spans="15:15" x14ac:dyDescent="0.25">
      <c r="O105"/>
    </row>
    <row r="106" spans="15:15" x14ac:dyDescent="0.25">
      <c r="O106"/>
    </row>
    <row r="107" spans="15:15" x14ac:dyDescent="0.25">
      <c r="O107"/>
    </row>
    <row r="108" spans="15:15" x14ac:dyDescent="0.25">
      <c r="O108"/>
    </row>
    <row r="109" spans="15:15" x14ac:dyDescent="0.25">
      <c r="O109"/>
    </row>
    <row r="110" spans="15:15" x14ac:dyDescent="0.25">
      <c r="O110"/>
    </row>
    <row r="111" spans="15:15" x14ac:dyDescent="0.25">
      <c r="O111"/>
    </row>
    <row r="112" spans="15:15" x14ac:dyDescent="0.25">
      <c r="O112"/>
    </row>
    <row r="113" spans="15:15" x14ac:dyDescent="0.25">
      <c r="O113"/>
    </row>
    <row r="114" spans="15:15" x14ac:dyDescent="0.25">
      <c r="O114"/>
    </row>
    <row r="115" spans="15:15" x14ac:dyDescent="0.25">
      <c r="O115"/>
    </row>
    <row r="116" spans="15:15" x14ac:dyDescent="0.25">
      <c r="O116"/>
    </row>
    <row r="117" spans="15:15" x14ac:dyDescent="0.25">
      <c r="O117"/>
    </row>
    <row r="118" spans="15:15" x14ac:dyDescent="0.25">
      <c r="O118"/>
    </row>
    <row r="119" spans="15:15" x14ac:dyDescent="0.25">
      <c r="O119"/>
    </row>
    <row r="120" spans="15:15" x14ac:dyDescent="0.25">
      <c r="O120"/>
    </row>
    <row r="121" spans="15:15" x14ac:dyDescent="0.25">
      <c r="O121"/>
    </row>
    <row r="122" spans="15:15" x14ac:dyDescent="0.25">
      <c r="O122"/>
    </row>
    <row r="123" spans="15:15" x14ac:dyDescent="0.25">
      <c r="O123"/>
    </row>
    <row r="124" spans="15:15" x14ac:dyDescent="0.25">
      <c r="O124"/>
    </row>
    <row r="125" spans="15:15" x14ac:dyDescent="0.25">
      <c r="O125"/>
    </row>
    <row r="126" spans="15:15" x14ac:dyDescent="0.25">
      <c r="O126"/>
    </row>
    <row r="127" spans="15:15" x14ac:dyDescent="0.25">
      <c r="O127"/>
    </row>
    <row r="128" spans="15:15" x14ac:dyDescent="0.25">
      <c r="O128"/>
    </row>
    <row r="129" spans="15:15" x14ac:dyDescent="0.25">
      <c r="O129"/>
    </row>
    <row r="130" spans="15:15" x14ac:dyDescent="0.25">
      <c r="O130"/>
    </row>
    <row r="131" spans="15:15" x14ac:dyDescent="0.25">
      <c r="O131"/>
    </row>
    <row r="132" spans="15:15" x14ac:dyDescent="0.25">
      <c r="O132"/>
    </row>
    <row r="133" spans="15:15" x14ac:dyDescent="0.25">
      <c r="O133"/>
    </row>
    <row r="134" spans="15:15" x14ac:dyDescent="0.25">
      <c r="O134"/>
    </row>
    <row r="135" spans="15:15" x14ac:dyDescent="0.25">
      <c r="O135"/>
    </row>
    <row r="136" spans="15:15" x14ac:dyDescent="0.25">
      <c r="O136"/>
    </row>
    <row r="137" spans="15:15" x14ac:dyDescent="0.25">
      <c r="O137"/>
    </row>
    <row r="138" spans="15:15" x14ac:dyDescent="0.25">
      <c r="O138"/>
    </row>
    <row r="139" spans="15:15" x14ac:dyDescent="0.25">
      <c r="O139"/>
    </row>
    <row r="140" spans="15:15" x14ac:dyDescent="0.25">
      <c r="O140"/>
    </row>
    <row r="141" spans="15:15" x14ac:dyDescent="0.25">
      <c r="O141"/>
    </row>
    <row r="142" spans="15:15" x14ac:dyDescent="0.25">
      <c r="O142"/>
    </row>
    <row r="143" spans="15:15" x14ac:dyDescent="0.25">
      <c r="O143"/>
    </row>
    <row r="144" spans="15:15" x14ac:dyDescent="0.25">
      <c r="O144"/>
    </row>
    <row r="145" spans="15:15" x14ac:dyDescent="0.25">
      <c r="O145"/>
    </row>
    <row r="146" spans="15:15" x14ac:dyDescent="0.25">
      <c r="O146"/>
    </row>
    <row r="147" spans="15:15" x14ac:dyDescent="0.25">
      <c r="O147"/>
    </row>
    <row r="148" spans="15:15" x14ac:dyDescent="0.25">
      <c r="O148"/>
    </row>
    <row r="149" spans="15:15" x14ac:dyDescent="0.25">
      <c r="O149"/>
    </row>
    <row r="150" spans="15:15" x14ac:dyDescent="0.25">
      <c r="O150"/>
    </row>
    <row r="151" spans="15:15" x14ac:dyDescent="0.25">
      <c r="O151"/>
    </row>
    <row r="152" spans="15:15" x14ac:dyDescent="0.25">
      <c r="O152"/>
    </row>
    <row r="153" spans="15:15" x14ac:dyDescent="0.25">
      <c r="O153"/>
    </row>
    <row r="154" spans="15:15" x14ac:dyDescent="0.25">
      <c r="O154"/>
    </row>
    <row r="155" spans="15:15" x14ac:dyDescent="0.25">
      <c r="O155"/>
    </row>
    <row r="156" spans="15:15" x14ac:dyDescent="0.25">
      <c r="O156"/>
    </row>
    <row r="157" spans="15:15" x14ac:dyDescent="0.25">
      <c r="O157"/>
    </row>
    <row r="158" spans="15:15" x14ac:dyDescent="0.25">
      <c r="O158"/>
    </row>
    <row r="159" spans="15:15" x14ac:dyDescent="0.25">
      <c r="O159"/>
    </row>
    <row r="160" spans="15:15" x14ac:dyDescent="0.25">
      <c r="O160"/>
    </row>
    <row r="161" spans="15:15" x14ac:dyDescent="0.25">
      <c r="O161"/>
    </row>
    <row r="162" spans="15:15" x14ac:dyDescent="0.25">
      <c r="O162"/>
    </row>
    <row r="163" spans="15:15" x14ac:dyDescent="0.25">
      <c r="O163"/>
    </row>
    <row r="164" spans="15:15" x14ac:dyDescent="0.25">
      <c r="O164"/>
    </row>
    <row r="165" spans="15:15" x14ac:dyDescent="0.25">
      <c r="O165"/>
    </row>
    <row r="166" spans="15:15" x14ac:dyDescent="0.25">
      <c r="O166"/>
    </row>
    <row r="167" spans="15:15" x14ac:dyDescent="0.25">
      <c r="O167"/>
    </row>
    <row r="168" spans="15:15" x14ac:dyDescent="0.25">
      <c r="O168"/>
    </row>
    <row r="169" spans="15:15" x14ac:dyDescent="0.25">
      <c r="O169"/>
    </row>
    <row r="170" spans="15:15" x14ac:dyDescent="0.25">
      <c r="O170"/>
    </row>
    <row r="171" spans="15:15" x14ac:dyDescent="0.25">
      <c r="O171"/>
    </row>
    <row r="172" spans="15:15" x14ac:dyDescent="0.25">
      <c r="O172"/>
    </row>
    <row r="173" spans="15:15" x14ac:dyDescent="0.25">
      <c r="O173"/>
    </row>
    <row r="174" spans="15:15" x14ac:dyDescent="0.25">
      <c r="O174"/>
    </row>
    <row r="175" spans="15:15" x14ac:dyDescent="0.25">
      <c r="O175"/>
    </row>
    <row r="176" spans="15:15" x14ac:dyDescent="0.25">
      <c r="O176"/>
    </row>
    <row r="177" spans="15:15" x14ac:dyDescent="0.25">
      <c r="O177"/>
    </row>
    <row r="178" spans="15:15" x14ac:dyDescent="0.25">
      <c r="O178"/>
    </row>
    <row r="179" spans="15:15" x14ac:dyDescent="0.25">
      <c r="O179"/>
    </row>
    <row r="180" spans="15:15" x14ac:dyDescent="0.25">
      <c r="O180"/>
    </row>
    <row r="181" spans="15:15" x14ac:dyDescent="0.25">
      <c r="O181"/>
    </row>
    <row r="182" spans="15:15" x14ac:dyDescent="0.25">
      <c r="O182"/>
    </row>
    <row r="183" spans="15:15" x14ac:dyDescent="0.25">
      <c r="O183"/>
    </row>
    <row r="184" spans="15:15" x14ac:dyDescent="0.25">
      <c r="O184"/>
    </row>
    <row r="185" spans="15:15" x14ac:dyDescent="0.25">
      <c r="O185"/>
    </row>
    <row r="186" spans="15:15" x14ac:dyDescent="0.25">
      <c r="O186"/>
    </row>
    <row r="187" spans="15:15" x14ac:dyDescent="0.25">
      <c r="O187"/>
    </row>
    <row r="188" spans="15:15" x14ac:dyDescent="0.25">
      <c r="O188"/>
    </row>
    <row r="189" spans="15:15" x14ac:dyDescent="0.25">
      <c r="O189"/>
    </row>
    <row r="190" spans="15:15" x14ac:dyDescent="0.25">
      <c r="O190"/>
    </row>
    <row r="191" spans="15:15" x14ac:dyDescent="0.25">
      <c r="O191"/>
    </row>
    <row r="192" spans="15:15" x14ac:dyDescent="0.25">
      <c r="O192"/>
    </row>
    <row r="193" spans="15:15" x14ac:dyDescent="0.25">
      <c r="O193"/>
    </row>
    <row r="194" spans="15:15" x14ac:dyDescent="0.25">
      <c r="O194"/>
    </row>
    <row r="195" spans="15:15" x14ac:dyDescent="0.25">
      <c r="O195"/>
    </row>
    <row r="196" spans="15:15" x14ac:dyDescent="0.25">
      <c r="O196"/>
    </row>
    <row r="197" spans="15:15" x14ac:dyDescent="0.25">
      <c r="O197"/>
    </row>
    <row r="198" spans="15:15" x14ac:dyDescent="0.25">
      <c r="O198"/>
    </row>
    <row r="199" spans="15:15" x14ac:dyDescent="0.25">
      <c r="O199"/>
    </row>
    <row r="200" spans="15:15" x14ac:dyDescent="0.25">
      <c r="O200"/>
    </row>
    <row r="201" spans="15:15" x14ac:dyDescent="0.25">
      <c r="O201"/>
    </row>
    <row r="202" spans="15:15" x14ac:dyDescent="0.25">
      <c r="O202"/>
    </row>
    <row r="203" spans="15:15" x14ac:dyDescent="0.25">
      <c r="O203"/>
    </row>
    <row r="204" spans="15:15" x14ac:dyDescent="0.25">
      <c r="O204"/>
    </row>
    <row r="205" spans="15:15" x14ac:dyDescent="0.25">
      <c r="O205"/>
    </row>
    <row r="206" spans="15:15" x14ac:dyDescent="0.25">
      <c r="O206"/>
    </row>
    <row r="207" spans="15:15" x14ac:dyDescent="0.25">
      <c r="O207"/>
    </row>
    <row r="208" spans="15:15" x14ac:dyDescent="0.25">
      <c r="O208"/>
    </row>
    <row r="209" spans="15:15" x14ac:dyDescent="0.25">
      <c r="O209"/>
    </row>
    <row r="210" spans="15:15" x14ac:dyDescent="0.25">
      <c r="O210"/>
    </row>
    <row r="211" spans="15:15" x14ac:dyDescent="0.25">
      <c r="O211"/>
    </row>
    <row r="212" spans="15:15" x14ac:dyDescent="0.25">
      <c r="O212"/>
    </row>
    <row r="213" spans="15:15" x14ac:dyDescent="0.25">
      <c r="O213"/>
    </row>
    <row r="214" spans="15:15" x14ac:dyDescent="0.25">
      <c r="O214"/>
    </row>
    <row r="215" spans="15:15" x14ac:dyDescent="0.25">
      <c r="O215"/>
    </row>
    <row r="216" spans="15:15" x14ac:dyDescent="0.25">
      <c r="O216"/>
    </row>
    <row r="217" spans="15:15" x14ac:dyDescent="0.25">
      <c r="O217"/>
    </row>
    <row r="218" spans="15:15" x14ac:dyDescent="0.25">
      <c r="O218"/>
    </row>
    <row r="219" spans="15:15" x14ac:dyDescent="0.25">
      <c r="O219"/>
    </row>
    <row r="220" spans="15:15" x14ac:dyDescent="0.25">
      <c r="O220"/>
    </row>
    <row r="221" spans="15:15" x14ac:dyDescent="0.25">
      <c r="O221"/>
    </row>
    <row r="222" spans="15:15" x14ac:dyDescent="0.25">
      <c r="O222"/>
    </row>
    <row r="223" spans="15:15" x14ac:dyDescent="0.25">
      <c r="O223"/>
    </row>
    <row r="224" spans="15:15" x14ac:dyDescent="0.25">
      <c r="O224"/>
    </row>
    <row r="225" spans="15:15" x14ac:dyDescent="0.25">
      <c r="O225"/>
    </row>
    <row r="226" spans="15:15" x14ac:dyDescent="0.25">
      <c r="O226"/>
    </row>
    <row r="227" spans="15:15" x14ac:dyDescent="0.25">
      <c r="O227"/>
    </row>
    <row r="228" spans="15:15" x14ac:dyDescent="0.25">
      <c r="O228"/>
    </row>
    <row r="229" spans="15:15" x14ac:dyDescent="0.25">
      <c r="O229"/>
    </row>
    <row r="230" spans="15:15" x14ac:dyDescent="0.25">
      <c r="O230"/>
    </row>
    <row r="231" spans="15:15" x14ac:dyDescent="0.25">
      <c r="O231"/>
    </row>
    <row r="232" spans="15:15" x14ac:dyDescent="0.25">
      <c r="O232"/>
    </row>
    <row r="233" spans="15:15" x14ac:dyDescent="0.25">
      <c r="O233"/>
    </row>
    <row r="234" spans="15:15" x14ac:dyDescent="0.25">
      <c r="O234"/>
    </row>
    <row r="235" spans="15:15" x14ac:dyDescent="0.25">
      <c r="O235"/>
    </row>
    <row r="236" spans="15:15" x14ac:dyDescent="0.25">
      <c r="O236"/>
    </row>
    <row r="237" spans="15:15" x14ac:dyDescent="0.25">
      <c r="O237"/>
    </row>
    <row r="238" spans="15:15" x14ac:dyDescent="0.25">
      <c r="O238"/>
    </row>
    <row r="239" spans="15:15" x14ac:dyDescent="0.25">
      <c r="O239"/>
    </row>
    <row r="240" spans="15:15" x14ac:dyDescent="0.25">
      <c r="O240"/>
    </row>
    <row r="241" spans="15:15" x14ac:dyDescent="0.25">
      <c r="O241"/>
    </row>
    <row r="242" spans="15:15" x14ac:dyDescent="0.25">
      <c r="O242"/>
    </row>
    <row r="243" spans="15:15" x14ac:dyDescent="0.25">
      <c r="O243"/>
    </row>
    <row r="244" spans="15:15" x14ac:dyDescent="0.25">
      <c r="O244"/>
    </row>
    <row r="245" spans="15:15" x14ac:dyDescent="0.25">
      <c r="O245"/>
    </row>
    <row r="246" spans="15:15" x14ac:dyDescent="0.25">
      <c r="O246"/>
    </row>
    <row r="247" spans="15:15" x14ac:dyDescent="0.25">
      <c r="O247"/>
    </row>
    <row r="248" spans="15:15" x14ac:dyDescent="0.25">
      <c r="O248"/>
    </row>
    <row r="249" spans="15:15" x14ac:dyDescent="0.25">
      <c r="O249"/>
    </row>
    <row r="250" spans="15:15" x14ac:dyDescent="0.25">
      <c r="O250"/>
    </row>
    <row r="251" spans="15:15" x14ac:dyDescent="0.25">
      <c r="O251"/>
    </row>
    <row r="252" spans="15:15" x14ac:dyDescent="0.25">
      <c r="O252"/>
    </row>
    <row r="253" spans="15:15" x14ac:dyDescent="0.25">
      <c r="O253"/>
    </row>
    <row r="254" spans="15:15" x14ac:dyDescent="0.25">
      <c r="O254"/>
    </row>
    <row r="255" spans="15:15" x14ac:dyDescent="0.25">
      <c r="O255"/>
    </row>
    <row r="256" spans="15:15" x14ac:dyDescent="0.25">
      <c r="O256"/>
    </row>
    <row r="257" spans="15:15" x14ac:dyDescent="0.25">
      <c r="O257"/>
    </row>
    <row r="258" spans="15:15" x14ac:dyDescent="0.25">
      <c r="O258"/>
    </row>
    <row r="259" spans="15:15" x14ac:dyDescent="0.25">
      <c r="O259"/>
    </row>
    <row r="260" spans="15:15" x14ac:dyDescent="0.25">
      <c r="O260"/>
    </row>
    <row r="261" spans="15:15" x14ac:dyDescent="0.25">
      <c r="O261"/>
    </row>
    <row r="262" spans="15:15" x14ac:dyDescent="0.25">
      <c r="O262"/>
    </row>
    <row r="263" spans="15:15" x14ac:dyDescent="0.25">
      <c r="O263"/>
    </row>
    <row r="264" spans="15:15" x14ac:dyDescent="0.25">
      <c r="O264"/>
    </row>
    <row r="265" spans="15:15" x14ac:dyDescent="0.25">
      <c r="O265"/>
    </row>
    <row r="266" spans="15:15" x14ac:dyDescent="0.25">
      <c r="O266"/>
    </row>
    <row r="267" spans="15:15" x14ac:dyDescent="0.25">
      <c r="O267"/>
    </row>
    <row r="268" spans="15:15" x14ac:dyDescent="0.25">
      <c r="O268"/>
    </row>
    <row r="269" spans="15:15" x14ac:dyDescent="0.25">
      <c r="O269"/>
    </row>
    <row r="270" spans="15:15" x14ac:dyDescent="0.25">
      <c r="O270"/>
    </row>
    <row r="271" spans="15:15" x14ac:dyDescent="0.25">
      <c r="O271"/>
    </row>
    <row r="272" spans="15:15" x14ac:dyDescent="0.25">
      <c r="O272"/>
    </row>
    <row r="273" spans="15:15" x14ac:dyDescent="0.25">
      <c r="O273"/>
    </row>
    <row r="274" spans="15:15" x14ac:dyDescent="0.25">
      <c r="O274"/>
    </row>
    <row r="275" spans="15:15" x14ac:dyDescent="0.25">
      <c r="O275"/>
    </row>
    <row r="276" spans="15:15" x14ac:dyDescent="0.25">
      <c r="O276"/>
    </row>
    <row r="277" spans="15:15" x14ac:dyDescent="0.25">
      <c r="O277"/>
    </row>
    <row r="278" spans="15:15" x14ac:dyDescent="0.25">
      <c r="O278"/>
    </row>
    <row r="279" spans="15:15" x14ac:dyDescent="0.25">
      <c r="O279"/>
    </row>
    <row r="280" spans="15:15" x14ac:dyDescent="0.25">
      <c r="O280"/>
    </row>
    <row r="281" spans="15:15" x14ac:dyDescent="0.25">
      <c r="O281"/>
    </row>
    <row r="282" spans="15:15" x14ac:dyDescent="0.25">
      <c r="O282"/>
    </row>
    <row r="283" spans="15:15" x14ac:dyDescent="0.25">
      <c r="O283"/>
    </row>
    <row r="284" spans="15:15" x14ac:dyDescent="0.25">
      <c r="O284"/>
    </row>
    <row r="285" spans="15:15" x14ac:dyDescent="0.25">
      <c r="O285"/>
    </row>
    <row r="286" spans="15:15" x14ac:dyDescent="0.25">
      <c r="O286"/>
    </row>
    <row r="287" spans="15:15" x14ac:dyDescent="0.25">
      <c r="O287"/>
    </row>
    <row r="288" spans="15:15" x14ac:dyDescent="0.25">
      <c r="O288"/>
    </row>
    <row r="289" spans="15:15" x14ac:dyDescent="0.25">
      <c r="O289"/>
    </row>
    <row r="290" spans="15:15" x14ac:dyDescent="0.25">
      <c r="O290"/>
    </row>
    <row r="291" spans="15:15" x14ac:dyDescent="0.25">
      <c r="O291"/>
    </row>
    <row r="292" spans="15:15" x14ac:dyDescent="0.25">
      <c r="O292"/>
    </row>
    <row r="293" spans="15:15" x14ac:dyDescent="0.25">
      <c r="O293"/>
    </row>
    <row r="294" spans="15:15" x14ac:dyDescent="0.25">
      <c r="O294"/>
    </row>
    <row r="295" spans="15:15" x14ac:dyDescent="0.25">
      <c r="O295"/>
    </row>
    <row r="296" spans="15:15" x14ac:dyDescent="0.25">
      <c r="O296"/>
    </row>
    <row r="297" spans="15:15" x14ac:dyDescent="0.25">
      <c r="O297"/>
    </row>
    <row r="298" spans="15:15" x14ac:dyDescent="0.25">
      <c r="O298"/>
    </row>
    <row r="299" spans="15:15" x14ac:dyDescent="0.25">
      <c r="O299"/>
    </row>
    <row r="300" spans="15:15" x14ac:dyDescent="0.25">
      <c r="O300"/>
    </row>
    <row r="301" spans="15:15" x14ac:dyDescent="0.25">
      <c r="O301"/>
    </row>
    <row r="302" spans="15:15" x14ac:dyDescent="0.25">
      <c r="O302"/>
    </row>
    <row r="303" spans="15:15" x14ac:dyDescent="0.25">
      <c r="O303"/>
    </row>
    <row r="304" spans="15:15" x14ac:dyDescent="0.25">
      <c r="O304"/>
    </row>
    <row r="305" spans="15:15" x14ac:dyDescent="0.25">
      <c r="O305"/>
    </row>
    <row r="306" spans="15:15" x14ac:dyDescent="0.25">
      <c r="O306"/>
    </row>
    <row r="307" spans="15:15" x14ac:dyDescent="0.25">
      <c r="O307"/>
    </row>
    <row r="308" spans="15:15" x14ac:dyDescent="0.25">
      <c r="O308"/>
    </row>
    <row r="309" spans="15:15" x14ac:dyDescent="0.25">
      <c r="O309"/>
    </row>
    <row r="310" spans="15:15" x14ac:dyDescent="0.25">
      <c r="O310"/>
    </row>
    <row r="311" spans="15:15" x14ac:dyDescent="0.25">
      <c r="O311"/>
    </row>
    <row r="312" spans="15:15" x14ac:dyDescent="0.25">
      <c r="O312"/>
    </row>
    <row r="313" spans="15:15" x14ac:dyDescent="0.25">
      <c r="O313"/>
    </row>
    <row r="314" spans="15:15" x14ac:dyDescent="0.25">
      <c r="O314"/>
    </row>
    <row r="315" spans="15:15" x14ac:dyDescent="0.25">
      <c r="O315"/>
    </row>
    <row r="316" spans="15:15" x14ac:dyDescent="0.25">
      <c r="O316"/>
    </row>
    <row r="317" spans="15:15" x14ac:dyDescent="0.25">
      <c r="O317"/>
    </row>
    <row r="318" spans="15:15" x14ac:dyDescent="0.25">
      <c r="O318"/>
    </row>
    <row r="319" spans="15:15" x14ac:dyDescent="0.25">
      <c r="O319"/>
    </row>
    <row r="320" spans="15:15" x14ac:dyDescent="0.25">
      <c r="O320"/>
    </row>
    <row r="321" spans="15:15" x14ac:dyDescent="0.25">
      <c r="O321"/>
    </row>
    <row r="322" spans="15:15" x14ac:dyDescent="0.25">
      <c r="O322"/>
    </row>
    <row r="323" spans="15:15" x14ac:dyDescent="0.25">
      <c r="O323"/>
    </row>
    <row r="324" spans="15:15" x14ac:dyDescent="0.25">
      <c r="O324"/>
    </row>
    <row r="325" spans="15:15" x14ac:dyDescent="0.25">
      <c r="O325"/>
    </row>
    <row r="326" spans="15:15" x14ac:dyDescent="0.25">
      <c r="O326"/>
    </row>
    <row r="327" spans="15:15" x14ac:dyDescent="0.25">
      <c r="O327"/>
    </row>
    <row r="328" spans="15:15" x14ac:dyDescent="0.25">
      <c r="O328"/>
    </row>
    <row r="329" spans="15:15" x14ac:dyDescent="0.25">
      <c r="O329"/>
    </row>
    <row r="330" spans="15:15" x14ac:dyDescent="0.25">
      <c r="O330"/>
    </row>
    <row r="331" spans="15:15" x14ac:dyDescent="0.25">
      <c r="O331"/>
    </row>
    <row r="332" spans="15:15" x14ac:dyDescent="0.25">
      <c r="O332"/>
    </row>
    <row r="333" spans="15:15" x14ac:dyDescent="0.25">
      <c r="O333"/>
    </row>
    <row r="334" spans="15:15" x14ac:dyDescent="0.25">
      <c r="O334"/>
    </row>
    <row r="335" spans="15:15" x14ac:dyDescent="0.25">
      <c r="O335"/>
    </row>
    <row r="336" spans="15:15" x14ac:dyDescent="0.25">
      <c r="O336"/>
    </row>
    <row r="337" spans="15:15" x14ac:dyDescent="0.25">
      <c r="O337"/>
    </row>
    <row r="338" spans="15:15" x14ac:dyDescent="0.25">
      <c r="O338"/>
    </row>
    <row r="339" spans="15:15" x14ac:dyDescent="0.25">
      <c r="O339"/>
    </row>
    <row r="340" spans="15:15" x14ac:dyDescent="0.25">
      <c r="O340"/>
    </row>
    <row r="341" spans="15:15" x14ac:dyDescent="0.25">
      <c r="O341"/>
    </row>
    <row r="342" spans="15:15" x14ac:dyDescent="0.25">
      <c r="O342"/>
    </row>
    <row r="343" spans="15:15" x14ac:dyDescent="0.25">
      <c r="O343"/>
    </row>
    <row r="344" spans="15:15" x14ac:dyDescent="0.25">
      <c r="O344"/>
    </row>
    <row r="345" spans="15:15" x14ac:dyDescent="0.25">
      <c r="O345"/>
    </row>
    <row r="346" spans="15:15" x14ac:dyDescent="0.25">
      <c r="O346"/>
    </row>
    <row r="347" spans="15:15" x14ac:dyDescent="0.25">
      <c r="O347"/>
    </row>
    <row r="348" spans="15:15" x14ac:dyDescent="0.25">
      <c r="O348"/>
    </row>
    <row r="349" spans="15:15" x14ac:dyDescent="0.25">
      <c r="O349"/>
    </row>
    <row r="350" spans="15:15" x14ac:dyDescent="0.25">
      <c r="O350"/>
    </row>
    <row r="351" spans="15:15" x14ac:dyDescent="0.25">
      <c r="O351"/>
    </row>
    <row r="352" spans="15:15" x14ac:dyDescent="0.25">
      <c r="O352"/>
    </row>
    <row r="353" spans="15:15" x14ac:dyDescent="0.25">
      <c r="O353"/>
    </row>
    <row r="354" spans="15:15" x14ac:dyDescent="0.25">
      <c r="O354"/>
    </row>
    <row r="355" spans="15:15" x14ac:dyDescent="0.25">
      <c r="O355"/>
    </row>
    <row r="356" spans="15:15" x14ac:dyDescent="0.25">
      <c r="O356"/>
    </row>
    <row r="357" spans="15:15" x14ac:dyDescent="0.25">
      <c r="O357"/>
    </row>
    <row r="358" spans="15:15" x14ac:dyDescent="0.25">
      <c r="O358"/>
    </row>
    <row r="359" spans="15:15" x14ac:dyDescent="0.25">
      <c r="O359"/>
    </row>
    <row r="360" spans="15:15" x14ac:dyDescent="0.25">
      <c r="O360"/>
    </row>
    <row r="361" spans="15:15" x14ac:dyDescent="0.25">
      <c r="O361"/>
    </row>
    <row r="362" spans="15:15" x14ac:dyDescent="0.25">
      <c r="O362"/>
    </row>
    <row r="363" spans="15:15" x14ac:dyDescent="0.25">
      <c r="O363"/>
    </row>
    <row r="364" spans="15:15" x14ac:dyDescent="0.25">
      <c r="O364"/>
    </row>
    <row r="365" spans="15:15" x14ac:dyDescent="0.25">
      <c r="O365"/>
    </row>
    <row r="366" spans="15:15" x14ac:dyDescent="0.25">
      <c r="O366"/>
    </row>
    <row r="367" spans="15:15" x14ac:dyDescent="0.25">
      <c r="O367"/>
    </row>
    <row r="368" spans="15:15" x14ac:dyDescent="0.25">
      <c r="O368"/>
    </row>
    <row r="369" spans="15:15" x14ac:dyDescent="0.25">
      <c r="O369"/>
    </row>
    <row r="370" spans="15:15" x14ac:dyDescent="0.25">
      <c r="O370"/>
    </row>
    <row r="371" spans="15:15" x14ac:dyDescent="0.25">
      <c r="O371"/>
    </row>
    <row r="372" spans="15:15" x14ac:dyDescent="0.25">
      <c r="O372"/>
    </row>
    <row r="373" spans="15:15" x14ac:dyDescent="0.25">
      <c r="O373"/>
    </row>
    <row r="374" spans="15:15" x14ac:dyDescent="0.25">
      <c r="O374"/>
    </row>
    <row r="375" spans="15:15" x14ac:dyDescent="0.25">
      <c r="O375"/>
    </row>
    <row r="376" spans="15:15" x14ac:dyDescent="0.25">
      <c r="O376"/>
    </row>
    <row r="377" spans="15:15" x14ac:dyDescent="0.25">
      <c r="O377"/>
    </row>
    <row r="378" spans="15:15" x14ac:dyDescent="0.25">
      <c r="O378"/>
    </row>
    <row r="379" spans="15:15" x14ac:dyDescent="0.25">
      <c r="O379"/>
    </row>
    <row r="380" spans="15:15" x14ac:dyDescent="0.25">
      <c r="O380"/>
    </row>
    <row r="381" spans="15:15" x14ac:dyDescent="0.25">
      <c r="O381"/>
    </row>
    <row r="382" spans="15:15" x14ac:dyDescent="0.25">
      <c r="O382"/>
    </row>
    <row r="383" spans="15:15" x14ac:dyDescent="0.25">
      <c r="O383"/>
    </row>
    <row r="384" spans="15:15" x14ac:dyDescent="0.25">
      <c r="O384"/>
    </row>
    <row r="385" spans="15:15" x14ac:dyDescent="0.25">
      <c r="O385"/>
    </row>
    <row r="386" spans="15:15" x14ac:dyDescent="0.25">
      <c r="O386"/>
    </row>
    <row r="387" spans="15:15" x14ac:dyDescent="0.25">
      <c r="O387"/>
    </row>
    <row r="388" spans="15:15" x14ac:dyDescent="0.25">
      <c r="O388"/>
    </row>
    <row r="389" spans="15:15" x14ac:dyDescent="0.25">
      <c r="O389"/>
    </row>
    <row r="390" spans="15:15" x14ac:dyDescent="0.25">
      <c r="O390"/>
    </row>
    <row r="391" spans="15:15" x14ac:dyDescent="0.25">
      <c r="O391"/>
    </row>
    <row r="392" spans="15:15" x14ac:dyDescent="0.25">
      <c r="O392"/>
    </row>
    <row r="393" spans="15:15" x14ac:dyDescent="0.25">
      <c r="O393"/>
    </row>
    <row r="394" spans="15:15" x14ac:dyDescent="0.25">
      <c r="O394"/>
    </row>
    <row r="395" spans="15:15" x14ac:dyDescent="0.25">
      <c r="O395"/>
    </row>
    <row r="396" spans="15:15" x14ac:dyDescent="0.25">
      <c r="O396"/>
    </row>
    <row r="397" spans="15:15" x14ac:dyDescent="0.25">
      <c r="O397"/>
    </row>
    <row r="398" spans="15:15" x14ac:dyDescent="0.25">
      <c r="O398"/>
    </row>
    <row r="399" spans="15:15" x14ac:dyDescent="0.25">
      <c r="O399"/>
    </row>
    <row r="400" spans="15:15" x14ac:dyDescent="0.25">
      <c r="O400"/>
    </row>
    <row r="401" spans="15:15" x14ac:dyDescent="0.25">
      <c r="O401"/>
    </row>
    <row r="402" spans="15:15" x14ac:dyDescent="0.25">
      <c r="O402"/>
    </row>
    <row r="403" spans="15:15" x14ac:dyDescent="0.25">
      <c r="O403"/>
    </row>
    <row r="404" spans="15:15" x14ac:dyDescent="0.25">
      <c r="O404"/>
    </row>
    <row r="405" spans="15:15" x14ac:dyDescent="0.25">
      <c r="O405"/>
    </row>
    <row r="406" spans="15:15" x14ac:dyDescent="0.25">
      <c r="O406"/>
    </row>
    <row r="407" spans="15:15" x14ac:dyDescent="0.25">
      <c r="O407"/>
    </row>
    <row r="408" spans="15:15" x14ac:dyDescent="0.25">
      <c r="O408"/>
    </row>
    <row r="409" spans="15:15" x14ac:dyDescent="0.25">
      <c r="O409"/>
    </row>
    <row r="410" spans="15:15" x14ac:dyDescent="0.25">
      <c r="O410"/>
    </row>
    <row r="411" spans="15:15" x14ac:dyDescent="0.25">
      <c r="O411"/>
    </row>
    <row r="412" spans="15:15" x14ac:dyDescent="0.25">
      <c r="O412"/>
    </row>
    <row r="413" spans="15:15" x14ac:dyDescent="0.25">
      <c r="O413"/>
    </row>
    <row r="414" spans="15:15" x14ac:dyDescent="0.25">
      <c r="O414"/>
    </row>
    <row r="415" spans="15:15" x14ac:dyDescent="0.25">
      <c r="O415"/>
    </row>
    <row r="416" spans="15:15" x14ac:dyDescent="0.25">
      <c r="O416"/>
    </row>
    <row r="417" spans="15:15" x14ac:dyDescent="0.25">
      <c r="O417"/>
    </row>
    <row r="418" spans="15:15" x14ac:dyDescent="0.25">
      <c r="O418"/>
    </row>
    <row r="419" spans="15:15" x14ac:dyDescent="0.25">
      <c r="O419"/>
    </row>
    <row r="420" spans="15:15" x14ac:dyDescent="0.25">
      <c r="O420"/>
    </row>
    <row r="421" spans="15:15" x14ac:dyDescent="0.25">
      <c r="O421"/>
    </row>
    <row r="422" spans="15:15" x14ac:dyDescent="0.25">
      <c r="O422"/>
    </row>
    <row r="423" spans="15:15" x14ac:dyDescent="0.25">
      <c r="O423"/>
    </row>
    <row r="424" spans="15:15" x14ac:dyDescent="0.25">
      <c r="O424"/>
    </row>
    <row r="425" spans="15:15" x14ac:dyDescent="0.25">
      <c r="O425"/>
    </row>
    <row r="426" spans="15:15" x14ac:dyDescent="0.25">
      <c r="O426"/>
    </row>
    <row r="427" spans="15:15" x14ac:dyDescent="0.25">
      <c r="O427"/>
    </row>
    <row r="428" spans="15:15" x14ac:dyDescent="0.25">
      <c r="O428"/>
    </row>
    <row r="429" spans="15:15" x14ac:dyDescent="0.25">
      <c r="O429"/>
    </row>
    <row r="430" spans="15:15" x14ac:dyDescent="0.25">
      <c r="O430"/>
    </row>
    <row r="431" spans="15:15" x14ac:dyDescent="0.25">
      <c r="O431"/>
    </row>
    <row r="432" spans="15:15" x14ac:dyDescent="0.25">
      <c r="O432"/>
    </row>
    <row r="433" spans="15:15" x14ac:dyDescent="0.25">
      <c r="O433"/>
    </row>
    <row r="434" spans="15:15" x14ac:dyDescent="0.25">
      <c r="O434"/>
    </row>
    <row r="435" spans="15:15" x14ac:dyDescent="0.25">
      <c r="O435"/>
    </row>
    <row r="436" spans="15:15" x14ac:dyDescent="0.25">
      <c r="O436"/>
    </row>
    <row r="437" spans="15:15" x14ac:dyDescent="0.25">
      <c r="O437"/>
    </row>
    <row r="438" spans="15:15" x14ac:dyDescent="0.25">
      <c r="O438"/>
    </row>
    <row r="439" spans="15:15" x14ac:dyDescent="0.25">
      <c r="O439"/>
    </row>
    <row r="440" spans="15:15" x14ac:dyDescent="0.25">
      <c r="O440"/>
    </row>
    <row r="441" spans="15:15" x14ac:dyDescent="0.25">
      <c r="O441"/>
    </row>
    <row r="442" spans="15:15" x14ac:dyDescent="0.25">
      <c r="O442"/>
    </row>
    <row r="443" spans="15:15" x14ac:dyDescent="0.25">
      <c r="O443"/>
    </row>
    <row r="444" spans="15:15" x14ac:dyDescent="0.25">
      <c r="O444"/>
    </row>
    <row r="445" spans="15:15" x14ac:dyDescent="0.25">
      <c r="O445"/>
    </row>
    <row r="446" spans="15:15" x14ac:dyDescent="0.25">
      <c r="O446"/>
    </row>
    <row r="447" spans="15:15" x14ac:dyDescent="0.25">
      <c r="O447"/>
    </row>
    <row r="448" spans="15:15" x14ac:dyDescent="0.25">
      <c r="O448"/>
    </row>
    <row r="449" spans="15:15" x14ac:dyDescent="0.25">
      <c r="O449"/>
    </row>
    <row r="450" spans="15:15" x14ac:dyDescent="0.25">
      <c r="O450"/>
    </row>
    <row r="451" spans="15:15" x14ac:dyDescent="0.25">
      <c r="O451"/>
    </row>
    <row r="452" spans="15:15" x14ac:dyDescent="0.25">
      <c r="O452"/>
    </row>
    <row r="453" spans="15:15" x14ac:dyDescent="0.25">
      <c r="O453"/>
    </row>
    <row r="454" spans="15:15" x14ac:dyDescent="0.25">
      <c r="O454"/>
    </row>
    <row r="455" spans="15:15" x14ac:dyDescent="0.25">
      <c r="O455"/>
    </row>
    <row r="456" spans="15:15" x14ac:dyDescent="0.25">
      <c r="O456"/>
    </row>
    <row r="457" spans="15:15" x14ac:dyDescent="0.25">
      <c r="O457"/>
    </row>
    <row r="458" spans="15:15" x14ac:dyDescent="0.25">
      <c r="O458"/>
    </row>
    <row r="459" spans="15:15" x14ac:dyDescent="0.25">
      <c r="O459"/>
    </row>
    <row r="460" spans="15:15" x14ac:dyDescent="0.25">
      <c r="O460"/>
    </row>
    <row r="461" spans="15:15" x14ac:dyDescent="0.25">
      <c r="O461"/>
    </row>
    <row r="462" spans="15:15" x14ac:dyDescent="0.25">
      <c r="O462"/>
    </row>
    <row r="463" spans="15:15" x14ac:dyDescent="0.25">
      <c r="O463"/>
    </row>
    <row r="464" spans="15:15" x14ac:dyDescent="0.25">
      <c r="O464"/>
    </row>
    <row r="465" spans="15:15" x14ac:dyDescent="0.25">
      <c r="O465"/>
    </row>
    <row r="466" spans="15:15" x14ac:dyDescent="0.25">
      <c r="O466"/>
    </row>
    <row r="467" spans="15:15" x14ac:dyDescent="0.25">
      <c r="O467"/>
    </row>
    <row r="468" spans="15:15" x14ac:dyDescent="0.25">
      <c r="O468"/>
    </row>
    <row r="469" spans="15:15" x14ac:dyDescent="0.25">
      <c r="O469"/>
    </row>
    <row r="470" spans="15:15" x14ac:dyDescent="0.25">
      <c r="O470"/>
    </row>
    <row r="471" spans="15:15" x14ac:dyDescent="0.25">
      <c r="O471"/>
    </row>
    <row r="472" spans="15:15" x14ac:dyDescent="0.25">
      <c r="O472"/>
    </row>
    <row r="473" spans="15:15" x14ac:dyDescent="0.25">
      <c r="O473"/>
    </row>
    <row r="474" spans="15:15" x14ac:dyDescent="0.25">
      <c r="O474"/>
    </row>
    <row r="475" spans="15:15" x14ac:dyDescent="0.25">
      <c r="O475"/>
    </row>
    <row r="476" spans="15:15" x14ac:dyDescent="0.25">
      <c r="O476"/>
    </row>
    <row r="477" spans="15:15" x14ac:dyDescent="0.25">
      <c r="O477"/>
    </row>
    <row r="478" spans="15:15" x14ac:dyDescent="0.25">
      <c r="O478"/>
    </row>
    <row r="479" spans="15:15" x14ac:dyDescent="0.25">
      <c r="O479"/>
    </row>
    <row r="480" spans="15:15" x14ac:dyDescent="0.25">
      <c r="O480"/>
    </row>
    <row r="481" spans="15:15" x14ac:dyDescent="0.25">
      <c r="O481"/>
    </row>
    <row r="482" spans="15:15" x14ac:dyDescent="0.25">
      <c r="O482"/>
    </row>
    <row r="483" spans="15:15" x14ac:dyDescent="0.25">
      <c r="O483"/>
    </row>
    <row r="484" spans="15:15" x14ac:dyDescent="0.25">
      <c r="O484"/>
    </row>
    <row r="485" spans="15:15" x14ac:dyDescent="0.25">
      <c r="O485"/>
    </row>
    <row r="486" spans="15:15" x14ac:dyDescent="0.25">
      <c r="O486"/>
    </row>
    <row r="487" spans="15:15" x14ac:dyDescent="0.25">
      <c r="O487"/>
    </row>
    <row r="488" spans="15:15" x14ac:dyDescent="0.25">
      <c r="O488"/>
    </row>
    <row r="489" spans="15:15" x14ac:dyDescent="0.25">
      <c r="O489"/>
    </row>
    <row r="490" spans="15:15" x14ac:dyDescent="0.25">
      <c r="O490"/>
    </row>
    <row r="491" spans="15:15" x14ac:dyDescent="0.25">
      <c r="O491"/>
    </row>
    <row r="492" spans="15:15" x14ac:dyDescent="0.25">
      <c r="O492"/>
    </row>
    <row r="493" spans="15:15" x14ac:dyDescent="0.25">
      <c r="O493"/>
    </row>
    <row r="494" spans="15:15" x14ac:dyDescent="0.25">
      <c r="O494"/>
    </row>
    <row r="495" spans="15:15" x14ac:dyDescent="0.25">
      <c r="O495"/>
    </row>
    <row r="496" spans="15:15" x14ac:dyDescent="0.25">
      <c r="O496"/>
    </row>
    <row r="497" spans="15:15" x14ac:dyDescent="0.25">
      <c r="O497"/>
    </row>
    <row r="498" spans="15:15" x14ac:dyDescent="0.25">
      <c r="O498"/>
    </row>
    <row r="499" spans="15:15" x14ac:dyDescent="0.25">
      <c r="O499"/>
    </row>
    <row r="500" spans="15:15" x14ac:dyDescent="0.25">
      <c r="O500"/>
    </row>
    <row r="501" spans="15:15" x14ac:dyDescent="0.25">
      <c r="O501"/>
    </row>
    <row r="502" spans="15:15" x14ac:dyDescent="0.25">
      <c r="O502"/>
    </row>
    <row r="503" spans="15:15" x14ac:dyDescent="0.25">
      <c r="O503"/>
    </row>
    <row r="504" spans="15:15" x14ac:dyDescent="0.25">
      <c r="O504"/>
    </row>
    <row r="505" spans="15:15" x14ac:dyDescent="0.25">
      <c r="O505"/>
    </row>
    <row r="506" spans="15:15" x14ac:dyDescent="0.25">
      <c r="O506"/>
    </row>
    <row r="507" spans="15:15" x14ac:dyDescent="0.25">
      <c r="O507"/>
    </row>
    <row r="508" spans="15:15" x14ac:dyDescent="0.25">
      <c r="O508"/>
    </row>
    <row r="509" spans="15:15" x14ac:dyDescent="0.25">
      <c r="O509"/>
    </row>
    <row r="510" spans="15:15" x14ac:dyDescent="0.25">
      <c r="O510"/>
    </row>
    <row r="511" spans="15:15" x14ac:dyDescent="0.25">
      <c r="O511"/>
    </row>
    <row r="512" spans="15:15" x14ac:dyDescent="0.25">
      <c r="O512"/>
    </row>
    <row r="513" spans="15:15" x14ac:dyDescent="0.25">
      <c r="O513"/>
    </row>
    <row r="514" spans="15:15" x14ac:dyDescent="0.25">
      <c r="O514"/>
    </row>
    <row r="515" spans="15:15" x14ac:dyDescent="0.25">
      <c r="O515"/>
    </row>
    <row r="516" spans="15:15" x14ac:dyDescent="0.25">
      <c r="O516"/>
    </row>
    <row r="517" spans="15:15" x14ac:dyDescent="0.25">
      <c r="O517"/>
    </row>
    <row r="518" spans="15:15" x14ac:dyDescent="0.25">
      <c r="O518"/>
    </row>
    <row r="519" spans="15:15" x14ac:dyDescent="0.25">
      <c r="O519"/>
    </row>
    <row r="520" spans="15:15" x14ac:dyDescent="0.25">
      <c r="O520"/>
    </row>
    <row r="521" spans="15:15" x14ac:dyDescent="0.25">
      <c r="O521"/>
    </row>
    <row r="522" spans="15:15" x14ac:dyDescent="0.25">
      <c r="O522"/>
    </row>
    <row r="523" spans="15:15" x14ac:dyDescent="0.25">
      <c r="O523"/>
    </row>
    <row r="524" spans="15:15" x14ac:dyDescent="0.25">
      <c r="O524"/>
    </row>
    <row r="525" spans="15:15" x14ac:dyDescent="0.25">
      <c r="O525"/>
    </row>
    <row r="526" spans="15:15" x14ac:dyDescent="0.25">
      <c r="O526"/>
    </row>
    <row r="527" spans="15:15" x14ac:dyDescent="0.25">
      <c r="O527"/>
    </row>
    <row r="528" spans="15:15" x14ac:dyDescent="0.25">
      <c r="O528"/>
    </row>
    <row r="529" spans="15:15" x14ac:dyDescent="0.25">
      <c r="O529"/>
    </row>
    <row r="530" spans="15:15" x14ac:dyDescent="0.25">
      <c r="O530"/>
    </row>
    <row r="531" spans="15:15" x14ac:dyDescent="0.25">
      <c r="O531"/>
    </row>
    <row r="532" spans="15:15" x14ac:dyDescent="0.25">
      <c r="O532"/>
    </row>
    <row r="533" spans="15:15" x14ac:dyDescent="0.25">
      <c r="O533"/>
    </row>
    <row r="534" spans="15:15" x14ac:dyDescent="0.25">
      <c r="O534"/>
    </row>
    <row r="535" spans="15:15" x14ac:dyDescent="0.25">
      <c r="O535"/>
    </row>
    <row r="536" spans="15:15" x14ac:dyDescent="0.25">
      <c r="O536"/>
    </row>
    <row r="537" spans="15:15" x14ac:dyDescent="0.25">
      <c r="O537"/>
    </row>
    <row r="538" spans="15:15" x14ac:dyDescent="0.25">
      <c r="O538"/>
    </row>
    <row r="539" spans="15:15" x14ac:dyDescent="0.25">
      <c r="O539"/>
    </row>
    <row r="540" spans="15:15" x14ac:dyDescent="0.25">
      <c r="O540"/>
    </row>
    <row r="541" spans="15:15" x14ac:dyDescent="0.25">
      <c r="O541"/>
    </row>
    <row r="542" spans="15:15" x14ac:dyDescent="0.25">
      <c r="O542"/>
    </row>
    <row r="543" spans="15:15" x14ac:dyDescent="0.25">
      <c r="O543"/>
    </row>
    <row r="544" spans="15:15" x14ac:dyDescent="0.25">
      <c r="O544"/>
    </row>
    <row r="545" spans="15:15" x14ac:dyDescent="0.25">
      <c r="O545"/>
    </row>
    <row r="546" spans="15:15" x14ac:dyDescent="0.25">
      <c r="O546"/>
    </row>
    <row r="547" spans="15:15" x14ac:dyDescent="0.25">
      <c r="O547"/>
    </row>
    <row r="548" spans="15:15" x14ac:dyDescent="0.25">
      <c r="O548"/>
    </row>
    <row r="549" spans="15:15" x14ac:dyDescent="0.25">
      <c r="O549"/>
    </row>
    <row r="550" spans="15:15" x14ac:dyDescent="0.25">
      <c r="O550"/>
    </row>
    <row r="551" spans="15:15" x14ac:dyDescent="0.25">
      <c r="O551"/>
    </row>
    <row r="552" spans="15:15" x14ac:dyDescent="0.25">
      <c r="O552"/>
    </row>
    <row r="553" spans="15:15" x14ac:dyDescent="0.25">
      <c r="O553"/>
    </row>
    <row r="554" spans="15:15" x14ac:dyDescent="0.25">
      <c r="O554"/>
    </row>
    <row r="555" spans="15:15" x14ac:dyDescent="0.25">
      <c r="O555"/>
    </row>
    <row r="556" spans="15:15" x14ac:dyDescent="0.25">
      <c r="O556"/>
    </row>
    <row r="557" spans="15:15" x14ac:dyDescent="0.25">
      <c r="O557"/>
    </row>
    <row r="558" spans="15:15" x14ac:dyDescent="0.25">
      <c r="O558"/>
    </row>
    <row r="559" spans="15:15" x14ac:dyDescent="0.25">
      <c r="O559"/>
    </row>
    <row r="560" spans="15:15" x14ac:dyDescent="0.25">
      <c r="O560"/>
    </row>
    <row r="561" spans="15:15" x14ac:dyDescent="0.25">
      <c r="O561"/>
    </row>
    <row r="562" spans="15:15" x14ac:dyDescent="0.25">
      <c r="O562"/>
    </row>
    <row r="563" spans="15:15" x14ac:dyDescent="0.25">
      <c r="O563"/>
    </row>
    <row r="564" spans="15:15" x14ac:dyDescent="0.25">
      <c r="O564"/>
    </row>
    <row r="565" spans="15:15" x14ac:dyDescent="0.25">
      <c r="O565"/>
    </row>
    <row r="566" spans="15:15" x14ac:dyDescent="0.25">
      <c r="O566"/>
    </row>
    <row r="567" spans="15:15" x14ac:dyDescent="0.25">
      <c r="O567"/>
    </row>
    <row r="568" spans="15:15" x14ac:dyDescent="0.25">
      <c r="O568"/>
    </row>
    <row r="569" spans="15:15" x14ac:dyDescent="0.25">
      <c r="O569"/>
    </row>
    <row r="570" spans="15:15" x14ac:dyDescent="0.25">
      <c r="O570"/>
    </row>
    <row r="571" spans="15:15" x14ac:dyDescent="0.25">
      <c r="O571"/>
    </row>
    <row r="572" spans="15:15" x14ac:dyDescent="0.25">
      <c r="O572"/>
    </row>
    <row r="573" spans="15:15" x14ac:dyDescent="0.25">
      <c r="O573"/>
    </row>
    <row r="574" spans="15:15" x14ac:dyDescent="0.25">
      <c r="O574"/>
    </row>
    <row r="575" spans="15:15" x14ac:dyDescent="0.25">
      <c r="O575"/>
    </row>
    <row r="576" spans="15:15" x14ac:dyDescent="0.25">
      <c r="O576"/>
    </row>
    <row r="577" spans="15:15" x14ac:dyDescent="0.25">
      <c r="O577"/>
    </row>
    <row r="578" spans="15:15" x14ac:dyDescent="0.25">
      <c r="O578"/>
    </row>
    <row r="579" spans="15:15" x14ac:dyDescent="0.25">
      <c r="O579"/>
    </row>
    <row r="580" spans="15:15" x14ac:dyDescent="0.25">
      <c r="O580"/>
    </row>
    <row r="581" spans="15:15" x14ac:dyDescent="0.25">
      <c r="O581"/>
    </row>
    <row r="582" spans="15:15" x14ac:dyDescent="0.25">
      <c r="O582"/>
    </row>
    <row r="583" spans="15:15" x14ac:dyDescent="0.25">
      <c r="O583"/>
    </row>
    <row r="584" spans="15:15" x14ac:dyDescent="0.25">
      <c r="O584"/>
    </row>
    <row r="585" spans="15:15" x14ac:dyDescent="0.25">
      <c r="O585"/>
    </row>
    <row r="586" spans="15:15" x14ac:dyDescent="0.25">
      <c r="O586"/>
    </row>
    <row r="587" spans="15:15" x14ac:dyDescent="0.25">
      <c r="O587"/>
    </row>
    <row r="588" spans="15:15" x14ac:dyDescent="0.25">
      <c r="O588"/>
    </row>
    <row r="589" spans="15:15" x14ac:dyDescent="0.25">
      <c r="O589"/>
    </row>
    <row r="590" spans="15:15" x14ac:dyDescent="0.25">
      <c r="O590"/>
    </row>
    <row r="591" spans="15:15" x14ac:dyDescent="0.25">
      <c r="O591"/>
    </row>
    <row r="592" spans="15:15" x14ac:dyDescent="0.25">
      <c r="O592"/>
    </row>
    <row r="593" spans="15:15" x14ac:dyDescent="0.25">
      <c r="O593"/>
    </row>
    <row r="594" spans="15:15" x14ac:dyDescent="0.25">
      <c r="O594"/>
    </row>
    <row r="595" spans="15:15" x14ac:dyDescent="0.25">
      <c r="O595"/>
    </row>
    <row r="596" spans="15:15" x14ac:dyDescent="0.25">
      <c r="O596"/>
    </row>
    <row r="597" spans="15:15" x14ac:dyDescent="0.25">
      <c r="O597"/>
    </row>
    <row r="598" spans="15:15" x14ac:dyDescent="0.25">
      <c r="O598"/>
    </row>
    <row r="599" spans="15:15" x14ac:dyDescent="0.25">
      <c r="O599"/>
    </row>
    <row r="600" spans="15:15" x14ac:dyDescent="0.25">
      <c r="O600"/>
    </row>
    <row r="601" spans="15:15" x14ac:dyDescent="0.25">
      <c r="O601"/>
    </row>
    <row r="602" spans="15:15" x14ac:dyDescent="0.25">
      <c r="O602"/>
    </row>
    <row r="603" spans="15:15" x14ac:dyDescent="0.25">
      <c r="O603"/>
    </row>
    <row r="604" spans="15:15" x14ac:dyDescent="0.25">
      <c r="O604"/>
    </row>
    <row r="605" spans="15:15" x14ac:dyDescent="0.25">
      <c r="O605"/>
    </row>
    <row r="606" spans="15:15" x14ac:dyDescent="0.25">
      <c r="O606"/>
    </row>
    <row r="607" spans="15:15" x14ac:dyDescent="0.25">
      <c r="O607"/>
    </row>
    <row r="608" spans="15:15" x14ac:dyDescent="0.25">
      <c r="O608"/>
    </row>
    <row r="609" spans="15:15" x14ac:dyDescent="0.25">
      <c r="O609"/>
    </row>
    <row r="610" spans="15:15" x14ac:dyDescent="0.25">
      <c r="O610"/>
    </row>
    <row r="611" spans="15:15" x14ac:dyDescent="0.25">
      <c r="O611"/>
    </row>
    <row r="612" spans="15:15" x14ac:dyDescent="0.25">
      <c r="O612"/>
    </row>
    <row r="613" spans="15:15" x14ac:dyDescent="0.25">
      <c r="O613"/>
    </row>
    <row r="614" spans="15:15" x14ac:dyDescent="0.25">
      <c r="O614"/>
    </row>
    <row r="615" spans="15:15" x14ac:dyDescent="0.25">
      <c r="O615"/>
    </row>
    <row r="616" spans="15:15" x14ac:dyDescent="0.25">
      <c r="O616"/>
    </row>
    <row r="617" spans="15:15" x14ac:dyDescent="0.25">
      <c r="O617"/>
    </row>
    <row r="618" spans="15:15" x14ac:dyDescent="0.25">
      <c r="O618"/>
    </row>
    <row r="619" spans="15:15" x14ac:dyDescent="0.25">
      <c r="O619"/>
    </row>
    <row r="620" spans="15:15" x14ac:dyDescent="0.25">
      <c r="O620"/>
    </row>
    <row r="621" spans="15:15" x14ac:dyDescent="0.25">
      <c r="O621"/>
    </row>
    <row r="622" spans="15:15" x14ac:dyDescent="0.25">
      <c r="O622"/>
    </row>
    <row r="623" spans="15:15" x14ac:dyDescent="0.25">
      <c r="O623"/>
    </row>
    <row r="624" spans="15:15" x14ac:dyDescent="0.25">
      <c r="O624"/>
    </row>
    <row r="625" spans="15:15" x14ac:dyDescent="0.25">
      <c r="O625"/>
    </row>
    <row r="626" spans="15:15" x14ac:dyDescent="0.25">
      <c r="O626"/>
    </row>
    <row r="627" spans="15:15" x14ac:dyDescent="0.25">
      <c r="O627"/>
    </row>
    <row r="628" spans="15:15" x14ac:dyDescent="0.25">
      <c r="O628"/>
    </row>
    <row r="629" spans="15:15" x14ac:dyDescent="0.25">
      <c r="O629"/>
    </row>
    <row r="630" spans="15:15" x14ac:dyDescent="0.25">
      <c r="O630"/>
    </row>
    <row r="631" spans="15:15" x14ac:dyDescent="0.25">
      <c r="O631"/>
    </row>
    <row r="632" spans="15:15" x14ac:dyDescent="0.25">
      <c r="O632"/>
    </row>
    <row r="633" spans="15:15" x14ac:dyDescent="0.25">
      <c r="O633"/>
    </row>
    <row r="634" spans="15:15" x14ac:dyDescent="0.25">
      <c r="O634"/>
    </row>
    <row r="635" spans="15:15" x14ac:dyDescent="0.25">
      <c r="O635"/>
    </row>
    <row r="636" spans="15:15" x14ac:dyDescent="0.25">
      <c r="O636"/>
    </row>
    <row r="637" spans="15:15" x14ac:dyDescent="0.25">
      <c r="O637"/>
    </row>
    <row r="638" spans="15:15" x14ac:dyDescent="0.25">
      <c r="O638"/>
    </row>
    <row r="639" spans="15:15" x14ac:dyDescent="0.25">
      <c r="O639"/>
    </row>
    <row r="640" spans="15:15" x14ac:dyDescent="0.25">
      <c r="O640"/>
    </row>
    <row r="641" spans="15:15" x14ac:dyDescent="0.25">
      <c r="O641"/>
    </row>
    <row r="642" spans="15:15" x14ac:dyDescent="0.25">
      <c r="O642"/>
    </row>
    <row r="643" spans="15:15" x14ac:dyDescent="0.25">
      <c r="O643"/>
    </row>
    <row r="644" spans="15:15" x14ac:dyDescent="0.25">
      <c r="O644"/>
    </row>
    <row r="645" spans="15:15" x14ac:dyDescent="0.25">
      <c r="O645"/>
    </row>
    <row r="646" spans="15:15" x14ac:dyDescent="0.25">
      <c r="O646"/>
    </row>
    <row r="647" spans="15:15" x14ac:dyDescent="0.25">
      <c r="O647"/>
    </row>
    <row r="648" spans="15:15" x14ac:dyDescent="0.25">
      <c r="O648"/>
    </row>
    <row r="649" spans="15:15" x14ac:dyDescent="0.25">
      <c r="O649"/>
    </row>
    <row r="650" spans="15:15" x14ac:dyDescent="0.25">
      <c r="O650"/>
    </row>
    <row r="651" spans="15:15" x14ac:dyDescent="0.25">
      <c r="O651"/>
    </row>
    <row r="652" spans="15:15" x14ac:dyDescent="0.25">
      <c r="O652"/>
    </row>
    <row r="653" spans="15:15" x14ac:dyDescent="0.25">
      <c r="O653"/>
    </row>
    <row r="654" spans="15:15" x14ac:dyDescent="0.25">
      <c r="O654"/>
    </row>
    <row r="655" spans="15:15" x14ac:dyDescent="0.25">
      <c r="O655"/>
    </row>
    <row r="656" spans="15:15" x14ac:dyDescent="0.25">
      <c r="O656"/>
    </row>
    <row r="657" spans="15:15" x14ac:dyDescent="0.25">
      <c r="O657"/>
    </row>
    <row r="658" spans="15:15" x14ac:dyDescent="0.25">
      <c r="O658"/>
    </row>
    <row r="659" spans="15:15" x14ac:dyDescent="0.25">
      <c r="O659"/>
    </row>
    <row r="660" spans="15:15" x14ac:dyDescent="0.25">
      <c r="O660"/>
    </row>
    <row r="661" spans="15:15" x14ac:dyDescent="0.25">
      <c r="O661"/>
    </row>
    <row r="662" spans="15:15" x14ac:dyDescent="0.25">
      <c r="O662"/>
    </row>
    <row r="663" spans="15:15" x14ac:dyDescent="0.25">
      <c r="O663"/>
    </row>
    <row r="664" spans="15:15" x14ac:dyDescent="0.25">
      <c r="O664"/>
    </row>
    <row r="665" spans="15:15" x14ac:dyDescent="0.25">
      <c r="O665"/>
    </row>
    <row r="666" spans="15:15" x14ac:dyDescent="0.25">
      <c r="O666"/>
    </row>
    <row r="667" spans="15:15" x14ac:dyDescent="0.25">
      <c r="O667"/>
    </row>
    <row r="668" spans="15:15" x14ac:dyDescent="0.25">
      <c r="O668"/>
    </row>
    <row r="669" spans="15:15" x14ac:dyDescent="0.25">
      <c r="O669"/>
    </row>
    <row r="670" spans="15:15" x14ac:dyDescent="0.25">
      <c r="O670"/>
    </row>
    <row r="671" spans="15:15" x14ac:dyDescent="0.25">
      <c r="O671"/>
    </row>
    <row r="672" spans="15:15" x14ac:dyDescent="0.25">
      <c r="O672"/>
    </row>
    <row r="673" spans="15:15" x14ac:dyDescent="0.25">
      <c r="O673"/>
    </row>
    <row r="674" spans="15:15" x14ac:dyDescent="0.25">
      <c r="O674"/>
    </row>
    <row r="675" spans="15:15" x14ac:dyDescent="0.25">
      <c r="O675"/>
    </row>
    <row r="676" spans="15:15" x14ac:dyDescent="0.25">
      <c r="O676"/>
    </row>
    <row r="677" spans="15:15" x14ac:dyDescent="0.25">
      <c r="O677"/>
    </row>
    <row r="678" spans="15:15" x14ac:dyDescent="0.25">
      <c r="O678"/>
    </row>
    <row r="679" spans="15:15" x14ac:dyDescent="0.25">
      <c r="O679"/>
    </row>
    <row r="680" spans="15:15" x14ac:dyDescent="0.25">
      <c r="O680"/>
    </row>
    <row r="681" spans="15:15" x14ac:dyDescent="0.25">
      <c r="O681"/>
    </row>
    <row r="682" spans="15:15" x14ac:dyDescent="0.25">
      <c r="O682"/>
    </row>
    <row r="683" spans="15:15" x14ac:dyDescent="0.25">
      <c r="O683"/>
    </row>
    <row r="684" spans="15:15" x14ac:dyDescent="0.25">
      <c r="O684"/>
    </row>
    <row r="685" spans="15:15" x14ac:dyDescent="0.25">
      <c r="O685"/>
    </row>
    <row r="686" spans="15:15" x14ac:dyDescent="0.25">
      <c r="O686"/>
    </row>
    <row r="687" spans="15:15" x14ac:dyDescent="0.25">
      <c r="O687"/>
    </row>
    <row r="688" spans="15:15" x14ac:dyDescent="0.25">
      <c r="O688"/>
    </row>
    <row r="689" spans="15:15" x14ac:dyDescent="0.25">
      <c r="O689"/>
    </row>
    <row r="690" spans="15:15" x14ac:dyDescent="0.25">
      <c r="O690"/>
    </row>
    <row r="691" spans="15:15" x14ac:dyDescent="0.25">
      <c r="O691"/>
    </row>
    <row r="692" spans="15:15" x14ac:dyDescent="0.25">
      <c r="O692"/>
    </row>
    <row r="693" spans="15:15" x14ac:dyDescent="0.25">
      <c r="O693"/>
    </row>
    <row r="694" spans="15:15" x14ac:dyDescent="0.25">
      <c r="O694"/>
    </row>
    <row r="695" spans="15:15" x14ac:dyDescent="0.25">
      <c r="O695"/>
    </row>
    <row r="696" spans="15:15" x14ac:dyDescent="0.25">
      <c r="O696"/>
    </row>
    <row r="697" spans="15:15" x14ac:dyDescent="0.25">
      <c r="O697"/>
    </row>
    <row r="698" spans="15:15" x14ac:dyDescent="0.25">
      <c r="O698"/>
    </row>
    <row r="699" spans="15:15" x14ac:dyDescent="0.25">
      <c r="O699"/>
    </row>
    <row r="700" spans="15:15" x14ac:dyDescent="0.25">
      <c r="O700"/>
    </row>
    <row r="701" spans="15:15" x14ac:dyDescent="0.25">
      <c r="O701"/>
    </row>
    <row r="702" spans="15:15" x14ac:dyDescent="0.25">
      <c r="O702"/>
    </row>
    <row r="703" spans="15:15" x14ac:dyDescent="0.25">
      <c r="O703"/>
    </row>
    <row r="704" spans="15:15" x14ac:dyDescent="0.25">
      <c r="O704"/>
    </row>
    <row r="705" spans="15:15" x14ac:dyDescent="0.25">
      <c r="O705"/>
    </row>
    <row r="706" spans="15:15" x14ac:dyDescent="0.25">
      <c r="O706"/>
    </row>
    <row r="707" spans="15:15" x14ac:dyDescent="0.25">
      <c r="O707"/>
    </row>
    <row r="708" spans="15:15" x14ac:dyDescent="0.25">
      <c r="O708"/>
    </row>
    <row r="709" spans="15:15" x14ac:dyDescent="0.25">
      <c r="O709"/>
    </row>
    <row r="710" spans="15:15" x14ac:dyDescent="0.25">
      <c r="O710"/>
    </row>
    <row r="711" spans="15:15" x14ac:dyDescent="0.25">
      <c r="O711"/>
    </row>
    <row r="712" spans="15:15" x14ac:dyDescent="0.25">
      <c r="O712"/>
    </row>
    <row r="713" spans="15:15" x14ac:dyDescent="0.25">
      <c r="O713"/>
    </row>
    <row r="714" spans="15:15" x14ac:dyDescent="0.25">
      <c r="O714"/>
    </row>
    <row r="715" spans="15:15" x14ac:dyDescent="0.25">
      <c r="O715"/>
    </row>
    <row r="716" spans="15:15" x14ac:dyDescent="0.25">
      <c r="O716"/>
    </row>
    <row r="717" spans="15:15" x14ac:dyDescent="0.25">
      <c r="O717"/>
    </row>
    <row r="718" spans="15:15" x14ac:dyDescent="0.25">
      <c r="O718"/>
    </row>
    <row r="719" spans="15:15" x14ac:dyDescent="0.25">
      <c r="O719"/>
    </row>
    <row r="720" spans="15:15" x14ac:dyDescent="0.25">
      <c r="O720"/>
    </row>
    <row r="721" spans="15:15" x14ac:dyDescent="0.25">
      <c r="O721"/>
    </row>
    <row r="722" spans="15:15" x14ac:dyDescent="0.25">
      <c r="O722"/>
    </row>
    <row r="723" spans="15:15" x14ac:dyDescent="0.25">
      <c r="O723"/>
    </row>
    <row r="724" spans="15:15" x14ac:dyDescent="0.25">
      <c r="O724"/>
    </row>
    <row r="725" spans="15:15" x14ac:dyDescent="0.25">
      <c r="O725"/>
    </row>
    <row r="726" spans="15:15" x14ac:dyDescent="0.25">
      <c r="O726"/>
    </row>
    <row r="727" spans="15:15" x14ac:dyDescent="0.25">
      <c r="O727"/>
    </row>
    <row r="728" spans="15:15" x14ac:dyDescent="0.25">
      <c r="O728"/>
    </row>
    <row r="729" spans="15:15" x14ac:dyDescent="0.25">
      <c r="O729"/>
    </row>
    <row r="730" spans="15:15" x14ac:dyDescent="0.25">
      <c r="O730"/>
    </row>
    <row r="731" spans="15:15" x14ac:dyDescent="0.25">
      <c r="O731"/>
    </row>
    <row r="732" spans="15:15" x14ac:dyDescent="0.25">
      <c r="O732"/>
    </row>
    <row r="733" spans="15:15" x14ac:dyDescent="0.25">
      <c r="O733"/>
    </row>
    <row r="734" spans="15:15" x14ac:dyDescent="0.25">
      <c r="O734"/>
    </row>
    <row r="735" spans="15:15" x14ac:dyDescent="0.25">
      <c r="O735"/>
    </row>
    <row r="736" spans="15:15" x14ac:dyDescent="0.25">
      <c r="O736"/>
    </row>
    <row r="737" spans="15:15" x14ac:dyDescent="0.25">
      <c r="O737"/>
    </row>
    <row r="738" spans="15:15" x14ac:dyDescent="0.25">
      <c r="O738"/>
    </row>
    <row r="739" spans="15:15" x14ac:dyDescent="0.25">
      <c r="O739"/>
    </row>
    <row r="740" spans="15:15" x14ac:dyDescent="0.25">
      <c r="O740"/>
    </row>
    <row r="741" spans="15:15" x14ac:dyDescent="0.25">
      <c r="O741"/>
    </row>
    <row r="742" spans="15:15" x14ac:dyDescent="0.25">
      <c r="O742"/>
    </row>
    <row r="743" spans="15:15" x14ac:dyDescent="0.25">
      <c r="O743"/>
    </row>
    <row r="744" spans="15:15" x14ac:dyDescent="0.25">
      <c r="O744"/>
    </row>
    <row r="745" spans="15:15" x14ac:dyDescent="0.25">
      <c r="O745"/>
    </row>
    <row r="746" spans="15:15" x14ac:dyDescent="0.25">
      <c r="O746"/>
    </row>
    <row r="747" spans="15:15" x14ac:dyDescent="0.25">
      <c r="O747"/>
    </row>
    <row r="748" spans="15:15" x14ac:dyDescent="0.25">
      <c r="O748"/>
    </row>
    <row r="749" spans="15:15" x14ac:dyDescent="0.25">
      <c r="O749"/>
    </row>
    <row r="750" spans="15:15" x14ac:dyDescent="0.25">
      <c r="O750"/>
    </row>
    <row r="751" spans="15:15" x14ac:dyDescent="0.25">
      <c r="O751"/>
    </row>
    <row r="752" spans="15:15" x14ac:dyDescent="0.25">
      <c r="O752"/>
    </row>
    <row r="753" spans="15:15" x14ac:dyDescent="0.25">
      <c r="O753"/>
    </row>
    <row r="754" spans="15:15" x14ac:dyDescent="0.25">
      <c r="O754"/>
    </row>
    <row r="755" spans="15:15" x14ac:dyDescent="0.25">
      <c r="O755"/>
    </row>
    <row r="756" spans="15:15" x14ac:dyDescent="0.25">
      <c r="O756"/>
    </row>
    <row r="757" spans="15:15" x14ac:dyDescent="0.25">
      <c r="O757"/>
    </row>
    <row r="758" spans="15:15" x14ac:dyDescent="0.25">
      <c r="O758"/>
    </row>
    <row r="759" spans="15:15" x14ac:dyDescent="0.25">
      <c r="O759"/>
    </row>
    <row r="760" spans="15:15" x14ac:dyDescent="0.25">
      <c r="O760"/>
    </row>
    <row r="761" spans="15:15" x14ac:dyDescent="0.25">
      <c r="O761"/>
    </row>
    <row r="762" spans="15:15" x14ac:dyDescent="0.25">
      <c r="O762"/>
    </row>
    <row r="763" spans="15:15" x14ac:dyDescent="0.25">
      <c r="O763"/>
    </row>
    <row r="764" spans="15:15" x14ac:dyDescent="0.25">
      <c r="O764"/>
    </row>
    <row r="765" spans="15:15" x14ac:dyDescent="0.25">
      <c r="O765"/>
    </row>
    <row r="766" spans="15:15" x14ac:dyDescent="0.25">
      <c r="O766"/>
    </row>
    <row r="767" spans="15:15" x14ac:dyDescent="0.25">
      <c r="O767"/>
    </row>
    <row r="768" spans="15:15" x14ac:dyDescent="0.25">
      <c r="O768"/>
    </row>
    <row r="769" spans="15:15" x14ac:dyDescent="0.25">
      <c r="O769"/>
    </row>
    <row r="770" spans="15:15" x14ac:dyDescent="0.25">
      <c r="O770"/>
    </row>
    <row r="771" spans="15:15" x14ac:dyDescent="0.25">
      <c r="O771"/>
    </row>
    <row r="772" spans="15:15" x14ac:dyDescent="0.25">
      <c r="O772"/>
    </row>
    <row r="773" spans="15:15" x14ac:dyDescent="0.25">
      <c r="O773"/>
    </row>
    <row r="774" spans="15:15" x14ac:dyDescent="0.25">
      <c r="O774"/>
    </row>
    <row r="775" spans="15:15" x14ac:dyDescent="0.25">
      <c r="O775"/>
    </row>
    <row r="776" spans="15:15" x14ac:dyDescent="0.25">
      <c r="O776"/>
    </row>
    <row r="777" spans="15:15" x14ac:dyDescent="0.25">
      <c r="O777"/>
    </row>
    <row r="778" spans="15:15" x14ac:dyDescent="0.25">
      <c r="O778"/>
    </row>
    <row r="779" spans="15:15" x14ac:dyDescent="0.25">
      <c r="O779"/>
    </row>
    <row r="780" spans="15:15" x14ac:dyDescent="0.25">
      <c r="O780"/>
    </row>
    <row r="781" spans="15:15" x14ac:dyDescent="0.25">
      <c r="O781"/>
    </row>
    <row r="782" spans="15:15" x14ac:dyDescent="0.25">
      <c r="O782"/>
    </row>
    <row r="783" spans="15:15" x14ac:dyDescent="0.25">
      <c r="O783"/>
    </row>
    <row r="784" spans="15:15" x14ac:dyDescent="0.25">
      <c r="O784"/>
    </row>
    <row r="785" spans="15:15" x14ac:dyDescent="0.25">
      <c r="O785"/>
    </row>
    <row r="786" spans="15:15" x14ac:dyDescent="0.25">
      <c r="O786"/>
    </row>
    <row r="787" spans="15:15" x14ac:dyDescent="0.25">
      <c r="O787"/>
    </row>
    <row r="788" spans="15:15" x14ac:dyDescent="0.25">
      <c r="O788"/>
    </row>
    <row r="789" spans="15:15" x14ac:dyDescent="0.25">
      <c r="O789"/>
    </row>
    <row r="790" spans="15:15" x14ac:dyDescent="0.25">
      <c r="O790"/>
    </row>
    <row r="791" spans="15:15" x14ac:dyDescent="0.25">
      <c r="O791"/>
    </row>
    <row r="792" spans="15:15" x14ac:dyDescent="0.25">
      <c r="O792"/>
    </row>
    <row r="793" spans="15:15" x14ac:dyDescent="0.25">
      <c r="O793"/>
    </row>
    <row r="794" spans="15:15" x14ac:dyDescent="0.25">
      <c r="O794"/>
    </row>
    <row r="795" spans="15:15" x14ac:dyDescent="0.25">
      <c r="O795"/>
    </row>
    <row r="796" spans="15:15" x14ac:dyDescent="0.25">
      <c r="O796"/>
    </row>
    <row r="797" spans="15:15" x14ac:dyDescent="0.25">
      <c r="O797"/>
    </row>
    <row r="798" spans="15:15" x14ac:dyDescent="0.25">
      <c r="O798"/>
    </row>
    <row r="799" spans="15:15" x14ac:dyDescent="0.25">
      <c r="O799"/>
    </row>
    <row r="800" spans="15:15" x14ac:dyDescent="0.25">
      <c r="O800"/>
    </row>
    <row r="801" spans="15:15" x14ac:dyDescent="0.25">
      <c r="O801"/>
    </row>
    <row r="802" spans="15:15" x14ac:dyDescent="0.25">
      <c r="O802"/>
    </row>
    <row r="803" spans="15:15" x14ac:dyDescent="0.25">
      <c r="O803"/>
    </row>
    <row r="804" spans="15:15" x14ac:dyDescent="0.25">
      <c r="O804"/>
    </row>
    <row r="805" spans="15:15" x14ac:dyDescent="0.25">
      <c r="O805"/>
    </row>
    <row r="806" spans="15:15" x14ac:dyDescent="0.25">
      <c r="O806"/>
    </row>
    <row r="807" spans="15:15" x14ac:dyDescent="0.25">
      <c r="O807"/>
    </row>
    <row r="808" spans="15:15" x14ac:dyDescent="0.25">
      <c r="O808"/>
    </row>
    <row r="809" spans="15:15" x14ac:dyDescent="0.25">
      <c r="O809"/>
    </row>
    <row r="810" spans="15:15" x14ac:dyDescent="0.25">
      <c r="O810"/>
    </row>
    <row r="811" spans="15:15" x14ac:dyDescent="0.25">
      <c r="O811"/>
    </row>
    <row r="812" spans="15:15" x14ac:dyDescent="0.25">
      <c r="O812"/>
    </row>
    <row r="813" spans="15:15" x14ac:dyDescent="0.25">
      <c r="O813"/>
    </row>
    <row r="814" spans="15:15" x14ac:dyDescent="0.25">
      <c r="O814"/>
    </row>
    <row r="815" spans="15:15" x14ac:dyDescent="0.25">
      <c r="O815"/>
    </row>
    <row r="816" spans="15:15" x14ac:dyDescent="0.25">
      <c r="O816"/>
    </row>
    <row r="817" spans="15:15" x14ac:dyDescent="0.25">
      <c r="O817"/>
    </row>
    <row r="818" spans="15:15" x14ac:dyDescent="0.25">
      <c r="O818"/>
    </row>
    <row r="819" spans="15:15" x14ac:dyDescent="0.25">
      <c r="O819"/>
    </row>
    <row r="820" spans="15:15" x14ac:dyDescent="0.25">
      <c r="O820"/>
    </row>
    <row r="821" spans="15:15" x14ac:dyDescent="0.25">
      <c r="O821"/>
    </row>
    <row r="822" spans="15:15" x14ac:dyDescent="0.25">
      <c r="O822"/>
    </row>
    <row r="823" spans="15:15" x14ac:dyDescent="0.25">
      <c r="O823"/>
    </row>
    <row r="824" spans="15:15" x14ac:dyDescent="0.25">
      <c r="O824"/>
    </row>
    <row r="825" spans="15:15" x14ac:dyDescent="0.25">
      <c r="O825"/>
    </row>
    <row r="826" spans="15:15" x14ac:dyDescent="0.25">
      <c r="O826"/>
    </row>
    <row r="827" spans="15:15" x14ac:dyDescent="0.25">
      <c r="O827"/>
    </row>
    <row r="828" spans="15:15" x14ac:dyDescent="0.25">
      <c r="O828"/>
    </row>
    <row r="829" spans="15:15" x14ac:dyDescent="0.25">
      <c r="O829"/>
    </row>
    <row r="830" spans="15:15" x14ac:dyDescent="0.25">
      <c r="O830"/>
    </row>
    <row r="831" spans="15:15" x14ac:dyDescent="0.25">
      <c r="O831"/>
    </row>
    <row r="832" spans="15:15" x14ac:dyDescent="0.25">
      <c r="O832"/>
    </row>
    <row r="833" spans="15:15" x14ac:dyDescent="0.25">
      <c r="O833"/>
    </row>
    <row r="834" spans="15:15" x14ac:dyDescent="0.25">
      <c r="O834"/>
    </row>
    <row r="835" spans="15:15" x14ac:dyDescent="0.25">
      <c r="O835"/>
    </row>
    <row r="836" spans="15:15" x14ac:dyDescent="0.25">
      <c r="O836"/>
    </row>
    <row r="837" spans="15:15" x14ac:dyDescent="0.25">
      <c r="O837"/>
    </row>
    <row r="838" spans="15:15" x14ac:dyDescent="0.25">
      <c r="O838"/>
    </row>
    <row r="839" spans="15:15" x14ac:dyDescent="0.25">
      <c r="O839"/>
    </row>
    <row r="840" spans="15:15" x14ac:dyDescent="0.25">
      <c r="O840"/>
    </row>
    <row r="841" spans="15:15" x14ac:dyDescent="0.25">
      <c r="O841"/>
    </row>
    <row r="842" spans="15:15" x14ac:dyDescent="0.25">
      <c r="O842"/>
    </row>
    <row r="843" spans="15:15" x14ac:dyDescent="0.25">
      <c r="O843"/>
    </row>
    <row r="844" spans="15:15" x14ac:dyDescent="0.25">
      <c r="O844"/>
    </row>
    <row r="845" spans="15:15" x14ac:dyDescent="0.25">
      <c r="O845"/>
    </row>
    <row r="846" spans="15:15" x14ac:dyDescent="0.25">
      <c r="O846"/>
    </row>
    <row r="847" spans="15:15" x14ac:dyDescent="0.25">
      <c r="O847"/>
    </row>
    <row r="848" spans="15:15" x14ac:dyDescent="0.25">
      <c r="O848"/>
    </row>
    <row r="849" spans="15:15" x14ac:dyDescent="0.25">
      <c r="O849"/>
    </row>
    <row r="850" spans="15:15" x14ac:dyDescent="0.25">
      <c r="O850"/>
    </row>
    <row r="851" spans="15:15" x14ac:dyDescent="0.25">
      <c r="O851"/>
    </row>
    <row r="852" spans="15:15" x14ac:dyDescent="0.25">
      <c r="O852"/>
    </row>
    <row r="853" spans="15:15" x14ac:dyDescent="0.25">
      <c r="O853"/>
    </row>
    <row r="854" spans="15:15" x14ac:dyDescent="0.25">
      <c r="O854"/>
    </row>
    <row r="855" spans="15:15" x14ac:dyDescent="0.25">
      <c r="O855"/>
    </row>
    <row r="856" spans="15:15" x14ac:dyDescent="0.25">
      <c r="O856"/>
    </row>
    <row r="857" spans="15:15" x14ac:dyDescent="0.25">
      <c r="O857"/>
    </row>
    <row r="858" spans="15:15" x14ac:dyDescent="0.25">
      <c r="O858"/>
    </row>
    <row r="859" spans="15:15" x14ac:dyDescent="0.25">
      <c r="O859"/>
    </row>
    <row r="860" spans="15:15" x14ac:dyDescent="0.25">
      <c r="O860"/>
    </row>
    <row r="861" spans="15:15" x14ac:dyDescent="0.25">
      <c r="O861"/>
    </row>
    <row r="862" spans="15:15" x14ac:dyDescent="0.25">
      <c r="O862"/>
    </row>
    <row r="863" spans="15:15" x14ac:dyDescent="0.25">
      <c r="O863"/>
    </row>
    <row r="864" spans="15:15" x14ac:dyDescent="0.25">
      <c r="O864"/>
    </row>
    <row r="865" spans="15:15" x14ac:dyDescent="0.25">
      <c r="O865"/>
    </row>
    <row r="866" spans="15:15" x14ac:dyDescent="0.25">
      <c r="O866"/>
    </row>
    <row r="867" spans="15:15" x14ac:dyDescent="0.25">
      <c r="O867"/>
    </row>
    <row r="868" spans="15:15" x14ac:dyDescent="0.25">
      <c r="O868"/>
    </row>
    <row r="869" spans="15:15" x14ac:dyDescent="0.25">
      <c r="O869"/>
    </row>
    <row r="870" spans="15:15" x14ac:dyDescent="0.25">
      <c r="O870"/>
    </row>
    <row r="871" spans="15:15" x14ac:dyDescent="0.25">
      <c r="O871"/>
    </row>
    <row r="872" spans="15:15" x14ac:dyDescent="0.25">
      <c r="O872"/>
    </row>
    <row r="873" spans="15:15" x14ac:dyDescent="0.25">
      <c r="O873"/>
    </row>
    <row r="874" spans="15:15" x14ac:dyDescent="0.25">
      <c r="O874"/>
    </row>
    <row r="875" spans="15:15" x14ac:dyDescent="0.25">
      <c r="O875"/>
    </row>
    <row r="876" spans="15:15" x14ac:dyDescent="0.25">
      <c r="O876"/>
    </row>
    <row r="877" spans="15:15" x14ac:dyDescent="0.25">
      <c r="O877"/>
    </row>
    <row r="878" spans="15:15" x14ac:dyDescent="0.25">
      <c r="O878"/>
    </row>
    <row r="879" spans="15:15" x14ac:dyDescent="0.25">
      <c r="O879"/>
    </row>
    <row r="880" spans="15:15" x14ac:dyDescent="0.25">
      <c r="O880"/>
    </row>
    <row r="881" spans="15:15" x14ac:dyDescent="0.25">
      <c r="O881"/>
    </row>
    <row r="882" spans="15:15" x14ac:dyDescent="0.25">
      <c r="O882"/>
    </row>
    <row r="883" spans="15:15" x14ac:dyDescent="0.25">
      <c r="O883"/>
    </row>
    <row r="884" spans="15:15" x14ac:dyDescent="0.25">
      <c r="O884"/>
    </row>
    <row r="885" spans="15:15" x14ac:dyDescent="0.25">
      <c r="O885"/>
    </row>
    <row r="886" spans="15:15" x14ac:dyDescent="0.25">
      <c r="O886"/>
    </row>
    <row r="887" spans="15:15" x14ac:dyDescent="0.25">
      <c r="O887"/>
    </row>
    <row r="888" spans="15:15" x14ac:dyDescent="0.25">
      <c r="O888"/>
    </row>
    <row r="889" spans="15:15" x14ac:dyDescent="0.25">
      <c r="O889"/>
    </row>
    <row r="890" spans="15:15" x14ac:dyDescent="0.25">
      <c r="O890"/>
    </row>
    <row r="891" spans="15:15" x14ac:dyDescent="0.25">
      <c r="O891"/>
    </row>
    <row r="892" spans="15:15" x14ac:dyDescent="0.25">
      <c r="O892"/>
    </row>
    <row r="893" spans="15:15" x14ac:dyDescent="0.25">
      <c r="O893"/>
    </row>
    <row r="894" spans="15:15" x14ac:dyDescent="0.25">
      <c r="O894"/>
    </row>
    <row r="895" spans="15:15" x14ac:dyDescent="0.25">
      <c r="O895"/>
    </row>
    <row r="896" spans="15:15" x14ac:dyDescent="0.25">
      <c r="O896"/>
    </row>
    <row r="897" spans="15:15" x14ac:dyDescent="0.25">
      <c r="O897"/>
    </row>
    <row r="898" spans="15:15" x14ac:dyDescent="0.25">
      <c r="O898"/>
    </row>
    <row r="899" spans="15:15" x14ac:dyDescent="0.25">
      <c r="O899"/>
    </row>
    <row r="900" spans="15:15" x14ac:dyDescent="0.25">
      <c r="O900"/>
    </row>
    <row r="901" spans="15:15" x14ac:dyDescent="0.25">
      <c r="O901"/>
    </row>
    <row r="902" spans="15:15" x14ac:dyDescent="0.25">
      <c r="O902"/>
    </row>
    <row r="903" spans="15:15" x14ac:dyDescent="0.25">
      <c r="O903"/>
    </row>
    <row r="904" spans="15:15" x14ac:dyDescent="0.25">
      <c r="O904"/>
    </row>
    <row r="905" spans="15:15" x14ac:dyDescent="0.25">
      <c r="O905"/>
    </row>
    <row r="906" spans="15:15" x14ac:dyDescent="0.25">
      <c r="O906"/>
    </row>
    <row r="907" spans="15:15" x14ac:dyDescent="0.25">
      <c r="O907"/>
    </row>
    <row r="908" spans="15:15" x14ac:dyDescent="0.25">
      <c r="O908"/>
    </row>
    <row r="909" spans="15:15" x14ac:dyDescent="0.25">
      <c r="O909"/>
    </row>
    <row r="910" spans="15:15" x14ac:dyDescent="0.25">
      <c r="O910"/>
    </row>
    <row r="911" spans="15:15" x14ac:dyDescent="0.25">
      <c r="O911"/>
    </row>
    <row r="912" spans="15:15" x14ac:dyDescent="0.25">
      <c r="O912"/>
    </row>
    <row r="913" spans="15:15" x14ac:dyDescent="0.25">
      <c r="O913"/>
    </row>
    <row r="914" spans="15:15" x14ac:dyDescent="0.25">
      <c r="O914"/>
    </row>
    <row r="915" spans="15:15" x14ac:dyDescent="0.25">
      <c r="O915"/>
    </row>
    <row r="916" spans="15:15" x14ac:dyDescent="0.25">
      <c r="O916"/>
    </row>
    <row r="917" spans="15:15" x14ac:dyDescent="0.25">
      <c r="O917"/>
    </row>
    <row r="918" spans="15:15" x14ac:dyDescent="0.25">
      <c r="O918"/>
    </row>
    <row r="919" spans="15:15" x14ac:dyDescent="0.25">
      <c r="O919"/>
    </row>
    <row r="920" spans="15:15" x14ac:dyDescent="0.25">
      <c r="O920"/>
    </row>
    <row r="921" spans="15:15" x14ac:dyDescent="0.25">
      <c r="O921"/>
    </row>
    <row r="922" spans="15:15" x14ac:dyDescent="0.25">
      <c r="O922"/>
    </row>
    <row r="923" spans="15:15" x14ac:dyDescent="0.25">
      <c r="O923"/>
    </row>
    <row r="924" spans="15:15" x14ac:dyDescent="0.25">
      <c r="O924"/>
    </row>
    <row r="925" spans="15:15" x14ac:dyDescent="0.25">
      <c r="O925"/>
    </row>
    <row r="926" spans="15:15" x14ac:dyDescent="0.25">
      <c r="O926"/>
    </row>
    <row r="927" spans="15:15" x14ac:dyDescent="0.25">
      <c r="O927"/>
    </row>
    <row r="928" spans="15:15" x14ac:dyDescent="0.25">
      <c r="O928"/>
    </row>
    <row r="929" spans="15:15" x14ac:dyDescent="0.25">
      <c r="O929"/>
    </row>
    <row r="930" spans="15:15" x14ac:dyDescent="0.25">
      <c r="O930"/>
    </row>
    <row r="931" spans="15:15" x14ac:dyDescent="0.25">
      <c r="O931"/>
    </row>
    <row r="932" spans="15:15" x14ac:dyDescent="0.25">
      <c r="O932"/>
    </row>
    <row r="933" spans="15:15" x14ac:dyDescent="0.25">
      <c r="O933"/>
    </row>
    <row r="934" spans="15:15" x14ac:dyDescent="0.25">
      <c r="O934"/>
    </row>
    <row r="935" spans="15:15" x14ac:dyDescent="0.25">
      <c r="O935"/>
    </row>
    <row r="936" spans="15:15" x14ac:dyDescent="0.25">
      <c r="O936"/>
    </row>
    <row r="937" spans="15:15" x14ac:dyDescent="0.25">
      <c r="O937"/>
    </row>
    <row r="938" spans="15:15" x14ac:dyDescent="0.25">
      <c r="O938"/>
    </row>
    <row r="939" spans="15:15" x14ac:dyDescent="0.25">
      <c r="O939"/>
    </row>
    <row r="940" spans="15:15" x14ac:dyDescent="0.25">
      <c r="O940"/>
    </row>
    <row r="941" spans="15:15" x14ac:dyDescent="0.25">
      <c r="O941"/>
    </row>
    <row r="942" spans="15:15" x14ac:dyDescent="0.25">
      <c r="O942"/>
    </row>
    <row r="943" spans="15:15" x14ac:dyDescent="0.25">
      <c r="O943"/>
    </row>
    <row r="944" spans="15:15" x14ac:dyDescent="0.25">
      <c r="O944"/>
    </row>
    <row r="945" spans="15:15" x14ac:dyDescent="0.25">
      <c r="O945"/>
    </row>
    <row r="946" spans="15:15" x14ac:dyDescent="0.25">
      <c r="O946"/>
    </row>
    <row r="947" spans="15:15" x14ac:dyDescent="0.25">
      <c r="O947"/>
    </row>
    <row r="948" spans="15:15" x14ac:dyDescent="0.25">
      <c r="O948"/>
    </row>
    <row r="949" spans="15:15" x14ac:dyDescent="0.25">
      <c r="O949"/>
    </row>
    <row r="950" spans="15:15" x14ac:dyDescent="0.25">
      <c r="O950"/>
    </row>
    <row r="951" spans="15:15" x14ac:dyDescent="0.25">
      <c r="O951"/>
    </row>
    <row r="952" spans="15:15" x14ac:dyDescent="0.25">
      <c r="O952"/>
    </row>
    <row r="953" spans="15:15" x14ac:dyDescent="0.25">
      <c r="O953"/>
    </row>
    <row r="954" spans="15:15" x14ac:dyDescent="0.25">
      <c r="O954"/>
    </row>
    <row r="955" spans="15:15" x14ac:dyDescent="0.25">
      <c r="O955"/>
    </row>
    <row r="956" spans="15:15" x14ac:dyDescent="0.25">
      <c r="O956"/>
    </row>
    <row r="957" spans="15:15" x14ac:dyDescent="0.25">
      <c r="O957"/>
    </row>
    <row r="958" spans="15:15" x14ac:dyDescent="0.25">
      <c r="O958"/>
    </row>
    <row r="959" spans="15:15" x14ac:dyDescent="0.25">
      <c r="O959"/>
    </row>
    <row r="960" spans="15:15" x14ac:dyDescent="0.25">
      <c r="O960"/>
    </row>
    <row r="961" spans="15:15" x14ac:dyDescent="0.25">
      <c r="O961"/>
    </row>
    <row r="962" spans="15:15" x14ac:dyDescent="0.25">
      <c r="O962"/>
    </row>
    <row r="963" spans="15:15" x14ac:dyDescent="0.25">
      <c r="O963"/>
    </row>
    <row r="964" spans="15:15" x14ac:dyDescent="0.25">
      <c r="O964"/>
    </row>
    <row r="965" spans="15:15" x14ac:dyDescent="0.25">
      <c r="O965"/>
    </row>
    <row r="966" spans="15:15" x14ac:dyDescent="0.25">
      <c r="O966"/>
    </row>
    <row r="967" spans="15:15" x14ac:dyDescent="0.25">
      <c r="O967"/>
    </row>
    <row r="968" spans="15:15" x14ac:dyDescent="0.25">
      <c r="O968"/>
    </row>
    <row r="969" spans="15:15" x14ac:dyDescent="0.25">
      <c r="O969"/>
    </row>
    <row r="970" spans="15:15" x14ac:dyDescent="0.25">
      <c r="O970"/>
    </row>
    <row r="971" spans="15:15" x14ac:dyDescent="0.25">
      <c r="O971"/>
    </row>
    <row r="972" spans="15:15" x14ac:dyDescent="0.25">
      <c r="O972"/>
    </row>
    <row r="973" spans="15:15" x14ac:dyDescent="0.25">
      <c r="O973"/>
    </row>
    <row r="974" spans="15:15" x14ac:dyDescent="0.25">
      <c r="O974"/>
    </row>
    <row r="975" spans="15:15" x14ac:dyDescent="0.25">
      <c r="O975"/>
    </row>
    <row r="976" spans="15:15" x14ac:dyDescent="0.25">
      <c r="O976"/>
    </row>
    <row r="977" spans="15:15" x14ac:dyDescent="0.25">
      <c r="O977"/>
    </row>
    <row r="978" spans="15:15" x14ac:dyDescent="0.25">
      <c r="O978"/>
    </row>
    <row r="979" spans="15:15" x14ac:dyDescent="0.25">
      <c r="O979"/>
    </row>
    <row r="980" spans="15:15" x14ac:dyDescent="0.25">
      <c r="O980"/>
    </row>
    <row r="981" spans="15:15" x14ac:dyDescent="0.25">
      <c r="O981"/>
    </row>
    <row r="982" spans="15:15" x14ac:dyDescent="0.25">
      <c r="O982"/>
    </row>
    <row r="983" spans="15:15" x14ac:dyDescent="0.25">
      <c r="O983"/>
    </row>
    <row r="984" spans="15:15" x14ac:dyDescent="0.25">
      <c r="O984"/>
    </row>
    <row r="985" spans="15:15" x14ac:dyDescent="0.25">
      <c r="O985"/>
    </row>
    <row r="986" spans="15:15" x14ac:dyDescent="0.25">
      <c r="O986"/>
    </row>
    <row r="987" spans="15:15" x14ac:dyDescent="0.25">
      <c r="O987"/>
    </row>
    <row r="988" spans="15:15" x14ac:dyDescent="0.25">
      <c r="O988"/>
    </row>
    <row r="989" spans="15:15" x14ac:dyDescent="0.25">
      <c r="O989"/>
    </row>
    <row r="990" spans="15:15" x14ac:dyDescent="0.25">
      <c r="O990"/>
    </row>
    <row r="991" spans="15:15" x14ac:dyDescent="0.25">
      <c r="O991"/>
    </row>
    <row r="992" spans="15:15" x14ac:dyDescent="0.25">
      <c r="O992"/>
    </row>
    <row r="993" spans="15:15" x14ac:dyDescent="0.25">
      <c r="O993"/>
    </row>
    <row r="994" spans="15:15" x14ac:dyDescent="0.25">
      <c r="O994"/>
    </row>
    <row r="995" spans="15:15" x14ac:dyDescent="0.25">
      <c r="O995"/>
    </row>
    <row r="996" spans="15:15" x14ac:dyDescent="0.25">
      <c r="O996"/>
    </row>
    <row r="997" spans="15:15" x14ac:dyDescent="0.25">
      <c r="O997"/>
    </row>
    <row r="998" spans="15:15" x14ac:dyDescent="0.25">
      <c r="O998"/>
    </row>
    <row r="999" spans="15:15" x14ac:dyDescent="0.25">
      <c r="O999"/>
    </row>
    <row r="1000" spans="15:15" x14ac:dyDescent="0.25">
      <c r="O1000"/>
    </row>
    <row r="1001" spans="15:15" x14ac:dyDescent="0.25">
      <c r="O1001"/>
    </row>
    <row r="1002" spans="15:15" x14ac:dyDescent="0.25">
      <c r="O1002"/>
    </row>
    <row r="1003" spans="15:15" x14ac:dyDescent="0.25">
      <c r="O1003"/>
    </row>
    <row r="1004" spans="15:15" x14ac:dyDescent="0.25">
      <c r="O1004"/>
    </row>
    <row r="1005" spans="15:15" x14ac:dyDescent="0.25">
      <c r="O1005"/>
    </row>
    <row r="1006" spans="15:15" x14ac:dyDescent="0.25">
      <c r="O1006"/>
    </row>
    <row r="1007" spans="15:15" x14ac:dyDescent="0.25">
      <c r="O1007"/>
    </row>
    <row r="1008" spans="15:15" x14ac:dyDescent="0.25">
      <c r="O1008"/>
    </row>
    <row r="1009" spans="15:15" x14ac:dyDescent="0.25">
      <c r="O1009"/>
    </row>
    <row r="1010" spans="15:15" x14ac:dyDescent="0.25">
      <c r="O1010"/>
    </row>
    <row r="1011" spans="15:15" x14ac:dyDescent="0.25">
      <c r="O1011"/>
    </row>
    <row r="1012" spans="15:15" x14ac:dyDescent="0.25">
      <c r="O1012"/>
    </row>
    <row r="1013" spans="15:15" x14ac:dyDescent="0.25">
      <c r="O1013"/>
    </row>
    <row r="1014" spans="15:15" x14ac:dyDescent="0.25">
      <c r="O1014"/>
    </row>
    <row r="1015" spans="15:15" x14ac:dyDescent="0.25">
      <c r="O1015"/>
    </row>
    <row r="1016" spans="15:15" x14ac:dyDescent="0.25">
      <c r="O1016"/>
    </row>
    <row r="1017" spans="15:15" x14ac:dyDescent="0.25">
      <c r="O1017"/>
    </row>
    <row r="1018" spans="15:15" x14ac:dyDescent="0.25">
      <c r="O1018"/>
    </row>
    <row r="1019" spans="15:15" x14ac:dyDescent="0.25">
      <c r="O1019"/>
    </row>
    <row r="1020" spans="15:15" x14ac:dyDescent="0.25">
      <c r="O1020"/>
    </row>
    <row r="1021" spans="15:15" x14ac:dyDescent="0.25">
      <c r="O1021"/>
    </row>
    <row r="1022" spans="15:15" x14ac:dyDescent="0.25">
      <c r="O1022"/>
    </row>
    <row r="1023" spans="15:15" x14ac:dyDescent="0.25">
      <c r="O1023"/>
    </row>
    <row r="1024" spans="15:15" x14ac:dyDescent="0.25">
      <c r="O1024"/>
    </row>
    <row r="1025" spans="15:15" x14ac:dyDescent="0.25">
      <c r="O1025"/>
    </row>
    <row r="1026" spans="15:15" x14ac:dyDescent="0.25">
      <c r="O1026"/>
    </row>
    <row r="1027" spans="15:15" x14ac:dyDescent="0.25">
      <c r="O1027"/>
    </row>
    <row r="1028" spans="15:15" x14ac:dyDescent="0.25">
      <c r="O1028"/>
    </row>
    <row r="1029" spans="15:15" x14ac:dyDescent="0.25">
      <c r="O1029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K26"/>
  <sheetViews>
    <sheetView topLeftCell="A4" workbookViewId="0">
      <selection activeCell="B23" sqref="B23"/>
    </sheetView>
  </sheetViews>
  <sheetFormatPr defaultRowHeight="15" x14ac:dyDescent="0.25"/>
  <cols>
    <col min="1" max="1" width="53.28515625" customWidth="1"/>
    <col min="2" max="2" width="85" bestFit="1" customWidth="1"/>
    <col min="5" max="5" width="9.140625" customWidth="1"/>
    <col min="7" max="7" width="10.28515625" customWidth="1"/>
    <col min="8" max="8" width="12.5703125" customWidth="1"/>
    <col min="9" max="9" width="14.7109375" customWidth="1"/>
    <col min="10" max="10" width="13.140625" customWidth="1"/>
    <col min="11" max="11" width="21.140625" customWidth="1"/>
    <col min="14" max="14" width="15.140625" bestFit="1" customWidth="1"/>
    <col min="15" max="15" width="14" bestFit="1" customWidth="1"/>
  </cols>
  <sheetData>
    <row r="2" spans="1:11" ht="15.75" x14ac:dyDescent="0.25">
      <c r="A2" s="8" t="s">
        <v>10</v>
      </c>
      <c r="B2" s="8" t="s">
        <v>11</v>
      </c>
      <c r="G2" s="23" t="s">
        <v>37</v>
      </c>
      <c r="H2" s="23"/>
      <c r="I2" s="23"/>
      <c r="J2" s="23"/>
      <c r="K2" s="23"/>
    </row>
    <row r="3" spans="1:11" x14ac:dyDescent="0.25">
      <c r="A3" s="9" t="s">
        <v>67</v>
      </c>
      <c r="B3" s="10" t="s">
        <v>12</v>
      </c>
      <c r="G3" s="83" t="s">
        <v>38</v>
      </c>
      <c r="H3" s="83"/>
      <c r="I3" s="83"/>
      <c r="J3" s="24" t="s">
        <v>39</v>
      </c>
      <c r="K3" s="25"/>
    </row>
    <row r="4" spans="1:11" x14ac:dyDescent="0.25">
      <c r="A4" s="9" t="s">
        <v>9</v>
      </c>
      <c r="B4" s="10" t="s">
        <v>13</v>
      </c>
      <c r="G4" s="83"/>
      <c r="H4" s="83"/>
      <c r="I4" s="83"/>
      <c r="J4" s="26" t="s">
        <v>40</v>
      </c>
      <c r="K4" s="26" t="s">
        <v>41</v>
      </c>
    </row>
    <row r="5" spans="1:11" x14ac:dyDescent="0.25">
      <c r="A5" s="9" t="s">
        <v>50</v>
      </c>
      <c r="B5" s="10" t="s">
        <v>14</v>
      </c>
      <c r="G5" s="27">
        <v>5</v>
      </c>
      <c r="H5" s="26" t="s">
        <v>42</v>
      </c>
      <c r="I5" s="24">
        <v>50</v>
      </c>
      <c r="J5" s="26">
        <v>9</v>
      </c>
      <c r="K5" s="26" t="s">
        <v>43</v>
      </c>
    </row>
    <row r="6" spans="1:11" x14ac:dyDescent="0.25">
      <c r="A6" s="9" t="s">
        <v>49</v>
      </c>
      <c r="B6" s="10" t="s">
        <v>15</v>
      </c>
      <c r="G6" s="27">
        <v>50</v>
      </c>
      <c r="H6" s="26" t="s">
        <v>42</v>
      </c>
      <c r="I6" s="24">
        <v>100</v>
      </c>
      <c r="J6" s="26" t="s">
        <v>43</v>
      </c>
      <c r="K6" s="26">
        <v>4.5</v>
      </c>
    </row>
    <row r="7" spans="1:11" ht="30" x14ac:dyDescent="0.25">
      <c r="A7" s="11" t="s">
        <v>51</v>
      </c>
      <c r="B7" s="10" t="s">
        <v>16</v>
      </c>
      <c r="G7" s="27">
        <v>100</v>
      </c>
      <c r="H7" s="26" t="s">
        <v>42</v>
      </c>
      <c r="I7" s="24">
        <v>200</v>
      </c>
      <c r="J7" s="26">
        <v>4.5</v>
      </c>
      <c r="K7" s="26" t="s">
        <v>43</v>
      </c>
    </row>
    <row r="8" spans="1:11" ht="45" x14ac:dyDescent="0.25">
      <c r="A8" s="40" t="s">
        <v>68</v>
      </c>
      <c r="B8" s="10" t="s">
        <v>17</v>
      </c>
      <c r="G8" s="27">
        <v>200</v>
      </c>
      <c r="H8" s="26" t="s">
        <v>42</v>
      </c>
      <c r="I8" s="24">
        <v>300</v>
      </c>
      <c r="J8" s="25" t="s">
        <v>43</v>
      </c>
      <c r="K8" s="26">
        <v>9</v>
      </c>
    </row>
    <row r="9" spans="1:11" ht="45" x14ac:dyDescent="0.25">
      <c r="A9" s="40" t="s">
        <v>55</v>
      </c>
      <c r="B9" s="10" t="s">
        <v>18</v>
      </c>
      <c r="G9" s="27">
        <v>300</v>
      </c>
      <c r="H9" s="26" t="s">
        <v>42</v>
      </c>
      <c r="I9" s="24">
        <v>500</v>
      </c>
      <c r="J9" s="26">
        <v>3</v>
      </c>
      <c r="K9" s="25" t="s">
        <v>43</v>
      </c>
    </row>
    <row r="10" spans="1:11" ht="30" x14ac:dyDescent="0.25">
      <c r="A10" s="40" t="s">
        <v>52</v>
      </c>
      <c r="B10" s="10" t="s">
        <v>19</v>
      </c>
      <c r="G10" s="27">
        <v>500</v>
      </c>
      <c r="H10" s="26" t="s">
        <v>42</v>
      </c>
      <c r="I10" s="24">
        <v>1000</v>
      </c>
      <c r="J10" s="26"/>
      <c r="K10" s="26">
        <v>15</v>
      </c>
    </row>
    <row r="11" spans="1:11" ht="45" x14ac:dyDescent="0.25">
      <c r="A11" s="41" t="s">
        <v>69</v>
      </c>
      <c r="B11" s="10" t="s">
        <v>20</v>
      </c>
      <c r="G11" s="27">
        <v>1000</v>
      </c>
      <c r="H11" s="26" t="s">
        <v>42</v>
      </c>
      <c r="I11" s="24">
        <v>10000</v>
      </c>
      <c r="J11" s="26">
        <v>1.5</v>
      </c>
      <c r="K11" s="25" t="s">
        <v>43</v>
      </c>
    </row>
    <row r="12" spans="1:11" ht="45" x14ac:dyDescent="0.25">
      <c r="A12" s="42" t="s">
        <v>56</v>
      </c>
      <c r="B12" s="10" t="s">
        <v>21</v>
      </c>
    </row>
    <row r="13" spans="1:11" ht="30" x14ac:dyDescent="0.25">
      <c r="A13" s="42" t="s">
        <v>53</v>
      </c>
      <c r="B13" s="10" t="s">
        <v>22</v>
      </c>
    </row>
    <row r="14" spans="1:11" ht="38.25" x14ac:dyDescent="0.25">
      <c r="A14" s="43" t="s">
        <v>70</v>
      </c>
      <c r="B14" s="12" t="s">
        <v>23</v>
      </c>
    </row>
    <row r="15" spans="1:11" ht="45" x14ac:dyDescent="0.25">
      <c r="A15" s="44" t="s">
        <v>57</v>
      </c>
      <c r="B15" s="10" t="s">
        <v>24</v>
      </c>
    </row>
    <row r="16" spans="1:11" x14ac:dyDescent="0.25">
      <c r="A16" s="44" t="s">
        <v>25</v>
      </c>
      <c r="B16" s="10" t="s">
        <v>26</v>
      </c>
    </row>
    <row r="17" spans="1:2" x14ac:dyDescent="0.25">
      <c r="A17" s="44" t="s">
        <v>27</v>
      </c>
      <c r="B17" s="10" t="s">
        <v>28</v>
      </c>
    </row>
    <row r="18" spans="1:2" x14ac:dyDescent="0.25">
      <c r="A18" s="13"/>
      <c r="B18" s="13"/>
    </row>
    <row r="19" spans="1:2" ht="15.75" x14ac:dyDescent="0.25">
      <c r="A19" s="14" t="s">
        <v>76</v>
      </c>
      <c r="B19" s="15" t="s">
        <v>29</v>
      </c>
    </row>
    <row r="20" spans="1:2" x14ac:dyDescent="0.25">
      <c r="A20" s="16" t="s">
        <v>67</v>
      </c>
      <c r="B20" s="17" t="s">
        <v>83</v>
      </c>
    </row>
    <row r="21" spans="1:2" ht="31.5" x14ac:dyDescent="0.25">
      <c r="A21" s="18" t="s">
        <v>77</v>
      </c>
      <c r="B21" s="19" t="s">
        <v>79</v>
      </c>
    </row>
    <row r="22" spans="1:2" ht="31.5" x14ac:dyDescent="0.25">
      <c r="A22" s="18" t="s">
        <v>78</v>
      </c>
      <c r="B22" s="19" t="s">
        <v>80</v>
      </c>
    </row>
    <row r="23" spans="1:2" x14ac:dyDescent="0.25">
      <c r="A23" s="20" t="s">
        <v>81</v>
      </c>
      <c r="B23" s="19" t="s">
        <v>82</v>
      </c>
    </row>
    <row r="24" spans="1:2" x14ac:dyDescent="0.25">
      <c r="A24" s="20" t="s">
        <v>30</v>
      </c>
      <c r="B24" s="19" t="s">
        <v>31</v>
      </c>
    </row>
    <row r="25" spans="1:2" x14ac:dyDescent="0.25">
      <c r="A25" s="20" t="s">
        <v>84</v>
      </c>
      <c r="B25" s="19" t="s">
        <v>32</v>
      </c>
    </row>
    <row r="26" spans="1:2" x14ac:dyDescent="0.25">
      <c r="A26" s="21" t="s">
        <v>33</v>
      </c>
      <c r="B26" s="10" t="s">
        <v>33</v>
      </c>
    </row>
  </sheetData>
  <mergeCells count="1">
    <mergeCell ref="G3:I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26</vt:i4>
      </vt:variant>
    </vt:vector>
  </HeadingPairs>
  <TitlesOfParts>
    <vt:vector size="30" baseType="lpstr">
      <vt:lpstr>Metrologie</vt:lpstr>
      <vt:lpstr>RawData</vt:lpstr>
      <vt:lpstr>Explicatii</vt:lpstr>
      <vt:lpstr>Chart</vt:lpstr>
      <vt:lpstr>CA_1</vt:lpstr>
      <vt:lpstr>CA_2</vt:lpstr>
      <vt:lpstr>CMA</vt:lpstr>
      <vt:lpstr>CR_1</vt:lpstr>
      <vt:lpstr>CR_2</vt:lpstr>
      <vt:lpstr>ENT</vt:lpstr>
      <vt:lpstr>ES_1</vt:lpstr>
      <vt:lpstr>ES_2</vt:lpstr>
      <vt:lpstr>ES_3</vt:lpstr>
      <vt:lpstr>ES1_Status</vt:lpstr>
      <vt:lpstr>ES2_Status</vt:lpstr>
      <vt:lpstr>ES3_OK</vt:lpstr>
      <vt:lpstr>ES3_Status</vt:lpstr>
      <vt:lpstr>LotStatus</vt:lpstr>
      <vt:lpstr>ML</vt:lpstr>
      <vt:lpstr>Metrologie!Print_Area</vt:lpstr>
      <vt:lpstr>Metrologie!Print_Titles</vt:lpstr>
      <vt:lpstr>Qn</vt:lpstr>
      <vt:lpstr>QnES3</vt:lpstr>
      <vt:lpstr>RN_1</vt:lpstr>
      <vt:lpstr>RN_2</vt:lpstr>
      <vt:lpstr>s</vt:lpstr>
      <vt:lpstr>SumOfSquares</vt:lpstr>
      <vt:lpstr>Ta</vt:lpstr>
      <vt:lpstr>RawData!test_1</vt:lpstr>
      <vt:lpstr>Xi</vt:lpstr>
    </vt:vector>
  </TitlesOfParts>
  <Company>Continental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uid94668</dc:creator>
  <cp:lastModifiedBy>krs</cp:lastModifiedBy>
  <cp:lastPrinted>2018-09-30T15:18:06Z</cp:lastPrinted>
  <dcterms:created xsi:type="dcterms:W3CDTF">2018-01-03T09:07:19Z</dcterms:created>
  <dcterms:modified xsi:type="dcterms:W3CDTF">2019-03-09T22:20:01Z</dcterms:modified>
</cp:coreProperties>
</file>