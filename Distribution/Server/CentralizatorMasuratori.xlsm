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" localSheetId="1">RawData!$A$1:$I$5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2" l="1"/>
  <c r="O15" i="2"/>
  <c r="O14" i="2"/>
  <c r="O13" i="2"/>
  <c r="I16" i="2"/>
  <c r="I15" i="2"/>
  <c r="I14" i="2"/>
  <c r="I13" i="2"/>
  <c r="B9" i="2" l="1"/>
  <c r="J16" i="2" l="1"/>
  <c r="J14" i="2"/>
  <c r="P16" i="2"/>
  <c r="P15" i="2"/>
  <c r="P14" i="2"/>
  <c r="P13" i="2"/>
  <c r="J15" i="2"/>
  <c r="J13" i="2"/>
  <c r="F3" i="2"/>
  <c r="I3" i="2"/>
  <c r="G3" i="2"/>
  <c r="B19" i="2" l="1"/>
  <c r="Q16" i="2"/>
  <c r="R16" i="2" s="1"/>
  <c r="B5" i="2"/>
  <c r="Q15" i="2" l="1"/>
  <c r="R15" i="2" s="1"/>
  <c r="Q14" i="2"/>
  <c r="R14" i="2" s="1"/>
  <c r="Q13" i="2"/>
  <c r="R13" i="2" s="1"/>
  <c r="B20" i="2" s="1"/>
  <c r="B7" i="2"/>
  <c r="B8" i="2"/>
  <c r="B4" i="2"/>
  <c r="B3" i="2"/>
  <c r="H15" i="2" l="1"/>
  <c r="H13" i="2"/>
  <c r="H16" i="2"/>
  <c r="H14" i="2"/>
  <c r="B21" i="2"/>
  <c r="B22" i="2" s="1"/>
  <c r="J5" i="2" s="1"/>
  <c r="B11" i="2"/>
  <c r="K13" i="2" l="1"/>
  <c r="K14" i="2"/>
  <c r="K16" i="2"/>
  <c r="K15" i="2"/>
  <c r="B15" i="2"/>
  <c r="H3" i="2" l="1"/>
  <c r="J3" i="2" l="1"/>
  <c r="G4" i="2" s="1"/>
  <c r="H4" i="2" l="1"/>
  <c r="J4" i="2" s="1"/>
  <c r="B14" i="2" s="1"/>
  <c r="B13" i="2"/>
  <c r="I4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9-02-18-112513_456_GUT66-grasimetartinabila66%_CutieAlba-20Kg" type="6" refreshedVersion="4" background="1" refreshOnLoad="1" saveData="1">
    <textPr prompt="0" codePage="437" sourceFile="C:\Home\Krs\Work\Cantar\ScalesAutomation\Distribution\Server\CSVServer\2019-02-18-112513_456_GUT66-grasimetartinabila66%_CutieAlba-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<sst xmlns="http://schemas.openxmlformats.org/spreadsheetml/2006/main" count="120" uniqueCount="93">
  <si>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</si>
  <si>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</si>
  <si>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</si>
  <si>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</si>
  <si>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</si>
  <si>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</si>
  <si>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</si>
  <si>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</si>
  <si>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</si>
  <si>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</si>
  <si>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</si>
  <si>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</si>
  <si>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</si>
  <si>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</si>
  <si>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</si>
  <si>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</si>
  <si>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</si>
  <si>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</si>
  <si>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</si>
  <si>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</si>
  <si>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</si>
  <si>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</si>
  <si>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</si>
  <si>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</si>
  <si>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</si>
  <si>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</si>
  <si>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</si>
  <si>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</si>
  <si>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</si>
  <si>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</si>
  <si>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</si>
  <si>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</si>
  <si>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</si>
  <si>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</si>
  <si>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</si>
  <si>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</si>
  <si>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</si>
  <si>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</si>
  <si>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</si>
  <si>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</si>
  <si>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</si>
  <si>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</si>
  <si>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</si>
  <si>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</si>
  <si>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</si>
  <si>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</si>
  <si>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</si>
  <si>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</si>
  <si>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</si>
  <si>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</si>
  <si>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</si>
  <si>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</si>
  <si>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</si>
  <si>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</si>
  <si>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</si>
  <si>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</si>
  <si>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</si>
  <si>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</si>
  <si>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</si>
  <si>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</si>
  <si>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</si>
  <si>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</si>
  <si>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</si>
  <si>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</si>
  <si>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</si>
  <si>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</si>
  <si>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</si>
  <si>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</si>
  <si>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</si>
  <si>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</si>
  <si>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</si>
  <si>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</si>
  <si>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</si>
  <si>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</si>
  <si>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</si>
  <si>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</si>
  <si>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</si>
  <si>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</si>
  <si>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</si>
  <si>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</si>
  <si>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</si>
  <si>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</si>
  <si>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</si>
  <si>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</si>
  <si>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</si>
  <si>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</si>
  <si>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</si>
  <si>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</si>
  <si>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</si>
  <si>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20Kg</t>
  </si>
  <si>
    <t>0.392Kg</t>
  </si>
  <si>
    <t>Cutie Alba - 20 Kg</t>
  </si>
  <si>
    <t>GUT 66 - grasime tartinabila 66%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</si>
</sst>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2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4" t="str">
        <f>IF(AND(OR(ES1_Status = "Ok",ES1_Status = "ES2 Necesar"), ES2_Status &lt;&gt; "Not Ok", ES3_Status = "Ok"), "Lot Acceptat","Lot Respins")</f>
        <v>Lot Acceptat</v>
      </c>
      <c r="B2" s="75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GUT 66 - grasime tartinabila 66%</v>
      </c>
      <c r="C3" s="3"/>
      <c r="D3" s="3"/>
      <c r="E3" s="3" t="s">
        <v>63</v>
      </c>
      <c r="F3" s="54">
        <f>IF(ML&lt;=100,ML,IF(ML&gt;3201,80, IF(ML&gt;=501,50, IF(ML&gt;100,30,ML))))</f>
        <v>4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RawData!D1</f>
        <v>456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43514</v>
      </c>
      <c r="E5" s="3" t="s">
        <v>65</v>
      </c>
      <c r="F5" s="54">
        <v>4</v>
      </c>
      <c r="G5" s="73"/>
      <c r="H5" s="73"/>
      <c r="I5" s="73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4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Alba - 20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0.392</v>
      </c>
      <c r="C9" s="6" t="s">
        <v>0</v>
      </c>
      <c r="E9"/>
      <c r="F9" s="57"/>
    </row>
    <row r="10" spans="1:18" x14ac:dyDescent="0.25">
      <c r="A10" s="2" t="s">
        <v>6</v>
      </c>
      <c r="B10" s="51">
        <v>0.3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19.7</v>
      </c>
      <c r="C11" s="6" t="s">
        <v>0</v>
      </c>
      <c r="D11" s="6"/>
      <c r="E11" s="76" t="s">
        <v>58</v>
      </c>
      <c r="F11" s="77"/>
      <c r="G11" s="77"/>
      <c r="H11" s="77"/>
      <c r="I11" s="78" t="s">
        <v>59</v>
      </c>
      <c r="J11" s="79"/>
      <c r="K11" s="79"/>
      <c r="L11" s="80" t="s">
        <v>60</v>
      </c>
      <c r="M11" s="81"/>
      <c r="N11" s="81"/>
      <c r="O11" s="71" t="s">
        <v>61</v>
      </c>
      <c r="P11" s="72"/>
      <c r="Q11" s="72"/>
      <c r="R11" s="72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20.605999999999998</v>
      </c>
      <c r="G13"/>
      <c r="H13" s="36" t="str">
        <f>IF(Qn-(F13-Ta)&gt;2*ENT,"Fara E","Ok")</f>
        <v>Ok</v>
      </c>
      <c r="I13" s="36">
        <f>E13</f>
        <v>1</v>
      </c>
      <c r="J13" s="66">
        <f>F13-Ta</f>
        <v>20.213999999999999</v>
      </c>
      <c r="K13" s="36" t="str">
        <f>IF(J13&gt;=CMA,"Ok","Not Ok")</f>
        <v>Ok</v>
      </c>
      <c r="L13" s="36"/>
      <c r="M13" s="36"/>
      <c r="N13" s="36"/>
      <c r="O13" s="36">
        <f>E13</f>
        <v>1</v>
      </c>
      <c r="P13" s="63">
        <f>F13-Ta</f>
        <v>20.213999999999999</v>
      </c>
      <c r="Q13" s="69">
        <f>P13-Xi</f>
        <v>-0.13450000000000273</v>
      </c>
      <c r="R13" s="60">
        <f>POWER(Q13,2)</f>
        <v>1.8090250000000734E-2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20.648</v>
      </c>
      <c r="G14"/>
      <c r="H14" s="36" t="str">
        <f>IF(Qn-(F14-Ta)&gt;2*ENT,"Fara E","Ok")</f>
        <v>Ok</v>
      </c>
      <c r="I14" s="36">
        <f>E14</f>
        <v>2</v>
      </c>
      <c r="J14" s="66">
        <f>F14-Ta</f>
        <v>20.256</v>
      </c>
      <c r="K14" s="36" t="str">
        <f>IF(J14&gt;=CMA,"Ok","Not Ok")</f>
        <v>Ok</v>
      </c>
      <c r="L14" s="36"/>
      <c r="M14" s="36"/>
      <c r="N14" s="36"/>
      <c r="O14" s="66">
        <f>E14</f>
        <v>2</v>
      </c>
      <c r="P14" s="63">
        <f>F14-Ta</f>
        <v>20.256</v>
      </c>
      <c r="Q14" s="69">
        <f>P14-Xi</f>
        <v>-9.2500000000001137E-2</v>
      </c>
      <c r="R14" s="60">
        <f>POWER(Q14,2)</f>
        <v>8.5562500000002095E-3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20.760999999999999</v>
      </c>
      <c r="G15"/>
      <c r="H15" s="36" t="str">
        <f>IF(Qn-(F15-Ta)&gt;2*ENT,"Fara E","Ok")</f>
        <v>Ok</v>
      </c>
      <c r="I15" s="36">
        <f>E15</f>
        <v>3</v>
      </c>
      <c r="J15" s="66">
        <f>F15-Ta</f>
        <v>20.369</v>
      </c>
      <c r="K15" s="36" t="str">
        <f>IF(J15&gt;=CMA,"Ok","Not Ok")</f>
        <v>Ok</v>
      </c>
      <c r="L15" s="36"/>
      <c r="M15" s="36"/>
      <c r="N15" s="36"/>
      <c r="O15" s="66">
        <f>E15</f>
        <v>3</v>
      </c>
      <c r="P15" s="63">
        <f>F15-Ta</f>
        <v>20.369</v>
      </c>
      <c r="Q15" s="69">
        <f>P15-Xi</f>
        <v>2.0499999999998408E-2</v>
      </c>
      <c r="R15" s="60">
        <f>POWER(Q15,2)</f>
        <v>4.2024999999993473E-4</v>
      </c>
    </row>
    <row r="16" spans="1:18" ht="14.25" customHeight="1" x14ac:dyDescent="0.25">
      <c r="E16">
        <v>4</v>
      </c>
      <c r="F16">
        <v>20.946999999999999</v>
      </c>
      <c r="G16"/>
      <c r="H16" s="36" t="str">
        <f>IF(Qn-(F16-Ta)&gt;2*ENT,"Fara E","Ok")</f>
        <v>Ok</v>
      </c>
      <c r="I16" s="36">
        <f>E16</f>
        <v>4</v>
      </c>
      <c r="J16" s="66">
        <f>F16-Ta</f>
        <v>20.555</v>
      </c>
      <c r="K16" s="36" t="str">
        <f>IF(J16&gt;=CMA,"Ok","Not Ok")</f>
        <v>Ok</v>
      </c>
      <c r="L16" s="36"/>
      <c r="M16" s="36"/>
      <c r="N16" s="36"/>
      <c r="O16" s="66">
        <f>E16</f>
        <v>4</v>
      </c>
      <c r="P16" s="63">
        <f>F16-Ta</f>
        <v>20.555</v>
      </c>
      <c r="Q16" s="69">
        <f>P16-Xi</f>
        <v>0.20649999999999835</v>
      </c>
      <c r="R16" s="60">
        <f>POWER(Q16,2)</f>
        <v>4.264224999999932E-2</v>
      </c>
    </row>
    <row r="17" spans="1:17" x14ac:dyDescent="0.25">
      <c r="E17"/>
      <c r="F17"/>
      <c r="G17"/>
      <c r="H17" s="36"/>
      <c r="I17" s="36"/>
      <c r="J17" s="66"/>
      <c r="K17" s="36"/>
      <c r="L17" s="36"/>
      <c r="M17" s="36"/>
      <c r="N17" s="36"/>
      <c r="O17" s="66"/>
      <c r="P17" s="63"/>
      <c r="Q17" s="69"/>
    </row>
    <row r="18" spans="1:17" ht="15" customHeight="1" x14ac:dyDescent="0.25">
      <c r="A18" s="40" t="s">
        <v>66</v>
      </c>
      <c r="B18" s="41"/>
      <c r="E18"/>
      <c r="F18"/>
      <c r="G18"/>
      <c r="O18" s="70"/>
    </row>
    <row r="19" spans="1:17" x14ac:dyDescent="0.25">
      <c r="A19" s="47" t="s">
        <v>34</v>
      </c>
      <c r="B19" s="30">
        <f>AVERAGE(P13:P17)</f>
        <v>20.348500000000001</v>
      </c>
      <c r="E19"/>
      <c r="F19"/>
      <c r="G19"/>
      <c r="O19" s="70"/>
      <c r="P19" s="64"/>
    </row>
    <row r="20" spans="1:17" ht="17.25" x14ac:dyDescent="0.25">
      <c r="A20" s="48" t="s">
        <v>36</v>
      </c>
      <c r="B20" s="30">
        <f>SUM(R13,R16)</f>
        <v>6.073250000000005E-2</v>
      </c>
      <c r="E20"/>
      <c r="F20"/>
      <c r="G20"/>
      <c r="O20" s="70"/>
    </row>
    <row r="21" spans="1:17" x14ac:dyDescent="0.25">
      <c r="A21" s="31" t="s">
        <v>35</v>
      </c>
      <c r="B21" s="30">
        <f>SQRT(SumOfSquares/(ES_3-1))</f>
        <v>0.14228199698720384</v>
      </c>
      <c r="E21"/>
      <c r="F21"/>
      <c r="G21"/>
      <c r="O21" s="70"/>
    </row>
    <row r="22" spans="1:17" x14ac:dyDescent="0.25">
      <c r="A22" s="47" t="s">
        <v>54</v>
      </c>
      <c r="B22" s="30">
        <f>s/SQRT(ES_3)*0.995</f>
        <v>7.0785293501133911E-2</v>
      </c>
      <c r="E22"/>
      <c r="F22"/>
      <c r="G22"/>
      <c r="O22" s="70"/>
    </row>
    <row r="23" spans="1:17" x14ac:dyDescent="0.25">
      <c r="A23" s="2"/>
      <c r="E23"/>
      <c r="F23"/>
      <c r="G23" s="1"/>
      <c r="O23" s="70"/>
    </row>
    <row r="24" spans="1:17" x14ac:dyDescent="0.25">
      <c r="E24"/>
      <c r="F24"/>
      <c r="G24" s="1"/>
      <c r="O24" s="70"/>
    </row>
    <row r="25" spans="1:17" x14ac:dyDescent="0.25">
      <c r="E25"/>
      <c r="F25"/>
      <c r="G25" s="1"/>
      <c r="O25" s="70"/>
    </row>
    <row r="26" spans="1:17" x14ac:dyDescent="0.25">
      <c r="E26"/>
      <c r="F26"/>
      <c r="G26" s="1"/>
      <c r="O26" s="70"/>
    </row>
    <row r="27" spans="1:17" x14ac:dyDescent="0.25">
      <c r="E27"/>
      <c r="F27"/>
      <c r="G27" s="1"/>
      <c r="O27" s="70"/>
    </row>
    <row r="28" spans="1:17" x14ac:dyDescent="0.25">
      <c r="E28"/>
      <c r="F28"/>
      <c r="G28" s="1"/>
      <c r="O28" s="70"/>
    </row>
    <row r="29" spans="1:17" x14ac:dyDescent="0.25">
      <c r="E29"/>
      <c r="F29"/>
      <c r="G29" s="1"/>
      <c r="O29" s="70"/>
    </row>
    <row r="30" spans="1:17" x14ac:dyDescent="0.25">
      <c r="E30"/>
      <c r="F30"/>
      <c r="G30" s="1"/>
      <c r="O30" s="70"/>
    </row>
    <row r="31" spans="1:17" x14ac:dyDescent="0.25">
      <c r="E31"/>
      <c r="F31"/>
      <c r="G31" s="1"/>
      <c r="O31" s="70"/>
    </row>
    <row r="32" spans="1:17" x14ac:dyDescent="0.25">
      <c r="E32"/>
      <c r="F32"/>
      <c r="G32" s="1"/>
      <c r="O32" s="70"/>
    </row>
    <row r="33" spans="5:15" x14ac:dyDescent="0.25">
      <c r="E33"/>
      <c r="F33"/>
      <c r="G33" s="1"/>
      <c r="O33" s="70"/>
    </row>
    <row r="34" spans="5:15" x14ac:dyDescent="0.25">
      <c r="E34"/>
      <c r="F34"/>
      <c r="G34" s="1"/>
      <c r="O34" s="70"/>
    </row>
    <row r="35" spans="5:15" x14ac:dyDescent="0.25">
      <c r="E35"/>
      <c r="F35"/>
      <c r="G35" s="1"/>
      <c r="O35" s="70"/>
    </row>
    <row r="36" spans="5:15" x14ac:dyDescent="0.25">
      <c r="E36"/>
      <c r="F36"/>
      <c r="G36" s="1"/>
      <c r="O36" s="70"/>
    </row>
    <row r="37" spans="5:15" x14ac:dyDescent="0.25">
      <c r="E37"/>
      <c r="F37"/>
      <c r="G37" s="1"/>
      <c r="O37" s="70"/>
    </row>
    <row r="38" spans="5:15" x14ac:dyDescent="0.25">
      <c r="E38"/>
      <c r="F38"/>
      <c r="G38" s="1"/>
      <c r="O38" s="70"/>
    </row>
    <row r="39" spans="5:15" x14ac:dyDescent="0.25">
      <c r="E39"/>
      <c r="F39"/>
      <c r="G39" s="1"/>
      <c r="O39" s="70"/>
    </row>
    <row r="40" spans="5:15" x14ac:dyDescent="0.25">
      <c r="E40"/>
      <c r="F40"/>
      <c r="G40" s="1"/>
      <c r="O40" s="70"/>
    </row>
    <row r="41" spans="5:15" x14ac:dyDescent="0.25">
      <c r="E41"/>
      <c r="F41"/>
      <c r="G41" s="1"/>
      <c r="O41" s="70"/>
    </row>
    <row r="42" spans="5:15" x14ac:dyDescent="0.25">
      <c r="E42"/>
      <c r="F42"/>
      <c r="G42" s="1"/>
      <c r="O42" s="70"/>
    </row>
    <row r="43" spans="5:15" x14ac:dyDescent="0.25">
      <c r="E43"/>
      <c r="F43"/>
      <c r="G43" s="1"/>
      <c r="O43" s="70"/>
    </row>
    <row r="44" spans="5:15" x14ac:dyDescent="0.25">
      <c r="E44"/>
      <c r="F44"/>
      <c r="G44" s="1"/>
      <c r="O44" s="70"/>
    </row>
    <row r="45" spans="5:15" x14ac:dyDescent="0.25">
      <c r="E45"/>
      <c r="F45"/>
      <c r="G45" s="1"/>
      <c r="O45" s="70"/>
    </row>
    <row r="46" spans="5:15" x14ac:dyDescent="0.25">
      <c r="E46"/>
      <c r="F46"/>
      <c r="G46" s="1"/>
      <c r="O46" s="70"/>
    </row>
    <row r="47" spans="5:15" x14ac:dyDescent="0.25">
      <c r="E47"/>
      <c r="F47"/>
      <c r="G47" s="1"/>
      <c r="O47" s="70"/>
    </row>
    <row r="48" spans="5:15" x14ac:dyDescent="0.25">
      <c r="E48"/>
      <c r="F48"/>
      <c r="G48" s="1"/>
      <c r="O48" s="70"/>
    </row>
    <row r="49" spans="5:15" x14ac:dyDescent="0.25">
      <c r="E49"/>
      <c r="F49"/>
      <c r="G49" s="1"/>
      <c r="O49" s="70"/>
    </row>
    <row r="50" spans="5:15" x14ac:dyDescent="0.25">
      <c r="E50"/>
      <c r="F50"/>
      <c r="G50" s="1"/>
      <c r="O50" s="70"/>
    </row>
    <row r="51" spans="5:15" x14ac:dyDescent="0.25">
      <c r="E51"/>
      <c r="F51"/>
      <c r="G51" s="1"/>
      <c r="O51" s="70"/>
    </row>
    <row r="52" spans="5:15" x14ac:dyDescent="0.25">
      <c r="E52"/>
      <c r="F52"/>
      <c r="G52" s="1"/>
      <c r="O52" s="70"/>
    </row>
    <row r="53" spans="5:15" x14ac:dyDescent="0.25">
      <c r="E53"/>
      <c r="F53"/>
      <c r="G53" s="1"/>
      <c r="O53" s="70"/>
    </row>
    <row r="54" spans="5:15" x14ac:dyDescent="0.25">
      <c r="E54"/>
      <c r="F54"/>
      <c r="G54" s="1"/>
      <c r="O54" s="70"/>
    </row>
    <row r="55" spans="5:15" x14ac:dyDescent="0.25">
      <c r="E55"/>
      <c r="F55"/>
      <c r="G55" s="1"/>
      <c r="O55" s="70"/>
    </row>
    <row r="56" spans="5:15" x14ac:dyDescent="0.25">
      <c r="E56"/>
      <c r="F56"/>
      <c r="G56" s="1"/>
      <c r="O56" s="70"/>
    </row>
    <row r="57" spans="5:15" x14ac:dyDescent="0.25">
      <c r="E57"/>
      <c r="F57"/>
      <c r="G57" s="1"/>
      <c r="O57" s="70"/>
    </row>
    <row r="58" spans="5:15" x14ac:dyDescent="0.25">
      <c r="E58"/>
      <c r="F58"/>
      <c r="G58" s="1"/>
      <c r="O58" s="70"/>
    </row>
    <row r="59" spans="5:15" x14ac:dyDescent="0.25">
      <c r="E59"/>
      <c r="F59"/>
      <c r="G59" s="1"/>
      <c r="O59" s="70"/>
    </row>
    <row r="60" spans="5:15" x14ac:dyDescent="0.25">
      <c r="E60"/>
      <c r="F60"/>
      <c r="G60" s="1"/>
      <c r="O60" s="70"/>
    </row>
    <row r="61" spans="5:15" x14ac:dyDescent="0.25">
      <c r="E61"/>
      <c r="F61"/>
      <c r="G61" s="1"/>
      <c r="O61" s="70"/>
    </row>
    <row r="62" spans="5:15" x14ac:dyDescent="0.25">
      <c r="E62"/>
      <c r="F62"/>
      <c r="G62" s="1"/>
      <c r="O62" s="70"/>
    </row>
    <row r="63" spans="5:15" x14ac:dyDescent="0.25">
      <c r="E63"/>
      <c r="F63"/>
      <c r="G63" s="1"/>
    </row>
    <row r="64" spans="5:15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/>
      <c r="G224" s="1"/>
    </row>
    <row r="225" spans="5:7" x14ac:dyDescent="0.25">
      <c r="E225"/>
      <c r="F225"/>
      <c r="G225" s="1"/>
    </row>
    <row r="226" spans="5:7" x14ac:dyDescent="0.25">
      <c r="E226"/>
      <c r="F226"/>
      <c r="G226" s="1"/>
    </row>
    <row r="227" spans="5:7" x14ac:dyDescent="0.25">
      <c r="E227"/>
      <c r="F227"/>
      <c r="G227" s="1"/>
    </row>
    <row r="228" spans="5:7" x14ac:dyDescent="0.25">
      <c r="E228"/>
      <c r="F228"/>
      <c r="G228" s="1"/>
    </row>
    <row r="229" spans="5:7" x14ac:dyDescent="0.25">
      <c r="E229"/>
      <c r="F229"/>
      <c r="G229" s="1"/>
    </row>
    <row r="230" spans="5:7" x14ac:dyDescent="0.25">
      <c r="E230"/>
      <c r="F230"/>
      <c r="G230" s="1"/>
    </row>
    <row r="231" spans="5:7" x14ac:dyDescent="0.25">
      <c r="E231"/>
      <c r="F231"/>
      <c r="G231" s="1"/>
    </row>
    <row r="232" spans="5:7" x14ac:dyDescent="0.25">
      <c r="E232"/>
      <c r="F232"/>
      <c r="G232" s="1"/>
    </row>
    <row r="233" spans="5:7" x14ac:dyDescent="0.25">
      <c r="E233"/>
      <c r="F233"/>
      <c r="G233" s="1"/>
    </row>
    <row r="234" spans="5:7" x14ac:dyDescent="0.25">
      <c r="E234"/>
      <c r="F234"/>
      <c r="G234" s="1"/>
    </row>
    <row r="235" spans="5:7" x14ac:dyDescent="0.25">
      <c r="E235"/>
      <c r="F235"/>
      <c r="G235" s="1"/>
    </row>
    <row r="236" spans="5:7" x14ac:dyDescent="0.25">
      <c r="E236"/>
      <c r="F236"/>
      <c r="G236" s="1"/>
    </row>
    <row r="237" spans="5:7" x14ac:dyDescent="0.25">
      <c r="E237"/>
      <c r="F237"/>
      <c r="G237" s="1"/>
    </row>
    <row r="238" spans="5:7" x14ac:dyDescent="0.25">
      <c r="E238"/>
      <c r="F238"/>
      <c r="G238" s="1"/>
    </row>
    <row r="239" spans="5:7" x14ac:dyDescent="0.25">
      <c r="E239"/>
      <c r="F239"/>
      <c r="G239" s="1"/>
    </row>
    <row r="240" spans="5:7" x14ac:dyDescent="0.25">
      <c r="E240"/>
      <c r="F240"/>
      <c r="G240" s="1"/>
    </row>
    <row r="241" spans="5:7" x14ac:dyDescent="0.25">
      <c r="E241"/>
      <c r="F241"/>
      <c r="G241" s="1"/>
    </row>
    <row r="242" spans="5:7" x14ac:dyDescent="0.25">
      <c r="E242"/>
      <c r="F242"/>
      <c r="G242" s="1"/>
    </row>
    <row r="243" spans="5:7" x14ac:dyDescent="0.25">
      <c r="E243"/>
      <c r="F243"/>
      <c r="G243" s="1"/>
    </row>
    <row r="244" spans="5:7" x14ac:dyDescent="0.25">
      <c r="E244"/>
      <c r="F244"/>
      <c r="G244" s="1"/>
    </row>
    <row r="245" spans="5:7" x14ac:dyDescent="0.25">
      <c r="E245"/>
      <c r="F245"/>
      <c r="G245" s="1"/>
    </row>
    <row r="246" spans="5:7" x14ac:dyDescent="0.25">
      <c r="E246"/>
      <c r="F246"/>
      <c r="G246" s="1"/>
    </row>
    <row r="247" spans="5:7" x14ac:dyDescent="0.25">
      <c r="E247"/>
      <c r="F247"/>
      <c r="G247" s="1"/>
    </row>
    <row r="248" spans="5:7" x14ac:dyDescent="0.25">
      <c r="E248"/>
      <c r="F248"/>
      <c r="G248" s="1"/>
    </row>
    <row r="249" spans="5:7" x14ac:dyDescent="0.25">
      <c r="E249"/>
      <c r="F249"/>
      <c r="G249" s="1"/>
    </row>
    <row r="250" spans="5:7" x14ac:dyDescent="0.25">
      <c r="E250"/>
      <c r="F250"/>
      <c r="G250" s="1"/>
    </row>
    <row r="251" spans="5:7" x14ac:dyDescent="0.25">
      <c r="E251"/>
      <c r="F251"/>
      <c r="G251" s="1"/>
    </row>
    <row r="252" spans="5:7" x14ac:dyDescent="0.25">
      <c r="E252"/>
      <c r="F252"/>
      <c r="G252" s="1"/>
    </row>
    <row r="253" spans="5:7" x14ac:dyDescent="0.25">
      <c r="E253"/>
      <c r="F253"/>
      <c r="G253" s="1"/>
    </row>
    <row r="254" spans="5:7" x14ac:dyDescent="0.25">
      <c r="E254"/>
      <c r="F254"/>
      <c r="G254" s="1"/>
    </row>
    <row r="255" spans="5:7" x14ac:dyDescent="0.25">
      <c r="E255"/>
      <c r="F255"/>
      <c r="G255" s="1"/>
    </row>
    <row r="256" spans="5:7" x14ac:dyDescent="0.25">
      <c r="E256"/>
      <c r="F256"/>
      <c r="G256" s="1"/>
    </row>
    <row r="257" spans="5:7" x14ac:dyDescent="0.25">
      <c r="E257"/>
      <c r="F257"/>
      <c r="G257" s="1"/>
    </row>
    <row r="258" spans="5:7" x14ac:dyDescent="0.25">
      <c r="E258"/>
      <c r="F258"/>
      <c r="G258" s="1"/>
    </row>
    <row r="259" spans="5:7" x14ac:dyDescent="0.25">
      <c r="E259"/>
      <c r="F259"/>
      <c r="G259" s="1"/>
    </row>
    <row r="260" spans="5:7" x14ac:dyDescent="0.25">
      <c r="E260"/>
      <c r="F260"/>
      <c r="G260" s="1"/>
    </row>
    <row r="261" spans="5:7" x14ac:dyDescent="0.25">
      <c r="E261"/>
      <c r="F261"/>
      <c r="G261" s="1"/>
    </row>
    <row r="262" spans="5:7" x14ac:dyDescent="0.25">
      <c r="E262"/>
      <c r="F262"/>
      <c r="G262" s="1"/>
    </row>
    <row r="263" spans="5:7" x14ac:dyDescent="0.25">
      <c r="E263"/>
      <c r="F263"/>
      <c r="G263" s="1"/>
    </row>
    <row r="264" spans="5:7" x14ac:dyDescent="0.25">
      <c r="E264"/>
      <c r="F264"/>
      <c r="G264" s="1"/>
    </row>
    <row r="265" spans="5:7" x14ac:dyDescent="0.25">
      <c r="E265"/>
      <c r="F265"/>
      <c r="G265" s="1"/>
    </row>
    <row r="266" spans="5:7" x14ac:dyDescent="0.25">
      <c r="E266"/>
      <c r="F266"/>
      <c r="G266" s="1"/>
    </row>
    <row r="267" spans="5:7" x14ac:dyDescent="0.25">
      <c r="E267"/>
      <c r="F267"/>
      <c r="G267" s="1"/>
    </row>
    <row r="268" spans="5:7" x14ac:dyDescent="0.25">
      <c r="E268"/>
      <c r="F268"/>
      <c r="G268" s="1"/>
    </row>
    <row r="269" spans="5:7" x14ac:dyDescent="0.25">
      <c r="E269"/>
      <c r="F269"/>
      <c r="G269" s="1"/>
    </row>
    <row r="270" spans="5:7" x14ac:dyDescent="0.25">
      <c r="E270"/>
      <c r="F270"/>
      <c r="G270" s="1"/>
    </row>
    <row r="271" spans="5:7" x14ac:dyDescent="0.25">
      <c r="E271"/>
      <c r="F271"/>
      <c r="G271" s="1"/>
    </row>
    <row r="272" spans="5:7" x14ac:dyDescent="0.25">
      <c r="E272"/>
      <c r="F272"/>
      <c r="G272" s="1"/>
    </row>
    <row r="273" spans="5:7" x14ac:dyDescent="0.25">
      <c r="E273"/>
      <c r="F273"/>
      <c r="G273" s="1"/>
    </row>
    <row r="274" spans="5:7" x14ac:dyDescent="0.25">
      <c r="E274"/>
      <c r="F274"/>
      <c r="G274" s="1"/>
    </row>
    <row r="275" spans="5:7" x14ac:dyDescent="0.25">
      <c r="E275"/>
      <c r="F275"/>
      <c r="G275" s="1"/>
    </row>
    <row r="276" spans="5:7" x14ac:dyDescent="0.25">
      <c r="E276"/>
      <c r="F276"/>
      <c r="G276" s="1"/>
    </row>
    <row r="277" spans="5:7" x14ac:dyDescent="0.25">
      <c r="E277"/>
      <c r="F277"/>
      <c r="G277" s="1"/>
    </row>
    <row r="278" spans="5:7" x14ac:dyDescent="0.25">
      <c r="E278"/>
      <c r="F278"/>
      <c r="G278" s="1"/>
    </row>
    <row r="279" spans="5:7" x14ac:dyDescent="0.25">
      <c r="E279"/>
      <c r="F279"/>
      <c r="G279" s="1"/>
    </row>
    <row r="280" spans="5:7" x14ac:dyDescent="0.25">
      <c r="E280"/>
      <c r="F280"/>
      <c r="G280" s="1"/>
    </row>
    <row r="281" spans="5:7" x14ac:dyDescent="0.25">
      <c r="E281"/>
      <c r="F281"/>
      <c r="G281" s="1"/>
    </row>
    <row r="282" spans="5:7" x14ac:dyDescent="0.25">
      <c r="E282"/>
      <c r="F282"/>
      <c r="G282" s="1"/>
    </row>
    <row r="283" spans="5:7" x14ac:dyDescent="0.25">
      <c r="E283"/>
      <c r="F283"/>
      <c r="G283" s="1"/>
    </row>
    <row r="284" spans="5:7" x14ac:dyDescent="0.25">
      <c r="E284"/>
      <c r="F284"/>
      <c r="G284" s="1"/>
    </row>
    <row r="285" spans="5:7" x14ac:dyDescent="0.25">
      <c r="E285"/>
      <c r="F285"/>
      <c r="G285" s="1"/>
    </row>
    <row r="286" spans="5:7" x14ac:dyDescent="0.25">
      <c r="E286"/>
      <c r="F286"/>
      <c r="G286" s="1"/>
    </row>
    <row r="287" spans="5:7" x14ac:dyDescent="0.25">
      <c r="E287"/>
      <c r="F287"/>
      <c r="G287" s="1"/>
    </row>
    <row r="288" spans="5:7" x14ac:dyDescent="0.25">
      <c r="E288"/>
      <c r="F288"/>
      <c r="G288" s="1"/>
    </row>
    <row r="289" spans="5:7" x14ac:dyDescent="0.25">
      <c r="E289"/>
      <c r="F289"/>
      <c r="G289" s="1"/>
    </row>
    <row r="290" spans="5:7" x14ac:dyDescent="0.25">
      <c r="E290"/>
      <c r="F290"/>
      <c r="G290" s="1"/>
    </row>
    <row r="291" spans="5:7" x14ac:dyDescent="0.25">
      <c r="E291"/>
      <c r="F291"/>
      <c r="G291" s="1"/>
    </row>
    <row r="292" spans="5:7" x14ac:dyDescent="0.25">
      <c r="E292"/>
      <c r="F292"/>
      <c r="G292" s="1"/>
    </row>
    <row r="293" spans="5:7" x14ac:dyDescent="0.25">
      <c r="E293"/>
      <c r="F293"/>
      <c r="G293" s="1"/>
    </row>
    <row r="294" spans="5:7" x14ac:dyDescent="0.25">
      <c r="E294"/>
      <c r="F294"/>
      <c r="G294" s="1"/>
    </row>
    <row r="295" spans="5:7" x14ac:dyDescent="0.25">
      <c r="E295"/>
      <c r="F295"/>
      <c r="G295" s="1"/>
    </row>
    <row r="296" spans="5:7" x14ac:dyDescent="0.25">
      <c r="E296"/>
      <c r="F296"/>
      <c r="G296" s="1"/>
    </row>
    <row r="297" spans="5:7" x14ac:dyDescent="0.25">
      <c r="E297"/>
      <c r="F297"/>
      <c r="G297" s="1"/>
    </row>
    <row r="298" spans="5:7" x14ac:dyDescent="0.25">
      <c r="E298"/>
      <c r="F298"/>
      <c r="G298" s="1"/>
    </row>
    <row r="299" spans="5:7" x14ac:dyDescent="0.25">
      <c r="E299"/>
      <c r="F299"/>
      <c r="G299" s="1"/>
    </row>
    <row r="300" spans="5:7" x14ac:dyDescent="0.25">
      <c r="E300"/>
      <c r="F300"/>
      <c r="G300" s="1"/>
    </row>
    <row r="301" spans="5:7" x14ac:dyDescent="0.25">
      <c r="E301"/>
      <c r="F301"/>
      <c r="G301" s="1"/>
    </row>
    <row r="302" spans="5:7" x14ac:dyDescent="0.25">
      <c r="E302"/>
      <c r="F302"/>
      <c r="G302" s="1"/>
    </row>
    <row r="303" spans="5:7" x14ac:dyDescent="0.25">
      <c r="E303"/>
      <c r="F303"/>
      <c r="G303" s="1"/>
    </row>
    <row r="304" spans="5:7" x14ac:dyDescent="0.25">
      <c r="E304"/>
      <c r="F304"/>
      <c r="G304" s="1"/>
    </row>
    <row r="305" spans="5:7" x14ac:dyDescent="0.25">
      <c r="E305"/>
      <c r="F305"/>
      <c r="G305" s="1"/>
    </row>
    <row r="306" spans="5:7" x14ac:dyDescent="0.25">
      <c r="E306"/>
      <c r="F306"/>
      <c r="G306" s="1"/>
    </row>
    <row r="307" spans="5:7" x14ac:dyDescent="0.25">
      <c r="E307"/>
      <c r="F307"/>
      <c r="G307" s="1"/>
    </row>
    <row r="308" spans="5:7" x14ac:dyDescent="0.25">
      <c r="E308"/>
      <c r="F308"/>
      <c r="G308" s="1"/>
    </row>
    <row r="309" spans="5:7" x14ac:dyDescent="0.25">
      <c r="E309"/>
      <c r="F309"/>
      <c r="G309" s="1"/>
    </row>
    <row r="310" spans="5:7" x14ac:dyDescent="0.25">
      <c r="E310"/>
      <c r="F310"/>
      <c r="G310" s="1"/>
    </row>
    <row r="311" spans="5:7" x14ac:dyDescent="0.25">
      <c r="E311"/>
      <c r="F311"/>
      <c r="G311" s="1"/>
    </row>
    <row r="312" spans="5:7" x14ac:dyDescent="0.25">
      <c r="E312"/>
      <c r="F312"/>
      <c r="G312" s="1"/>
    </row>
    <row r="313" spans="5:7" x14ac:dyDescent="0.25">
      <c r="E313"/>
      <c r="F313"/>
      <c r="G313" s="1"/>
    </row>
    <row r="314" spans="5:7" x14ac:dyDescent="0.25">
      <c r="E314"/>
      <c r="F314"/>
      <c r="G314" s="1"/>
    </row>
    <row r="315" spans="5:7" x14ac:dyDescent="0.25">
      <c r="E315"/>
      <c r="F315"/>
      <c r="G315" s="1"/>
    </row>
    <row r="316" spans="5:7" x14ac:dyDescent="0.25">
      <c r="E316"/>
      <c r="F316"/>
      <c r="G316" s="1"/>
    </row>
    <row r="317" spans="5:7" x14ac:dyDescent="0.25">
      <c r="E317"/>
      <c r="F317"/>
      <c r="G317" s="1"/>
    </row>
    <row r="318" spans="5:7" x14ac:dyDescent="0.25">
      <c r="E318"/>
      <c r="F318"/>
      <c r="G318" s="1"/>
    </row>
    <row r="319" spans="5:7" x14ac:dyDescent="0.25">
      <c r="E319"/>
      <c r="F319"/>
      <c r="G319" s="1"/>
    </row>
    <row r="320" spans="5:7" x14ac:dyDescent="0.25">
      <c r="E320"/>
      <c r="F320"/>
      <c r="G320" s="1"/>
    </row>
    <row r="321" spans="5:7" x14ac:dyDescent="0.25">
      <c r="E321"/>
      <c r="F321"/>
      <c r="G321" s="1"/>
    </row>
    <row r="322" spans="5:7" x14ac:dyDescent="0.25">
      <c r="E322"/>
      <c r="F322"/>
      <c r="G322" s="1"/>
    </row>
    <row r="323" spans="5:7" x14ac:dyDescent="0.25">
      <c r="E323"/>
      <c r="F323"/>
      <c r="G323" s="1"/>
    </row>
    <row r="324" spans="5:7" x14ac:dyDescent="0.25">
      <c r="E324"/>
      <c r="F324"/>
      <c r="G324" s="1"/>
    </row>
    <row r="325" spans="5:7" x14ac:dyDescent="0.25">
      <c r="E325"/>
      <c r="F325"/>
      <c r="G325" s="1"/>
    </row>
    <row r="326" spans="5:7" x14ac:dyDescent="0.25">
      <c r="E326"/>
      <c r="F326"/>
      <c r="G326" s="1"/>
    </row>
    <row r="327" spans="5:7" x14ac:dyDescent="0.25">
      <c r="E327"/>
      <c r="F327"/>
      <c r="G327" s="1"/>
    </row>
    <row r="328" spans="5:7" x14ac:dyDescent="0.25">
      <c r="E328"/>
      <c r="F328"/>
      <c r="G328" s="1"/>
    </row>
    <row r="329" spans="5:7" x14ac:dyDescent="0.25">
      <c r="E329"/>
      <c r="F329"/>
      <c r="G329" s="1"/>
    </row>
    <row r="330" spans="5:7" x14ac:dyDescent="0.25">
      <c r="E330"/>
      <c r="F330"/>
      <c r="G330" s="1"/>
    </row>
    <row r="331" spans="5:7" x14ac:dyDescent="0.25">
      <c r="E331"/>
      <c r="F331"/>
      <c r="G331" s="1"/>
    </row>
    <row r="332" spans="5:7" x14ac:dyDescent="0.25">
      <c r="E332"/>
      <c r="F332"/>
      <c r="G332" s="1"/>
    </row>
    <row r="333" spans="5:7" x14ac:dyDescent="0.25">
      <c r="E333"/>
      <c r="F333"/>
      <c r="G333" s="1"/>
    </row>
    <row r="334" spans="5:7" x14ac:dyDescent="0.25">
      <c r="E334"/>
      <c r="F334"/>
      <c r="G334" s="1"/>
    </row>
    <row r="335" spans="5:7" x14ac:dyDescent="0.25">
      <c r="E335"/>
      <c r="F335"/>
      <c r="G335" s="1"/>
    </row>
    <row r="336" spans="5:7" x14ac:dyDescent="0.25">
      <c r="E336"/>
      <c r="F336"/>
      <c r="G336" s="1"/>
    </row>
    <row r="337" spans="5:7" x14ac:dyDescent="0.25">
      <c r="E337"/>
      <c r="F337"/>
      <c r="G337" s="1"/>
    </row>
    <row r="338" spans="5:7" x14ac:dyDescent="0.25">
      <c r="E338"/>
      <c r="F338"/>
      <c r="G338" s="1"/>
    </row>
    <row r="339" spans="5:7" x14ac:dyDescent="0.25">
      <c r="E339"/>
      <c r="F339"/>
      <c r="G339" s="1"/>
    </row>
    <row r="340" spans="5:7" x14ac:dyDescent="0.25">
      <c r="E340"/>
      <c r="F340"/>
      <c r="G340" s="1"/>
    </row>
    <row r="341" spans="5:7" x14ac:dyDescent="0.25">
      <c r="E341"/>
      <c r="F341"/>
      <c r="G341" s="1"/>
    </row>
    <row r="342" spans="5:7" x14ac:dyDescent="0.25">
      <c r="E342"/>
      <c r="F342"/>
      <c r="G342" s="1"/>
    </row>
    <row r="343" spans="5:7" x14ac:dyDescent="0.25">
      <c r="E343"/>
      <c r="F343"/>
      <c r="G343" s="1"/>
    </row>
    <row r="344" spans="5:7" x14ac:dyDescent="0.25">
      <c r="E344"/>
      <c r="F344"/>
      <c r="G344" s="1"/>
    </row>
    <row r="345" spans="5:7" x14ac:dyDescent="0.25">
      <c r="E345"/>
      <c r="F345"/>
      <c r="G345" s="1"/>
    </row>
    <row r="346" spans="5:7" x14ac:dyDescent="0.25">
      <c r="E346"/>
      <c r="F346"/>
      <c r="G346" s="1"/>
    </row>
    <row r="347" spans="5:7" x14ac:dyDescent="0.25">
      <c r="E347"/>
      <c r="F347"/>
      <c r="G347" s="1"/>
    </row>
    <row r="348" spans="5:7" x14ac:dyDescent="0.25">
      <c r="E348"/>
      <c r="F348"/>
      <c r="G348" s="1"/>
    </row>
    <row r="349" spans="5:7" x14ac:dyDescent="0.25">
      <c r="E349"/>
      <c r="F349"/>
      <c r="G349" s="1"/>
    </row>
    <row r="350" spans="5:7" x14ac:dyDescent="0.25">
      <c r="E350"/>
      <c r="F350"/>
      <c r="G350" s="1"/>
    </row>
    <row r="351" spans="5:7" x14ac:dyDescent="0.25">
      <c r="E351"/>
      <c r="F351"/>
      <c r="G351" s="1"/>
    </row>
    <row r="352" spans="5:7" x14ac:dyDescent="0.25">
      <c r="E352"/>
      <c r="F352"/>
      <c r="G352" s="1"/>
    </row>
    <row r="353" spans="5:7" x14ac:dyDescent="0.25">
      <c r="E353"/>
      <c r="F353"/>
      <c r="G353" s="1"/>
    </row>
    <row r="354" spans="5:7" x14ac:dyDescent="0.25">
      <c r="E354"/>
      <c r="F354"/>
      <c r="G354" s="1"/>
    </row>
    <row r="355" spans="5:7" x14ac:dyDescent="0.25">
      <c r="E355"/>
      <c r="F355"/>
      <c r="G355" s="1"/>
    </row>
    <row r="356" spans="5:7" x14ac:dyDescent="0.25">
      <c r="E356"/>
      <c r="F356"/>
      <c r="G356" s="1"/>
    </row>
    <row r="357" spans="5:7" x14ac:dyDescent="0.25">
      <c r="E357"/>
      <c r="F357"/>
      <c r="G357" s="1"/>
    </row>
    <row r="358" spans="5:7" x14ac:dyDescent="0.25">
      <c r="E358"/>
      <c r="F358"/>
      <c r="G358" s="1"/>
    </row>
    <row r="359" spans="5:7" x14ac:dyDescent="0.25">
      <c r="E359"/>
      <c r="F359"/>
      <c r="G359" s="1"/>
    </row>
    <row r="360" spans="5:7" x14ac:dyDescent="0.25">
      <c r="E360"/>
      <c r="F360"/>
      <c r="G360" s="1"/>
    </row>
    <row r="361" spans="5:7" x14ac:dyDescent="0.25">
      <c r="E361"/>
      <c r="F361"/>
      <c r="G361" s="1"/>
    </row>
    <row r="362" spans="5:7" x14ac:dyDescent="0.25">
      <c r="E362"/>
      <c r="F362"/>
      <c r="G362" s="1"/>
    </row>
    <row r="363" spans="5:7" x14ac:dyDescent="0.25">
      <c r="E363"/>
      <c r="F363"/>
      <c r="G363" s="1"/>
    </row>
    <row r="364" spans="5:7" x14ac:dyDescent="0.25">
      <c r="E364"/>
      <c r="F364"/>
      <c r="G364" s="1"/>
    </row>
    <row r="365" spans="5:7" x14ac:dyDescent="0.25">
      <c r="E365"/>
      <c r="F365"/>
      <c r="G365" s="1"/>
    </row>
    <row r="366" spans="5:7" x14ac:dyDescent="0.25">
      <c r="E366"/>
      <c r="F366"/>
      <c r="G366" s="1"/>
    </row>
    <row r="367" spans="5:7" x14ac:dyDescent="0.25">
      <c r="E367"/>
      <c r="F367"/>
      <c r="G367" s="1"/>
    </row>
    <row r="368" spans="5:7" x14ac:dyDescent="0.25">
      <c r="E368"/>
      <c r="F368"/>
      <c r="G368" s="1"/>
    </row>
    <row r="369" spans="5:7" x14ac:dyDescent="0.25">
      <c r="E369"/>
      <c r="F369"/>
      <c r="G369" s="1"/>
    </row>
    <row r="370" spans="5:7" x14ac:dyDescent="0.25">
      <c r="E370"/>
      <c r="F370"/>
      <c r="G370" s="1"/>
    </row>
    <row r="371" spans="5:7" x14ac:dyDescent="0.25">
      <c r="E371"/>
      <c r="F371"/>
      <c r="G371" s="1"/>
    </row>
    <row r="372" spans="5:7" x14ac:dyDescent="0.25">
      <c r="E372"/>
      <c r="F372"/>
      <c r="G372" s="1"/>
    </row>
    <row r="373" spans="5:7" x14ac:dyDescent="0.25">
      <c r="E373"/>
      <c r="F373"/>
      <c r="G373" s="1"/>
    </row>
    <row r="374" spans="5:7" x14ac:dyDescent="0.25">
      <c r="E374"/>
      <c r="F374"/>
      <c r="G374" s="1"/>
    </row>
    <row r="375" spans="5:7" x14ac:dyDescent="0.25">
      <c r="E375"/>
      <c r="F375"/>
      <c r="G375" s="1"/>
    </row>
    <row r="376" spans="5:7" x14ac:dyDescent="0.25">
      <c r="E376"/>
      <c r="F376"/>
      <c r="G376" s="1"/>
    </row>
    <row r="377" spans="5:7" x14ac:dyDescent="0.25">
      <c r="E377"/>
      <c r="F377"/>
      <c r="G377" s="1"/>
    </row>
    <row r="378" spans="5:7" x14ac:dyDescent="0.25">
      <c r="E378"/>
      <c r="F378"/>
      <c r="G378" s="1"/>
    </row>
    <row r="379" spans="5:7" x14ac:dyDescent="0.25">
      <c r="E379"/>
      <c r="F379"/>
      <c r="G379" s="1"/>
    </row>
    <row r="380" spans="5:7" x14ac:dyDescent="0.25">
      <c r="E380"/>
      <c r="F380"/>
      <c r="G380" s="1"/>
    </row>
    <row r="381" spans="5:7" x14ac:dyDescent="0.25">
      <c r="E381"/>
      <c r="F381"/>
      <c r="G381" s="1"/>
    </row>
    <row r="382" spans="5:7" x14ac:dyDescent="0.25">
      <c r="E382"/>
      <c r="F382"/>
      <c r="G382" s="1"/>
    </row>
    <row r="383" spans="5:7" x14ac:dyDescent="0.25">
      <c r="E383"/>
      <c r="F383"/>
      <c r="G383" s="1"/>
    </row>
    <row r="384" spans="5:7" x14ac:dyDescent="0.25">
      <c r="E384"/>
      <c r="F384"/>
      <c r="G384" s="1"/>
    </row>
    <row r="385" spans="5:7" x14ac:dyDescent="0.25">
      <c r="E385"/>
      <c r="F385"/>
      <c r="G385" s="1"/>
    </row>
    <row r="386" spans="5:7" x14ac:dyDescent="0.25">
      <c r="E386"/>
      <c r="F386"/>
      <c r="G386" s="1"/>
    </row>
    <row r="387" spans="5:7" x14ac:dyDescent="0.25">
      <c r="E387"/>
      <c r="F387"/>
      <c r="G387" s="1"/>
    </row>
    <row r="388" spans="5:7" x14ac:dyDescent="0.25">
      <c r="E388"/>
      <c r="F388"/>
      <c r="G388" s="1"/>
    </row>
    <row r="389" spans="5:7" x14ac:dyDescent="0.25">
      <c r="E389"/>
      <c r="F389"/>
      <c r="G389" s="1"/>
    </row>
    <row r="390" spans="5:7" x14ac:dyDescent="0.25">
      <c r="E390"/>
      <c r="F390"/>
      <c r="G390" s="1"/>
    </row>
    <row r="391" spans="5:7" x14ac:dyDescent="0.25">
      <c r="E391"/>
      <c r="F391"/>
      <c r="G391" s="1"/>
    </row>
    <row r="392" spans="5:7" x14ac:dyDescent="0.25">
      <c r="E392"/>
      <c r="F392"/>
      <c r="G392" s="1"/>
    </row>
    <row r="393" spans="5:7" x14ac:dyDescent="0.25">
      <c r="E393"/>
      <c r="F393"/>
      <c r="G393" s="1"/>
    </row>
    <row r="394" spans="5:7" x14ac:dyDescent="0.25">
      <c r="E394"/>
      <c r="F394"/>
      <c r="G394" s="1"/>
    </row>
    <row r="395" spans="5:7" x14ac:dyDescent="0.25">
      <c r="E395"/>
      <c r="F395"/>
      <c r="G395" s="1"/>
    </row>
    <row r="396" spans="5:7" x14ac:dyDescent="0.25">
      <c r="E396"/>
      <c r="F396"/>
      <c r="G396" s="1"/>
    </row>
    <row r="397" spans="5:7" x14ac:dyDescent="0.25">
      <c r="E397"/>
      <c r="F397"/>
      <c r="G397" s="1"/>
    </row>
    <row r="398" spans="5:7" x14ac:dyDescent="0.25">
      <c r="E398"/>
      <c r="F398"/>
      <c r="G398" s="1"/>
    </row>
    <row r="399" spans="5:7" x14ac:dyDescent="0.25">
      <c r="E399"/>
      <c r="F399"/>
      <c r="G399" s="1"/>
    </row>
    <row r="400" spans="5:7" x14ac:dyDescent="0.25">
      <c r="E400"/>
      <c r="F400"/>
      <c r="G400" s="1"/>
    </row>
    <row r="401" spans="5:7" x14ac:dyDescent="0.25">
      <c r="E401"/>
      <c r="F401"/>
      <c r="G401" s="1"/>
    </row>
    <row r="402" spans="5:7" x14ac:dyDescent="0.25">
      <c r="E402"/>
      <c r="F402"/>
      <c r="G402" s="1"/>
    </row>
    <row r="403" spans="5:7" x14ac:dyDescent="0.25">
      <c r="E403"/>
      <c r="F403"/>
      <c r="G403" s="1"/>
    </row>
    <row r="404" spans="5:7" x14ac:dyDescent="0.25">
      <c r="E404"/>
      <c r="F404"/>
      <c r="G404" s="1"/>
    </row>
    <row r="405" spans="5:7" x14ac:dyDescent="0.25">
      <c r="E405"/>
      <c r="F405"/>
      <c r="G405" s="1"/>
    </row>
    <row r="406" spans="5:7" x14ac:dyDescent="0.25">
      <c r="E406"/>
      <c r="F406"/>
      <c r="G406" s="1"/>
    </row>
    <row r="407" spans="5:7" x14ac:dyDescent="0.25">
      <c r="E407"/>
      <c r="F407"/>
      <c r="G407" s="1"/>
    </row>
    <row r="408" spans="5:7" x14ac:dyDescent="0.25">
      <c r="E408"/>
      <c r="F408"/>
      <c r="G408" s="1"/>
    </row>
    <row r="409" spans="5:7" x14ac:dyDescent="0.25">
      <c r="E409"/>
      <c r="F409"/>
      <c r="G409" s="1"/>
    </row>
    <row r="410" spans="5:7" x14ac:dyDescent="0.25">
      <c r="E410"/>
      <c r="F410"/>
      <c r="G410" s="1"/>
    </row>
    <row r="411" spans="5:7" x14ac:dyDescent="0.25">
      <c r="E411"/>
      <c r="F411"/>
      <c r="G411" s="1"/>
    </row>
    <row r="412" spans="5:7" x14ac:dyDescent="0.25">
      <c r="E412"/>
      <c r="F412"/>
      <c r="G412" s="1"/>
    </row>
    <row r="413" spans="5:7" x14ac:dyDescent="0.25">
      <c r="E413"/>
      <c r="F413"/>
      <c r="G413" s="1"/>
    </row>
    <row r="414" spans="5:7" x14ac:dyDescent="0.25">
      <c r="E414"/>
      <c r="F414"/>
      <c r="G414" s="1"/>
    </row>
    <row r="415" spans="5:7" x14ac:dyDescent="0.25">
      <c r="E415"/>
      <c r="F415"/>
      <c r="G415" s="1"/>
    </row>
    <row r="416" spans="5:7" x14ac:dyDescent="0.25">
      <c r="E416"/>
      <c r="F416"/>
      <c r="G416" s="1"/>
    </row>
    <row r="417" spans="5:7" x14ac:dyDescent="0.25">
      <c r="E417"/>
      <c r="F417"/>
      <c r="G417" s="1"/>
    </row>
    <row r="418" spans="5:7" x14ac:dyDescent="0.25">
      <c r="E418"/>
      <c r="F418"/>
      <c r="G418" s="1"/>
    </row>
    <row r="419" spans="5:7" x14ac:dyDescent="0.25">
      <c r="E419"/>
      <c r="F419"/>
      <c r="G419" s="1"/>
    </row>
    <row r="420" spans="5:7" x14ac:dyDescent="0.25">
      <c r="E420"/>
      <c r="F420"/>
      <c r="G420" s="1"/>
    </row>
    <row r="421" spans="5:7" x14ac:dyDescent="0.25">
      <c r="E421"/>
      <c r="F421"/>
      <c r="G421" s="1"/>
    </row>
    <row r="422" spans="5:7" x14ac:dyDescent="0.25">
      <c r="E422"/>
      <c r="F422"/>
      <c r="G422" s="1"/>
    </row>
    <row r="423" spans="5:7" x14ac:dyDescent="0.25">
      <c r="E423"/>
      <c r="F423"/>
      <c r="G423" s="1"/>
    </row>
    <row r="424" spans="5:7" x14ac:dyDescent="0.25">
      <c r="E424"/>
      <c r="F424"/>
      <c r="G424" s="1"/>
    </row>
    <row r="425" spans="5:7" x14ac:dyDescent="0.25">
      <c r="E425"/>
      <c r="F425"/>
      <c r="G425" s="1"/>
    </row>
    <row r="426" spans="5:7" x14ac:dyDescent="0.25">
      <c r="E426"/>
      <c r="F426"/>
      <c r="G426" s="1"/>
    </row>
    <row r="427" spans="5:7" x14ac:dyDescent="0.25">
      <c r="E427"/>
      <c r="F427"/>
      <c r="G427" s="1"/>
    </row>
    <row r="428" spans="5:7" x14ac:dyDescent="0.25">
      <c r="E428"/>
      <c r="F428"/>
      <c r="G428" s="1"/>
    </row>
    <row r="429" spans="5:7" x14ac:dyDescent="0.25">
      <c r="E429"/>
      <c r="F429"/>
      <c r="G429" s="1"/>
    </row>
    <row r="430" spans="5:7" x14ac:dyDescent="0.25">
      <c r="E430"/>
      <c r="F430"/>
      <c r="G430" s="1"/>
    </row>
    <row r="431" spans="5:7" x14ac:dyDescent="0.25">
      <c r="E431"/>
      <c r="F431"/>
      <c r="G431" s="1"/>
    </row>
    <row r="432" spans="5:7" x14ac:dyDescent="0.25">
      <c r="E432"/>
      <c r="F432"/>
      <c r="G432" s="1"/>
    </row>
    <row r="433" spans="5:7" x14ac:dyDescent="0.25">
      <c r="E433"/>
      <c r="F433"/>
      <c r="G433" s="1"/>
    </row>
    <row r="434" spans="5:7" x14ac:dyDescent="0.25">
      <c r="E434"/>
      <c r="F434"/>
      <c r="G434" s="1"/>
    </row>
    <row r="435" spans="5:7" x14ac:dyDescent="0.25">
      <c r="E435"/>
      <c r="F435"/>
      <c r="G435" s="1"/>
    </row>
    <row r="436" spans="5:7" x14ac:dyDescent="0.25">
      <c r="E436"/>
      <c r="F436"/>
      <c r="G436" s="1"/>
    </row>
    <row r="437" spans="5:7" x14ac:dyDescent="0.25">
      <c r="E437"/>
      <c r="F437"/>
      <c r="G437" s="1"/>
    </row>
    <row r="438" spans="5:7" x14ac:dyDescent="0.25">
      <c r="E438"/>
      <c r="F438"/>
      <c r="G438" s="1"/>
    </row>
    <row r="439" spans="5:7" x14ac:dyDescent="0.25">
      <c r="E439"/>
      <c r="F439"/>
      <c r="G439" s="1"/>
    </row>
    <row r="440" spans="5:7" x14ac:dyDescent="0.25">
      <c r="E440"/>
      <c r="F440"/>
      <c r="G440" s="1"/>
    </row>
    <row r="441" spans="5:7" x14ac:dyDescent="0.25">
      <c r="E441"/>
      <c r="F441"/>
      <c r="G441" s="1"/>
    </row>
    <row r="442" spans="5:7" x14ac:dyDescent="0.25">
      <c r="E442"/>
      <c r="F442"/>
      <c r="G442" s="1"/>
    </row>
    <row r="443" spans="5:7" x14ac:dyDescent="0.25">
      <c r="E443"/>
      <c r="F443"/>
      <c r="G443" s="1"/>
    </row>
    <row r="444" spans="5:7" x14ac:dyDescent="0.25">
      <c r="E444"/>
      <c r="F444"/>
      <c r="G444" s="1"/>
    </row>
    <row r="445" spans="5:7" x14ac:dyDescent="0.25">
      <c r="E445"/>
      <c r="F445"/>
      <c r="G445" s="1"/>
    </row>
    <row r="446" spans="5:7" x14ac:dyDescent="0.25">
      <c r="E446"/>
      <c r="F446"/>
      <c r="G446" s="1"/>
    </row>
    <row r="447" spans="5:7" x14ac:dyDescent="0.25">
      <c r="E447"/>
      <c r="F447"/>
      <c r="G447" s="1"/>
    </row>
    <row r="448" spans="5:7" x14ac:dyDescent="0.25">
      <c r="E448"/>
      <c r="F448"/>
      <c r="G448" s="1"/>
    </row>
    <row r="449" spans="5:7" x14ac:dyDescent="0.25">
      <c r="E449"/>
      <c r="F449"/>
      <c r="G449" s="1"/>
    </row>
    <row r="450" spans="5:7" x14ac:dyDescent="0.25">
      <c r="E450"/>
      <c r="F450"/>
      <c r="G450" s="1"/>
    </row>
    <row r="451" spans="5:7" x14ac:dyDescent="0.25">
      <c r="E451"/>
      <c r="F451"/>
      <c r="G451" s="1"/>
    </row>
    <row r="452" spans="5:7" x14ac:dyDescent="0.25">
      <c r="E452"/>
      <c r="F452"/>
      <c r="G452" s="1"/>
    </row>
    <row r="453" spans="5:7" x14ac:dyDescent="0.25">
      <c r="E453"/>
      <c r="F453"/>
      <c r="G453" s="1"/>
    </row>
    <row r="454" spans="5:7" x14ac:dyDescent="0.25">
      <c r="E454"/>
      <c r="F454"/>
      <c r="G454" s="1"/>
    </row>
    <row r="455" spans="5:7" x14ac:dyDescent="0.25">
      <c r="E455"/>
      <c r="F455"/>
      <c r="G455" s="1"/>
    </row>
    <row r="456" spans="5:7" x14ac:dyDescent="0.25">
      <c r="E456"/>
      <c r="F456"/>
      <c r="G456" s="1"/>
    </row>
    <row r="457" spans="5:7" x14ac:dyDescent="0.25">
      <c r="E457"/>
      <c r="F457"/>
      <c r="G457" s="1"/>
    </row>
    <row r="458" spans="5:7" x14ac:dyDescent="0.25">
      <c r="E458"/>
      <c r="F458"/>
      <c r="G458" s="1"/>
    </row>
    <row r="459" spans="5:7" x14ac:dyDescent="0.25">
      <c r="E459"/>
      <c r="F459"/>
      <c r="G459" s="1"/>
    </row>
    <row r="460" spans="5:7" x14ac:dyDescent="0.25">
      <c r="E460"/>
      <c r="F460"/>
      <c r="G460" s="1"/>
    </row>
    <row r="461" spans="5:7" x14ac:dyDescent="0.25">
      <c r="E461"/>
      <c r="F461"/>
      <c r="G461" s="1"/>
    </row>
    <row r="462" spans="5:7" x14ac:dyDescent="0.25">
      <c r="E462"/>
      <c r="F462"/>
      <c r="G462" s="1"/>
    </row>
    <row r="463" spans="5:7" x14ac:dyDescent="0.25">
      <c r="E463"/>
      <c r="F463"/>
      <c r="G463" s="1"/>
    </row>
    <row r="464" spans="5:7" x14ac:dyDescent="0.25">
      <c r="E464"/>
      <c r="F464"/>
      <c r="G464" s="1"/>
    </row>
    <row r="465" spans="5:7" x14ac:dyDescent="0.25">
      <c r="E465"/>
      <c r="F465"/>
      <c r="G465" s="1"/>
    </row>
    <row r="466" spans="5:7" x14ac:dyDescent="0.25">
      <c r="E466"/>
      <c r="F466"/>
      <c r="G466" s="1"/>
    </row>
    <row r="467" spans="5:7" x14ac:dyDescent="0.25">
      <c r="E467"/>
      <c r="F467"/>
      <c r="G467" s="1"/>
    </row>
    <row r="468" spans="5:7" x14ac:dyDescent="0.25">
      <c r="E468"/>
      <c r="F468"/>
      <c r="G468" s="1"/>
    </row>
    <row r="469" spans="5:7" x14ac:dyDescent="0.25">
      <c r="E469"/>
      <c r="F469"/>
      <c r="G469" s="1"/>
    </row>
    <row r="470" spans="5:7" x14ac:dyDescent="0.25">
      <c r="E470"/>
      <c r="F470"/>
      <c r="G470" s="1"/>
    </row>
    <row r="471" spans="5:7" x14ac:dyDescent="0.25">
      <c r="E471"/>
      <c r="F471"/>
      <c r="G471" s="1"/>
    </row>
    <row r="472" spans="5:7" x14ac:dyDescent="0.25">
      <c r="E472"/>
      <c r="F472"/>
      <c r="G472" s="1"/>
    </row>
    <row r="473" spans="5:7" x14ac:dyDescent="0.25">
      <c r="E473"/>
      <c r="F473"/>
      <c r="G473" s="1"/>
    </row>
    <row r="474" spans="5:7" x14ac:dyDescent="0.25">
      <c r="E474"/>
      <c r="F474"/>
      <c r="G474" s="1"/>
    </row>
    <row r="475" spans="5:7" x14ac:dyDescent="0.25">
      <c r="E475"/>
      <c r="F475"/>
      <c r="G475" s="1"/>
    </row>
    <row r="476" spans="5:7" x14ac:dyDescent="0.25">
      <c r="E476"/>
      <c r="F476"/>
      <c r="G476" s="1"/>
    </row>
    <row r="477" spans="5:7" x14ac:dyDescent="0.25">
      <c r="E477"/>
      <c r="F477"/>
      <c r="G477" s="1"/>
    </row>
    <row r="478" spans="5:7" x14ac:dyDescent="0.25">
      <c r="E478"/>
      <c r="F478"/>
      <c r="G478" s="1"/>
    </row>
    <row r="479" spans="5:7" x14ac:dyDescent="0.25">
      <c r="E479"/>
      <c r="F479"/>
      <c r="G479" s="1"/>
    </row>
    <row r="480" spans="5:7" x14ac:dyDescent="0.25">
      <c r="E480"/>
      <c r="F480"/>
      <c r="G480" s="1"/>
    </row>
    <row r="481" spans="5:7" x14ac:dyDescent="0.25">
      <c r="E481"/>
      <c r="F481"/>
      <c r="G481" s="1"/>
    </row>
    <row r="482" spans="5:7" x14ac:dyDescent="0.25">
      <c r="E482"/>
      <c r="F482"/>
      <c r="G482" s="1"/>
    </row>
    <row r="483" spans="5:7" x14ac:dyDescent="0.25">
      <c r="E483"/>
      <c r="F483"/>
      <c r="G483" s="1"/>
    </row>
    <row r="484" spans="5:7" x14ac:dyDescent="0.25">
      <c r="E484"/>
      <c r="F484"/>
      <c r="G484" s="1"/>
    </row>
    <row r="485" spans="5:7" x14ac:dyDescent="0.25">
      <c r="E485"/>
      <c r="F485"/>
      <c r="G485" s="1"/>
    </row>
    <row r="486" spans="5:7" x14ac:dyDescent="0.25">
      <c r="E486"/>
      <c r="F486"/>
      <c r="G486" s="1"/>
    </row>
    <row r="487" spans="5:7" x14ac:dyDescent="0.25">
      <c r="E487"/>
      <c r="F487"/>
      <c r="G487" s="1"/>
    </row>
    <row r="488" spans="5:7" x14ac:dyDescent="0.25">
      <c r="E488"/>
      <c r="F488"/>
      <c r="G488" s="1"/>
    </row>
    <row r="489" spans="5:7" x14ac:dyDescent="0.25">
      <c r="E489"/>
      <c r="F489"/>
      <c r="G489" s="1"/>
    </row>
    <row r="490" spans="5:7" x14ac:dyDescent="0.25">
      <c r="E490"/>
      <c r="F490"/>
      <c r="G490" s="1"/>
    </row>
    <row r="491" spans="5:7" x14ac:dyDescent="0.25">
      <c r="E491"/>
      <c r="F491"/>
      <c r="G491" s="1"/>
    </row>
    <row r="492" spans="5:7" x14ac:dyDescent="0.25">
      <c r="E492"/>
      <c r="F492"/>
      <c r="G492" s="1"/>
    </row>
    <row r="493" spans="5:7" x14ac:dyDescent="0.25">
      <c r="E493"/>
      <c r="F493"/>
      <c r="G493" s="1"/>
    </row>
    <row r="494" spans="5:7" x14ac:dyDescent="0.25">
      <c r="E494"/>
      <c r="F494"/>
      <c r="G494" s="1"/>
    </row>
    <row r="495" spans="5:7" x14ac:dyDescent="0.25">
      <c r="E495"/>
      <c r="F495"/>
      <c r="G495" s="1"/>
    </row>
    <row r="496" spans="5:7" x14ac:dyDescent="0.25">
      <c r="E496"/>
      <c r="F496"/>
      <c r="G496" s="1"/>
    </row>
    <row r="497" spans="5:7" x14ac:dyDescent="0.25">
      <c r="E497"/>
      <c r="F497"/>
      <c r="G497" s="1"/>
    </row>
    <row r="498" spans="5:7" x14ac:dyDescent="0.25">
      <c r="E498"/>
      <c r="F498"/>
      <c r="G498" s="1"/>
    </row>
    <row r="499" spans="5:7" x14ac:dyDescent="0.25">
      <c r="E499"/>
      <c r="F499"/>
      <c r="G499" s="1"/>
    </row>
    <row r="500" spans="5:7" x14ac:dyDescent="0.25">
      <c r="E500"/>
      <c r="F500"/>
      <c r="G500" s="1"/>
    </row>
    <row r="501" spans="5:7" x14ac:dyDescent="0.25">
      <c r="E501"/>
      <c r="F501"/>
      <c r="G501" s="1"/>
    </row>
    <row r="502" spans="5:7" x14ac:dyDescent="0.25">
      <c r="E502"/>
      <c r="F502"/>
      <c r="G502" s="1"/>
    </row>
    <row r="503" spans="5:7" x14ac:dyDescent="0.25">
      <c r="E503"/>
      <c r="F503"/>
      <c r="G503" s="1"/>
    </row>
    <row r="504" spans="5:7" x14ac:dyDescent="0.25">
      <c r="E504"/>
      <c r="F504"/>
      <c r="G504" s="1"/>
    </row>
    <row r="505" spans="5:7" x14ac:dyDescent="0.25">
      <c r="E505"/>
      <c r="F505"/>
      <c r="G505" s="1"/>
    </row>
    <row r="506" spans="5:7" x14ac:dyDescent="0.25">
      <c r="E506"/>
      <c r="F506"/>
      <c r="G506" s="1"/>
    </row>
    <row r="507" spans="5:7" x14ac:dyDescent="0.25">
      <c r="E507"/>
      <c r="F507"/>
      <c r="G507" s="1"/>
    </row>
    <row r="508" spans="5:7" x14ac:dyDescent="0.25">
      <c r="E508"/>
      <c r="F508"/>
      <c r="G508" s="1"/>
    </row>
    <row r="509" spans="5:7" x14ac:dyDescent="0.25">
      <c r="E509"/>
      <c r="F509"/>
      <c r="G509" s="1"/>
    </row>
    <row r="510" spans="5:7" x14ac:dyDescent="0.25">
      <c r="E510"/>
      <c r="F510"/>
      <c r="G510" s="1"/>
    </row>
    <row r="511" spans="5:7" x14ac:dyDescent="0.25">
      <c r="E511"/>
      <c r="F511"/>
      <c r="G511" s="1"/>
    </row>
    <row r="512" spans="5:7" x14ac:dyDescent="0.25">
      <c r="E512"/>
      <c r="F512"/>
      <c r="G512" s="1"/>
    </row>
    <row r="513" spans="5:7" x14ac:dyDescent="0.25">
      <c r="E513"/>
      <c r="F513"/>
      <c r="G513" s="1"/>
    </row>
    <row r="514" spans="5:7" x14ac:dyDescent="0.25">
      <c r="E514"/>
      <c r="F514"/>
      <c r="G514" s="1"/>
    </row>
    <row r="515" spans="5:7" x14ac:dyDescent="0.25">
      <c r="E515"/>
      <c r="F515"/>
      <c r="G515" s="1"/>
    </row>
    <row r="516" spans="5:7" x14ac:dyDescent="0.25">
      <c r="E516"/>
      <c r="F516"/>
      <c r="G516" s="1"/>
    </row>
    <row r="517" spans="5:7" x14ac:dyDescent="0.25">
      <c r="E517"/>
      <c r="F517"/>
      <c r="G517" s="1"/>
    </row>
    <row r="518" spans="5:7" x14ac:dyDescent="0.25">
      <c r="E518"/>
      <c r="F518"/>
      <c r="G518" s="1"/>
    </row>
    <row r="519" spans="5:7" x14ac:dyDescent="0.25">
      <c r="E519"/>
      <c r="F519"/>
      <c r="G519" s="1"/>
    </row>
    <row r="520" spans="5:7" x14ac:dyDescent="0.25">
      <c r="E520"/>
      <c r="F520"/>
      <c r="G520" s="1"/>
    </row>
    <row r="521" spans="5:7" x14ac:dyDescent="0.25">
      <c r="E521"/>
      <c r="F521"/>
      <c r="G521" s="1"/>
    </row>
    <row r="522" spans="5:7" x14ac:dyDescent="0.25">
      <c r="E522"/>
      <c r="F522"/>
      <c r="G522" s="1"/>
    </row>
    <row r="523" spans="5:7" x14ac:dyDescent="0.25">
      <c r="E523"/>
      <c r="F523"/>
      <c r="G523" s="1"/>
    </row>
    <row r="524" spans="5:7" x14ac:dyDescent="0.25">
      <c r="E524"/>
      <c r="F524"/>
      <c r="G524" s="1"/>
    </row>
    <row r="525" spans="5:7" x14ac:dyDescent="0.25">
      <c r="E525"/>
      <c r="F525"/>
      <c r="G525" s="1"/>
    </row>
    <row r="526" spans="5:7" x14ac:dyDescent="0.25">
      <c r="E526"/>
      <c r="F526"/>
      <c r="G526" s="1"/>
    </row>
    <row r="527" spans="5:7" x14ac:dyDescent="0.25">
      <c r="E527"/>
      <c r="F527"/>
      <c r="G527" s="1"/>
    </row>
    <row r="528" spans="5:7" x14ac:dyDescent="0.25">
      <c r="E528"/>
      <c r="F528"/>
      <c r="G528" s="1"/>
    </row>
    <row r="529" spans="5:7" x14ac:dyDescent="0.25">
      <c r="E529"/>
      <c r="F529"/>
      <c r="G529" s="1"/>
    </row>
    <row r="530" spans="5:7" x14ac:dyDescent="0.25">
      <c r="E530"/>
      <c r="F530"/>
      <c r="G530" s="1"/>
    </row>
    <row r="531" spans="5:7" x14ac:dyDescent="0.25">
      <c r="E531"/>
      <c r="F531"/>
      <c r="G531" s="1"/>
    </row>
    <row r="532" spans="5:7" x14ac:dyDescent="0.25">
      <c r="E532"/>
      <c r="F532"/>
      <c r="G532" s="1"/>
    </row>
    <row r="533" spans="5:7" x14ac:dyDescent="0.25">
      <c r="E533"/>
      <c r="F533"/>
      <c r="G533" s="1"/>
    </row>
    <row r="534" spans="5:7" x14ac:dyDescent="0.25">
      <c r="E534"/>
      <c r="F534"/>
      <c r="G534" s="1"/>
    </row>
    <row r="535" spans="5:7" x14ac:dyDescent="0.25">
      <c r="E535"/>
      <c r="F535"/>
      <c r="G535" s="1"/>
    </row>
    <row r="536" spans="5:7" x14ac:dyDescent="0.25">
      <c r="E536"/>
      <c r="F536"/>
      <c r="G536" s="1"/>
    </row>
    <row r="537" spans="5:7" x14ac:dyDescent="0.25">
      <c r="E537"/>
      <c r="F537"/>
      <c r="G537" s="1"/>
    </row>
    <row r="538" spans="5:7" x14ac:dyDescent="0.25">
      <c r="E538"/>
      <c r="F538"/>
      <c r="G538" s="1"/>
    </row>
    <row r="539" spans="5:7" x14ac:dyDescent="0.25">
      <c r="E539"/>
      <c r="F539"/>
      <c r="G539" s="1"/>
    </row>
    <row r="540" spans="5:7" x14ac:dyDescent="0.25">
      <c r="E540"/>
      <c r="F540"/>
      <c r="G540" s="1"/>
    </row>
    <row r="541" spans="5:7" x14ac:dyDescent="0.25">
      <c r="E541"/>
      <c r="F541"/>
      <c r="G541" s="1"/>
    </row>
    <row r="542" spans="5:7" x14ac:dyDescent="0.25">
      <c r="E542"/>
      <c r="F542"/>
      <c r="G542" s="1"/>
    </row>
    <row r="543" spans="5:7" x14ac:dyDescent="0.25">
      <c r="E543"/>
      <c r="F543"/>
      <c r="G543" s="1"/>
    </row>
    <row r="544" spans="5:7" x14ac:dyDescent="0.25">
      <c r="E544"/>
      <c r="F544"/>
      <c r="G544" s="1"/>
    </row>
    <row r="545" spans="5:7" x14ac:dyDescent="0.25">
      <c r="E545"/>
      <c r="F545"/>
      <c r="G545" s="1"/>
    </row>
    <row r="546" spans="5:7" x14ac:dyDescent="0.25">
      <c r="E546"/>
      <c r="F546"/>
      <c r="G546" s="1"/>
    </row>
    <row r="547" spans="5:7" x14ac:dyDescent="0.25">
      <c r="E547"/>
      <c r="F547"/>
      <c r="G547" s="1"/>
    </row>
    <row r="548" spans="5:7" x14ac:dyDescent="0.25">
      <c r="E548"/>
      <c r="F548"/>
      <c r="G548" s="1"/>
    </row>
    <row r="549" spans="5:7" x14ac:dyDescent="0.25">
      <c r="E549"/>
      <c r="F549"/>
      <c r="G549" s="1"/>
    </row>
    <row r="550" spans="5:7" x14ac:dyDescent="0.25">
      <c r="E550"/>
      <c r="F550"/>
      <c r="G550" s="1"/>
    </row>
    <row r="551" spans="5:7" x14ac:dyDescent="0.25">
      <c r="E551"/>
      <c r="F551"/>
      <c r="G551" s="1"/>
    </row>
    <row r="552" spans="5:7" x14ac:dyDescent="0.25">
      <c r="E552"/>
      <c r="F552"/>
      <c r="G552" s="1"/>
    </row>
    <row r="553" spans="5:7" x14ac:dyDescent="0.25">
      <c r="E553"/>
      <c r="F553"/>
      <c r="G553" s="1"/>
    </row>
    <row r="554" spans="5:7" x14ac:dyDescent="0.25">
      <c r="E554"/>
      <c r="F554"/>
      <c r="G554" s="1"/>
    </row>
    <row r="555" spans="5:7" x14ac:dyDescent="0.25">
      <c r="E555"/>
      <c r="F555"/>
      <c r="G555" s="1"/>
    </row>
    <row r="556" spans="5:7" x14ac:dyDescent="0.25">
      <c r="E556"/>
      <c r="F556"/>
      <c r="G556" s="1"/>
    </row>
    <row r="557" spans="5:7" x14ac:dyDescent="0.25">
      <c r="E557"/>
      <c r="F557"/>
      <c r="G557" s="1"/>
    </row>
    <row r="558" spans="5:7" x14ac:dyDescent="0.25">
      <c r="E558"/>
      <c r="F558"/>
      <c r="G558" s="1"/>
    </row>
    <row r="559" spans="5:7" x14ac:dyDescent="0.25">
      <c r="E559"/>
      <c r="F559"/>
      <c r="G559" s="1"/>
    </row>
    <row r="560" spans="5:7" x14ac:dyDescent="0.25">
      <c r="E560"/>
      <c r="F560"/>
      <c r="G560" s="1"/>
    </row>
    <row r="561" spans="5:7" x14ac:dyDescent="0.25">
      <c r="E561"/>
      <c r="F561"/>
      <c r="G561" s="1"/>
    </row>
    <row r="562" spans="5:7" x14ac:dyDescent="0.25">
      <c r="E562"/>
      <c r="F562"/>
      <c r="G562" s="1"/>
    </row>
    <row r="563" spans="5:7" x14ac:dyDescent="0.25">
      <c r="E563"/>
      <c r="F563"/>
      <c r="G563" s="1"/>
    </row>
    <row r="564" spans="5:7" x14ac:dyDescent="0.25">
      <c r="E564"/>
      <c r="F564"/>
      <c r="G564" s="1"/>
    </row>
    <row r="565" spans="5:7" x14ac:dyDescent="0.25">
      <c r="E565"/>
      <c r="F565"/>
      <c r="G565" s="1"/>
    </row>
    <row r="566" spans="5:7" x14ac:dyDescent="0.25">
      <c r="E566"/>
      <c r="F566"/>
      <c r="G566" s="1"/>
    </row>
    <row r="567" spans="5:7" x14ac:dyDescent="0.25">
      <c r="E567"/>
      <c r="F567"/>
      <c r="G567" s="1"/>
    </row>
    <row r="568" spans="5:7" x14ac:dyDescent="0.25">
      <c r="E568"/>
      <c r="F568"/>
      <c r="G568" s="1"/>
    </row>
    <row r="569" spans="5:7" x14ac:dyDescent="0.25">
      <c r="E569"/>
      <c r="F569"/>
      <c r="G569" s="1"/>
    </row>
    <row r="570" spans="5:7" x14ac:dyDescent="0.25">
      <c r="E570"/>
      <c r="F570"/>
      <c r="G570" s="1"/>
    </row>
    <row r="571" spans="5:7" x14ac:dyDescent="0.25">
      <c r="E571"/>
      <c r="F571"/>
      <c r="G571" s="1"/>
    </row>
    <row r="572" spans="5:7" x14ac:dyDescent="0.25">
      <c r="E572"/>
      <c r="F572"/>
      <c r="G572" s="1"/>
    </row>
    <row r="573" spans="5:7" x14ac:dyDescent="0.25">
      <c r="E573"/>
      <c r="F573"/>
      <c r="G573" s="1"/>
    </row>
    <row r="574" spans="5:7" x14ac:dyDescent="0.25">
      <c r="E574"/>
      <c r="F574"/>
      <c r="G574" s="1"/>
    </row>
    <row r="575" spans="5:7" x14ac:dyDescent="0.25">
      <c r="E575"/>
      <c r="F575"/>
      <c r="G575" s="1"/>
    </row>
    <row r="576" spans="5:7" x14ac:dyDescent="0.25">
      <c r="E576"/>
      <c r="F576"/>
      <c r="G576" s="1"/>
    </row>
    <row r="577" spans="5:7" x14ac:dyDescent="0.25">
      <c r="E577"/>
      <c r="F577"/>
      <c r="G577" s="1"/>
    </row>
    <row r="578" spans="5:7" x14ac:dyDescent="0.25">
      <c r="E578"/>
      <c r="F578"/>
      <c r="G578" s="1"/>
    </row>
    <row r="579" spans="5:7" x14ac:dyDescent="0.25">
      <c r="E579"/>
      <c r="F579"/>
      <c r="G579" s="1"/>
    </row>
    <row r="580" spans="5:7" x14ac:dyDescent="0.25">
      <c r="E580"/>
      <c r="F580"/>
      <c r="G580" s="1"/>
    </row>
    <row r="581" spans="5:7" x14ac:dyDescent="0.25">
      <c r="E581"/>
      <c r="F581"/>
      <c r="G581" s="1"/>
    </row>
    <row r="582" spans="5:7" x14ac:dyDescent="0.25">
      <c r="E582"/>
      <c r="F582"/>
      <c r="G582" s="1"/>
    </row>
    <row r="583" spans="5:7" x14ac:dyDescent="0.25">
      <c r="E583"/>
      <c r="F583"/>
      <c r="G583" s="1"/>
    </row>
    <row r="584" spans="5:7" x14ac:dyDescent="0.25">
      <c r="E584"/>
      <c r="F584"/>
      <c r="G584" s="1"/>
    </row>
    <row r="585" spans="5:7" x14ac:dyDescent="0.25">
      <c r="E585"/>
      <c r="F585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A10" sqref="A10"/>
    </sheetView>
  </sheetViews>
  <sheetFormatPr defaultRowHeight="15" x14ac:dyDescent="0.25"/>
  <cols>
    <col min="1" max="1" width="2" customWidth="1"/>
    <col min="2" max="2" width="22.85546875" customWidth="1"/>
    <col min="3" max="3" width="4.140625" customWidth="1"/>
    <col min="4" max="4" width="4" customWidth="1"/>
    <col min="5" max="5" width="29.85546875" customWidth="1"/>
    <col min="6" max="6" width="16.42578125" customWidth="1"/>
    <col min="7" max="7" width="5.140625" style="4" customWidth="1"/>
    <col min="8" max="8" width="7.7109375" customWidth="1"/>
    <col min="9" max="9" width="9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456</v>
      </c>
      <c r="E1" t="s">
        <v>92</v>
      </c>
      <c r="F1" t="s">
        <v>91</v>
      </c>
      <c r="G1" t="s">
        <v>89</v>
      </c>
      <c r="H1" t="s">
        <v>90</v>
      </c>
      <c r="I1" s="29">
        <v>43514</v>
      </c>
      <c r="N1" s="33"/>
      <c r="O1" s="33"/>
      <c r="P1" s="33"/>
      <c r="Q1" s="33"/>
    </row>
    <row r="2" spans="1:17" x14ac:dyDescent="0.25">
      <c r="A2">
        <v>1</v>
      </c>
      <c r="B2">
        <v>20214</v>
      </c>
      <c r="G2"/>
    </row>
    <row r="3" spans="1:17" x14ac:dyDescent="0.25">
      <c r="A3">
        <v>2</v>
      </c>
      <c r="B3">
        <v>20256</v>
      </c>
      <c r="G3"/>
    </row>
    <row r="4" spans="1:17" x14ac:dyDescent="0.25">
      <c r="A4">
        <v>3</v>
      </c>
      <c r="B4">
        <v>20369</v>
      </c>
      <c r="G4"/>
    </row>
    <row r="5" spans="1:17" x14ac:dyDescent="0.25">
      <c r="A5">
        <v>4</v>
      </c>
      <c r="B5">
        <v>20555</v>
      </c>
      <c r="G5"/>
    </row>
    <row r="6" spans="1:17" x14ac:dyDescent="0.25">
      <c r="G6"/>
    </row>
    <row r="7" spans="1:17" x14ac:dyDescent="0.25">
      <c r="G7"/>
    </row>
    <row r="8" spans="1:17" x14ac:dyDescent="0.25">
      <c r="G8"/>
    </row>
    <row r="9" spans="1:17" x14ac:dyDescent="0.25">
      <c r="G9"/>
    </row>
    <row r="10" spans="1:17" x14ac:dyDescent="0.25">
      <c r="G10"/>
    </row>
    <row r="11" spans="1:17" x14ac:dyDescent="0.25"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2" t="s">
        <v>38</v>
      </c>
      <c r="H3" s="82"/>
      <c r="I3" s="82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2"/>
      <c r="H4" s="82"/>
      <c r="I4" s="82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2019-02-18T21:26:33Z</dcterms:modified>
</cp:coreProperties>
</file>