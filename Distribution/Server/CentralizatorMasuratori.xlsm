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28800" windowHeight="11775"/>
  </bookViews>
  <sheets>
    <sheet name="Metrologie" sheetId="2" r:id="rId1"/>
    <sheet name="RawData" sheetId="1" r:id="rId2"/>
    <sheet name="Explicatii" sheetId="3" r:id="rId3"/>
  </sheets>
  <functionGroups builtInGroupCount="17"/>
  <definedNames>
    <definedName name="CA_1">Metrologie!$G$3</definedName>
    <definedName name="CA_2">Metrologie!$G$4</definedName>
    <definedName name="CMA">Metrologie!$B$11</definedName>
    <definedName name="CR_1">Metrologie!$I$3</definedName>
    <definedName name="CR_2">Metrologie!$I$4</definedName>
    <definedName name="ENT">Metrologie!$B$10</definedName>
    <definedName name="ES_1">Metrologie!$F$3</definedName>
    <definedName name="ES_2">Metrologie!$F$4</definedName>
    <definedName name="ES_3">Metrologie!$F$5</definedName>
    <definedName name="ES1_Status">Metrologie!$J$3</definedName>
    <definedName name="ES2_Status">Metrologie!$J$4</definedName>
    <definedName name="ES3_OK">Metrologie!$J$5</definedName>
    <definedName name="ES3_Status">Metrologie!$J$5</definedName>
    <definedName name="LotStatus">Metrologie!$J$3</definedName>
    <definedName name="ML">Metrologie!$B$6</definedName>
    <definedName name="_xlnm.Print_Area" localSheetId="0">Metrologie!$A$2:$C$31,Metrologie!$E$1:$R$31</definedName>
    <definedName name="_xlnm.Print_Titles" localSheetId="0">Metrologie!$E:$R,Metrologie!$11:$12</definedName>
    <definedName name="Qn">Metrologie!$B$7</definedName>
    <definedName name="QnES3">Metrologie!$B$22</definedName>
    <definedName name="RN_1">Metrologie!$H$3</definedName>
    <definedName name="RN_2">Metrologie!$H$4</definedName>
    <definedName name="s">Metrologie!$B$21</definedName>
    <definedName name="SumOfSquares">Metrologie!$B$20</definedName>
    <definedName name="Ta">Metrologie!$B$9</definedName>
    <definedName name="test_1" localSheetId="1">RawData!$A$1:$I$168</definedName>
    <definedName name="Xi">Metrologie!$B$19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5" i="2" l="1"/>
  <c r="B20" i="2"/>
  <c r="R42" i="2"/>
  <c r="R41" i="2"/>
  <c r="R40" i="2"/>
  <c r="R39" i="2"/>
  <c r="R38" i="2"/>
  <c r="R37" i="2"/>
  <c r="R36" i="2"/>
  <c r="R35" i="2"/>
  <c r="R34" i="2"/>
  <c r="R33" i="2"/>
  <c r="R32" i="2"/>
  <c r="R31" i="2"/>
  <c r="R30" i="2"/>
  <c r="R29" i="2"/>
  <c r="R28" i="2"/>
  <c r="R27" i="2"/>
  <c r="R26" i="2"/>
  <c r="R25" i="2"/>
  <c r="R24" i="2"/>
  <c r="R23" i="2"/>
  <c r="R22" i="2"/>
  <c r="R21" i="2"/>
  <c r="R20" i="2"/>
  <c r="R19" i="2"/>
  <c r="R18" i="2"/>
  <c r="R17" i="2"/>
  <c r="R16" i="2"/>
  <c r="R15" i="2"/>
  <c r="R14" i="2"/>
  <c r="R13" i="2"/>
  <c r="Q42" i="2"/>
  <c r="Q41" i="2"/>
  <c r="Q40" i="2"/>
  <c r="Q39" i="2"/>
  <c r="Q38" i="2"/>
  <c r="Q37" i="2"/>
  <c r="Q36" i="2"/>
  <c r="Q35" i="2"/>
  <c r="Q34" i="2"/>
  <c r="Q33" i="2"/>
  <c r="Q32" i="2"/>
  <c r="Q31" i="2"/>
  <c r="Q30" i="2"/>
  <c r="Q29" i="2"/>
  <c r="Q28" i="2"/>
  <c r="Q27" i="2"/>
  <c r="Q26" i="2"/>
  <c r="Q25" i="2"/>
  <c r="Q24" i="2"/>
  <c r="Q23" i="2"/>
  <c r="Q22" i="2"/>
  <c r="Q21" i="2"/>
  <c r="Q20" i="2"/>
  <c r="Q19" i="2"/>
  <c r="Q18" i="2"/>
  <c r="Q17" i="2"/>
  <c r="Q16" i="2"/>
  <c r="Q15" i="2"/>
  <c r="Q14" i="2"/>
  <c r="Q13" i="2"/>
  <c r="B19" i="2"/>
  <c r="P42" i="2"/>
  <c r="O42" i="2"/>
  <c r="P41" i="2"/>
  <c r="O41" i="2"/>
  <c r="P40" i="2"/>
  <c r="O40" i="2"/>
  <c r="P39" i="2"/>
  <c r="O39" i="2"/>
  <c r="P38" i="2"/>
  <c r="O38" i="2"/>
  <c r="P37" i="2"/>
  <c r="O37" i="2"/>
  <c r="P36" i="2"/>
  <c r="O36" i="2"/>
  <c r="P35" i="2"/>
  <c r="O35" i="2"/>
  <c r="P34" i="2"/>
  <c r="O34" i="2"/>
  <c r="P33" i="2"/>
  <c r="O33" i="2"/>
  <c r="P32" i="2"/>
  <c r="O32" i="2"/>
  <c r="P31" i="2"/>
  <c r="O31" i="2"/>
  <c r="P30" i="2"/>
  <c r="O30" i="2"/>
  <c r="P29" i="2"/>
  <c r="O29" i="2"/>
  <c r="P28" i="2"/>
  <c r="O28" i="2"/>
  <c r="P27" i="2"/>
  <c r="O27" i="2"/>
  <c r="P26" i="2"/>
  <c r="O26" i="2"/>
  <c r="P25" i="2"/>
  <c r="O25" i="2"/>
  <c r="P24" i="2"/>
  <c r="O24" i="2"/>
  <c r="P23" i="2"/>
  <c r="O23" i="2"/>
  <c r="P22" i="2"/>
  <c r="O22" i="2"/>
  <c r="P21" i="2"/>
  <c r="O21" i="2"/>
  <c r="P20" i="2"/>
  <c r="O20" i="2"/>
  <c r="P19" i="2"/>
  <c r="O19" i="2"/>
  <c r="P18" i="2"/>
  <c r="O18" i="2"/>
  <c r="P17" i="2"/>
  <c r="O17" i="2"/>
  <c r="P16" i="2"/>
  <c r="O16" i="2"/>
  <c r="P15" i="2"/>
  <c r="O15" i="2"/>
  <c r="P14" i="2"/>
  <c r="O14" i="2"/>
  <c r="P13" i="2"/>
  <c r="O13" i="2"/>
  <c r="K42" i="2"/>
  <c r="J42" i="2"/>
  <c r="I42" i="2"/>
  <c r="K41" i="2"/>
  <c r="J41" i="2"/>
  <c r="I41" i="2"/>
  <c r="K40" i="2"/>
  <c r="J40" i="2"/>
  <c r="I40" i="2"/>
  <c r="K39" i="2"/>
  <c r="J39" i="2"/>
  <c r="I39" i="2"/>
  <c r="K38" i="2"/>
  <c r="J38" i="2"/>
  <c r="I38" i="2"/>
  <c r="K37" i="2"/>
  <c r="J37" i="2"/>
  <c r="I37" i="2"/>
  <c r="K36" i="2"/>
  <c r="J36" i="2"/>
  <c r="I36" i="2"/>
  <c r="K35" i="2"/>
  <c r="J35" i="2"/>
  <c r="I35" i="2"/>
  <c r="K34" i="2"/>
  <c r="J34" i="2"/>
  <c r="I34" i="2"/>
  <c r="K33" i="2"/>
  <c r="J33" i="2"/>
  <c r="I33" i="2"/>
  <c r="K32" i="2"/>
  <c r="J32" i="2"/>
  <c r="I32" i="2"/>
  <c r="K31" i="2"/>
  <c r="J31" i="2"/>
  <c r="I31" i="2"/>
  <c r="K30" i="2"/>
  <c r="J30" i="2"/>
  <c r="I30" i="2"/>
  <c r="K29" i="2"/>
  <c r="J29" i="2"/>
  <c r="I29" i="2"/>
  <c r="K28" i="2"/>
  <c r="J28" i="2"/>
  <c r="I28" i="2"/>
  <c r="K27" i="2"/>
  <c r="J27" i="2"/>
  <c r="I27" i="2"/>
  <c r="K26" i="2"/>
  <c r="J26" i="2"/>
  <c r="I26" i="2"/>
  <c r="K25" i="2"/>
  <c r="J25" i="2"/>
  <c r="I25" i="2"/>
  <c r="K24" i="2"/>
  <c r="J24" i="2"/>
  <c r="I24" i="2"/>
  <c r="K23" i="2"/>
  <c r="J23" i="2"/>
  <c r="I23" i="2"/>
  <c r="K22" i="2"/>
  <c r="J22" i="2"/>
  <c r="I22" i="2"/>
  <c r="K21" i="2"/>
  <c r="J21" i="2"/>
  <c r="I21" i="2"/>
  <c r="K20" i="2"/>
  <c r="J20" i="2"/>
  <c r="I20" i="2"/>
  <c r="K19" i="2"/>
  <c r="J19" i="2"/>
  <c r="I19" i="2"/>
  <c r="K18" i="2"/>
  <c r="J18" i="2"/>
  <c r="I18" i="2"/>
  <c r="K17" i="2"/>
  <c r="J17" i="2"/>
  <c r="I17" i="2"/>
  <c r="K16" i="2"/>
  <c r="J16" i="2"/>
  <c r="I16" i="2"/>
  <c r="K15" i="2"/>
  <c r="J15" i="2"/>
  <c r="I15" i="2"/>
  <c r="K14" i="2"/>
  <c r="J14" i="2"/>
  <c r="I14" i="2"/>
  <c r="K13" i="2"/>
  <c r="J13" i="2"/>
  <c r="I13" i="2"/>
  <c r="H179" i="2"/>
  <c r="H178" i="2"/>
  <c r="H177" i="2"/>
  <c r="H176" i="2"/>
  <c r="H175" i="2"/>
  <c r="H174" i="2"/>
  <c r="H173" i="2"/>
  <c r="H172" i="2"/>
  <c r="H171" i="2"/>
  <c r="H170" i="2"/>
  <c r="H169" i="2"/>
  <c r="H168" i="2"/>
  <c r="H167" i="2"/>
  <c r="H166" i="2"/>
  <c r="H165" i="2"/>
  <c r="H164" i="2"/>
  <c r="H163" i="2"/>
  <c r="H162" i="2"/>
  <c r="H161" i="2"/>
  <c r="H160" i="2"/>
  <c r="H159" i="2"/>
  <c r="H158" i="2"/>
  <c r="H157" i="2"/>
  <c r="H156" i="2"/>
  <c r="H155" i="2"/>
  <c r="H154" i="2"/>
  <c r="H153" i="2"/>
  <c r="H152" i="2"/>
  <c r="H151" i="2"/>
  <c r="H150" i="2"/>
  <c r="H149" i="2"/>
  <c r="H148" i="2"/>
  <c r="H147" i="2"/>
  <c r="H146" i="2"/>
  <c r="H145" i="2"/>
  <c r="H144" i="2"/>
  <c r="H143" i="2"/>
  <c r="H142" i="2"/>
  <c r="H141" i="2"/>
  <c r="H140" i="2"/>
  <c r="H139" i="2"/>
  <c r="H138" i="2"/>
  <c r="H137" i="2"/>
  <c r="H136" i="2"/>
  <c r="H135" i="2"/>
  <c r="H134" i="2"/>
  <c r="H133" i="2"/>
  <c r="H132" i="2"/>
  <c r="H131" i="2"/>
  <c r="H130" i="2"/>
  <c r="H129" i="2"/>
  <c r="H128" i="2"/>
  <c r="H127" i="2"/>
  <c r="H126" i="2"/>
  <c r="H125" i="2"/>
  <c r="H124" i="2"/>
  <c r="H123" i="2"/>
  <c r="H122" i="2"/>
  <c r="H121" i="2"/>
  <c r="H120" i="2"/>
  <c r="H119" i="2"/>
  <c r="H118" i="2"/>
  <c r="H117" i="2"/>
  <c r="H116" i="2"/>
  <c r="H115" i="2"/>
  <c r="H114" i="2"/>
  <c r="H113" i="2"/>
  <c r="H112" i="2"/>
  <c r="H111" i="2"/>
  <c r="H110" i="2"/>
  <c r="H109" i="2"/>
  <c r="H108" i="2"/>
  <c r="H107" i="2"/>
  <c r="H106" i="2"/>
  <c r="H105" i="2"/>
  <c r="H104" i="2"/>
  <c r="H103" i="2"/>
  <c r="H102" i="2"/>
  <c r="H101" i="2"/>
  <c r="H100" i="2"/>
  <c r="H99" i="2"/>
  <c r="H98" i="2"/>
  <c r="H97" i="2"/>
  <c r="H96" i="2"/>
  <c r="H95" i="2"/>
  <c r="H94" i="2"/>
  <c r="H93" i="2"/>
  <c r="H92" i="2"/>
  <c r="H91" i="2"/>
  <c r="H90" i="2"/>
  <c r="H89" i="2"/>
  <c r="H88" i="2"/>
  <c r="H87" i="2"/>
  <c r="H86" i="2"/>
  <c r="H85" i="2"/>
  <c r="H84" i="2"/>
  <c r="H83" i="2"/>
  <c r="H82" i="2"/>
  <c r="H81" i="2"/>
  <c r="H80" i="2"/>
  <c r="H79" i="2"/>
  <c r="H78" i="2"/>
  <c r="H77" i="2"/>
  <c r="H76" i="2"/>
  <c r="H75" i="2"/>
  <c r="H74" i="2"/>
  <c r="H73" i="2"/>
  <c r="H72" i="2"/>
  <c r="H71" i="2"/>
  <c r="H70" i="2"/>
  <c r="H69" i="2"/>
  <c r="H68" i="2"/>
  <c r="H67" i="2"/>
  <c r="H66" i="2"/>
  <c r="H65" i="2"/>
  <c r="H64" i="2"/>
  <c r="H63" i="2"/>
  <c r="H62" i="2"/>
  <c r="H61" i="2"/>
  <c r="H60" i="2"/>
  <c r="H59" i="2"/>
  <c r="H58" i="2"/>
  <c r="H57" i="2"/>
  <c r="H56" i="2"/>
  <c r="H55" i="2"/>
  <c r="H54" i="2"/>
  <c r="H53" i="2"/>
  <c r="H52" i="2"/>
  <c r="H51" i="2"/>
  <c r="H50" i="2"/>
  <c r="H49" i="2"/>
  <c r="H48" i="2"/>
  <c r="H47" i="2"/>
  <c r="H46" i="2"/>
  <c r="H45" i="2"/>
  <c r="H44" i="2"/>
  <c r="H43" i="2"/>
  <c r="H42" i="2"/>
  <c r="H41" i="2"/>
  <c r="H40" i="2"/>
  <c r="H39" i="2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B9" i="2" l="1"/>
  <c r="F3" i="2" l="1"/>
  <c r="I3" i="2"/>
  <c r="G3" i="2"/>
  <c r="B5" i="2" l="1"/>
  <c r="B7" i="2" l="1"/>
  <c r="B8" i="2"/>
  <c r="B4" i="2"/>
  <c r="B3" i="2"/>
  <c r="B21" i="2" l="1"/>
  <c r="B22" i="2" s="1"/>
  <c r="B11" i="2"/>
  <c r="B15" i="2" l="1"/>
  <c r="H3" i="2" l="1"/>
  <c r="J3" i="2" s="1"/>
  <c r="G4" i="2" s="1"/>
  <c r="I4" i="2" l="1"/>
  <c r="H4" i="2"/>
  <c r="J4" i="2" s="1"/>
  <c r="B14" i="2" s="1"/>
  <c r="B13" i="2"/>
  <c r="A2" i="2" l="1"/>
</calcChain>
</file>

<file path=xl/comments1.xml><?xml version="1.0" encoding="utf-8"?>
<comments xmlns="http://schemas.openxmlformats.org/spreadsheetml/2006/main">
  <authors>
    <author>krs</author>
  </authors>
  <commentList>
    <comment ref="A2" authorId="0">
      <text>
        <r>
          <rPr>
            <b/>
            <sz val="9"/>
            <color indexed="81"/>
            <rFont val="Tahoma"/>
            <family val="2"/>
          </rPr>
          <t>krs:
Lotul este acceptat daca urmatoarele conditii sunt indeplinite:</t>
        </r>
        <r>
          <rPr>
            <sz val="9"/>
            <color indexed="81"/>
            <rFont val="Tahoma"/>
            <family val="2"/>
          </rPr>
          <t xml:space="preserve">
Esantionul 1 este Ok,
Esantionul 2 este Ok (daca a fost nevoie de un al doilea esantion)
Esantionul 3 este Ok</t>
        </r>
      </text>
    </comment>
    <comment ref="J3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RN_1 = Numarul de Preambalaje Necorespunzatoare = Suma "Not Ok" din Coloana Comparatie Cr1 cu CMA
CA_1 = Criteriu de Acceptare Esantion 1
CR_1 = Criteriu de Respingere Esantion 1
RN_1 &lt; CA_1            =&gt; Lot Acceptat (Nu e nevoie de al doilea esantion)
RN_1 &gt; CR_1            =&gt; Lot Respins
CA_1 &lt; CR_1 &lt; RN_1 =&gt; Se va mai testa un esantion</t>
        </r>
      </text>
    </comment>
    <comment ref="J4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RN_2 = Numarul de Preambalaje Necorespunzatoare = Suma "Not Ok" din Coloana Comparatie Cr2 cu CMA
CA_2 = Criteriu de Acceptare Esantion 2
CR_2 = Criteriu de Respingere Esantion 2
RN_1 + RN_2 &lt;= CA_2            =&gt; Lot Acceptat
RN_1 + RN_2 &gt;    CR_2            =&gt; Lot Respins
</t>
        </r>
      </text>
    </comment>
    <comment ref="J5" authorId="0">
      <text>
        <r>
          <rPr>
            <b/>
            <sz val="9"/>
            <color indexed="81"/>
            <rFont val="Tahoma"/>
            <family val="2"/>
          </rPr>
          <t xml:space="preserve">krs:
</t>
        </r>
        <r>
          <rPr>
            <sz val="9"/>
            <color indexed="81"/>
            <rFont val="Tahoma"/>
            <family val="2"/>
          </rPr>
          <t xml:space="preserve">    'Lot Size Esantion  Cr de acceptare    Cr de respingere
    '   &lt;= 100?? 30    Xi &gt;=Qn-0,503*s   Xi &lt;Qn-0,503*s
    ' 100 - 500   30    Xi &gt;=Qn-0,503*s   Xi &lt;Qn-0,503*s
    '      &gt; 500   50    Xi &gt;=Qn-0,379*s   Xi &lt;Qn-0,379*s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Numarul de masuratori pe coloana E</t>
        </r>
      </text>
    </comment>
    <comment ref="B7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Daca Masa Nominala se termina in Kg, se sterge Kg</t>
        </r>
      </text>
    </comment>
    <comment ref="B9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Daca Tara Ambalaj se termina in Kg, se sterge Kg</t>
        </r>
      </text>
    </comment>
    <comment ref="B10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EROARE NEGATIVA TOLERATA ENT se calculeaza conform Tabelului    
Unde:
Qn in g sau ml
ENT in %,g sau ml
5 &lt;= Qn &lt;= 50  9%
50 &lt;= Qn &lt;= 100 4.5g
100 &lt;= Qn &lt;= 200 4.5%
200 &lt;= Qn &lt;= 300 9g
300 &lt;= Qn &lt;= 500 3%
500 &lt;= Qn &lt;= 1000 15g
1000&lt;= Qn &lt;= 10000 1.5%</t>
        </r>
      </text>
    </comment>
    <comment ref="I11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'Marimea lotului Succesiunea Marimea Esantionului    Marimea cumulata    Criteriul de acceptare CA   Criteriul de respingere CR
100  ..  500       1           30                      30                  1                           3
                        2           30                      60                  4                           5
&gt;501 .. 3200     1           50                      50                  2                           5
                        2           50                     100                 6                           7
      &gt;= 3200     1           80                      80                  3                           7
                        2           80                     160                 8                           9</t>
        </r>
      </text>
    </comment>
    <comment ref="L11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'Marimea lotului Succesiunea Marimea Esantionului    Marimea cumulata    Criteriul de acceptare CA   Criteriul de respingere CR
100  ..  500       1           30                      30                  1                           3
                        2           30                      60                  4                           5
&gt;501 .. 3200     1           50                      50                  2                           5
                        2           50                     100                 6                           7
      &gt;= 3200     1           80                      80                  3                           7
                        2           80                     160                 8                           9</t>
        </r>
      </text>
    </comment>
    <comment ref="O11" authorId="0">
      <text>
        <r>
          <rPr>
            <b/>
            <sz val="9"/>
            <color indexed="81"/>
            <rFont val="Tahoma"/>
            <family val="2"/>
          </rPr>
          <t xml:space="preserve">krs:
</t>
        </r>
        <r>
          <rPr>
            <sz val="9"/>
            <color indexed="81"/>
            <rFont val="Tahoma"/>
            <family val="2"/>
          </rPr>
          <t>Un lot este acceptat daca Valoarea Medie a Continutului Real al Masuratorilor 
Xi &gt; Qn-[s/N*0.995]
'Lot Size Esantion Cr de acceptare   Cr de respingere
'   &lt;= 100? 30    Xi &gt;=Qn-0,503*s   Xi &lt;Qn-0,503*s
'100 - 500   30    Xi &gt;=Qn-0,503*s   Xi &lt;Qn-0,503*s
'   &gt;= 501   50    Xi &gt;=Qn-0,379*s   Xi &lt;Qn-0,379*s</t>
        </r>
      </text>
    </comment>
  </commentList>
</comments>
</file>

<file path=xl/connections.xml><?xml version="1.0" encoding="utf-8"?>
<connections xmlns="http://schemas.openxmlformats.org/spreadsheetml/2006/main">
  <connection id="1" interval="1" name="2018-03-04-072149_1211_Gut80-MargarinaCreme_Cutie_20Kg" type="6" refreshedVersion="4" background="1" refreshOnLoad="1" saveData="1">
    <textPr prompt="0" codePage="437" sourceFile="C:\Home\Krs\Work\Cantar\ScalesAutomation\Distribution\CSVOutput\2018-03-04-072149_1211_Gut80-MargarinaCreme_Cutie_20Kg.csv" tab="0" semicolon="1">
      <textFields count="2">
        <textField/>
        <textField/>
      </textFields>
    </textPr>
  </connection>
  <connection id="2" interval="1" name="2018-10-23-054408_100303_MARGARINAFINEOGOLD-margarinapentrucreme_CutieAlba-10Kg" type="6" refreshedVersion="4" background="1" refreshOnLoad="1" saveData="1">
    <textPr prompt="0" codePage="437" sourceFile="C:\Home\Krs\Work\Cantar\ScalesAutomation\Distribution\Server\CSVServer\2018-10-23-054408_100303_MARGARINAFINEOGOLD-margarinapentrucreme_CutieAlba-10Kg.csv" tab="0" semicolon="1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<sst xmlns="http://schemas.openxmlformats.org/spreadsheetml/2006/main" count="120" uniqueCount="93">
  <si>
    <t>Kg</t>
  </si>
  <si>
    <t>Lot</t>
  </si>
  <si>
    <t>Sortimentul</t>
  </si>
  <si>
    <t>Tip Ambalaj</t>
  </si>
  <si>
    <r>
      <t xml:space="preserve">Masa Nominala </t>
    </r>
    <r>
      <rPr>
        <b/>
        <sz val="11"/>
        <color theme="4" tint="-0.249977111117893"/>
        <rFont val="Calibri"/>
        <family val="2"/>
        <scheme val="minor"/>
      </rPr>
      <t>[Qn]</t>
    </r>
  </si>
  <si>
    <r>
      <t xml:space="preserve">Tara Ambalaj </t>
    </r>
    <r>
      <rPr>
        <b/>
        <sz val="11"/>
        <color theme="4" tint="-0.249977111117893"/>
        <rFont val="Calibri"/>
        <family val="2"/>
        <scheme val="minor"/>
      </rPr>
      <t>[Ta]</t>
    </r>
  </si>
  <si>
    <r>
      <t xml:space="preserve">Eroare Negativa Tolerata </t>
    </r>
    <r>
      <rPr>
        <b/>
        <sz val="11"/>
        <color theme="4" tint="-0.249977111117893"/>
        <rFont val="Calibri"/>
        <family val="2"/>
        <scheme val="minor"/>
      </rPr>
      <t>[ENT]</t>
    </r>
  </si>
  <si>
    <r>
      <t>Marimea Lotului</t>
    </r>
    <r>
      <rPr>
        <b/>
        <sz val="11"/>
        <color theme="4" tint="-0.249977111117893"/>
        <rFont val="Calibri"/>
        <family val="2"/>
        <scheme val="minor"/>
      </rPr>
      <t xml:space="preserve"> [ML]</t>
    </r>
  </si>
  <si>
    <r>
      <t xml:space="preserve">Continutul Minim Admis </t>
    </r>
    <r>
      <rPr>
        <b/>
        <sz val="11"/>
        <color theme="4" tint="-0.249977111117893"/>
        <rFont val="Calibri"/>
        <family val="2"/>
        <scheme val="minor"/>
      </rPr>
      <t>[CMA]</t>
    </r>
  </si>
  <si>
    <t>Data</t>
  </si>
  <si>
    <t>INDICATORI</t>
  </si>
  <si>
    <t>EXPLICATIE</t>
  </si>
  <si>
    <t>NR. DE CANTARIRI = NR. DE PREAMBALATE</t>
  </si>
  <si>
    <t>DATA LA CARE SE FACE CANTARIREA</t>
  </si>
  <si>
    <t>ORA LA CARE SE FACE CANTATIREA</t>
  </si>
  <si>
    <t>CANTITATEA EFECTIV CANTARITA =PRODUS + AMBALAJ</t>
  </si>
  <si>
    <t>SE COMPARA  EROAREA NEGATIVA[EN] CU DUBLUL ERORII NEGATIVE TOLERATAENT]   DACA EN&gt;2*ENT PRODUSUL NU POATE AVEA SIMBOLUL E SI NU VA FI COMERCIALIZAT</t>
  </si>
  <si>
    <t xml:space="preserve">NR DE CANTATIRI CE TREBUIE SA FIE  EXTRASE DIN TOTALUL CANTARIRILOR INITIALE  [COL A] CARE VOR FI LUATE IN CALCUL LA VERIFICAREA 2.2.1 ESANTION 1.;  IN FUNCTIE DE MARIMEA LOTULUI VOM AVEA NEVOIE DE  30, 50, 80  CANTARIRI </t>
  </si>
  <si>
    <t>CANTITATEA DE PRODUS REAL[Cr1} =CANTITATEA CANTARITA[Cc] -TARA AMBALAJ[Ta]; IN FUNCTIE DE MARIMEA LOTULUI SE VOR LUA, PT. CALCUL ALEATORIU  30, 50, 80 DE CANTARIRI DIN COL.D</t>
  </si>
  <si>
    <t>SE COMPARA [Cr1] CU CONTINUTUL MINIM ADMIS[CMA]; DACA Cr1&gt;CMA PREAMBALAT ADMIS   DACA Cr1&lt;CMA PREAMBALAT NECORESPUNZATOR A/N</t>
  </si>
  <si>
    <t xml:space="preserve">NR DE CANTATIRI CE TREBUIE SA FIE  EXTRASE DIN TOTALUL CANTARIRILOR INITIALE  [COL A] CARE VOR FI LUATE IN CALCUL LA VERIFICAREA 2.2.1 ESANTION 2.;  IN FUNCTIE DE MARIMEA LOTULUI VOM AVEA NEVOIE DE  30, 50, 80  CANTARIRI </t>
  </si>
  <si>
    <t>CANTITATEA DE PRODUS REAL[Cr2] =CANTITATEA CANTARITA[Cc] -TARA AMBALAJ[Ta]: IN FUNCTIE DE MARIMEA LOTULUI SE VOR LUA, PT. CALCUL ALEATORIU  30, 50, 80 DE CANTARIRI DIN COL.D</t>
  </si>
  <si>
    <t>SE COMPARA [Cr2] CU CONTINUTUL MINIM ADMIS[CMA]; DACA Cr2&gt;CMA PREAMBALAT ADMIS   DACA Cr2&lt;CMA PREAMBALAT NECORESPUNZATOR A/N</t>
  </si>
  <si>
    <t xml:space="preserve">NR DE CANTATIRI CE TREBUIE SA FIE  EXTRASE DIN CELE ALESE LA ESANTIONUL 1 [COL F] CARE VOR FI LUATE IN CALCUL LA VERIFICAREA 2.3.3.1 ESANTION 3;  IN FUNCTIE DE MARIMEA LOTULUI VOM AVEA NEVOIE DE  30, 50 CANTARIRI </t>
  </si>
  <si>
    <t xml:space="preserve">CANTITATEA DE PRODUS REAL[Cr3} =CANTITATEA CANTARITA[Cc] -TARA AMBALAJ[Ta]; IN FUNCTIE DE MARIMEA LOTULUI SE VOR LUA, PT. CALCUL ALEATORIU  30, 50,  CANTARIRI DIN COL.G </t>
  </si>
  <si>
    <t>CONTINUT REAL ES3 - Xi MEDIU</t>
  </si>
  <si>
    <t>DIN CONTINUTUL REAL 3 [Cr3] SE SCADE MEDIA CONTINUTULUI REAL Xi MEDIU</t>
  </si>
  <si>
    <t>[VLUM REAL ES3 - Xi MEDIU]2</t>
  </si>
  <si>
    <t>COL N LA PATRAT</t>
  </si>
  <si>
    <t>SE CALCULEAZA IN FUNCTIE DE CANTITATEA NOMINALA Qn/ CANTITATEA NETA CF. TABEL</t>
  </si>
  <si>
    <t xml:space="preserve"> Qn-[s/RADICAL(N)*0.995]</t>
  </si>
  <si>
    <t>DIN CANTITATEA NOMINALA [Qn] SE SCADE [s/RADICAL(N)*0.995]; UNDE N=NR DE ES3</t>
  </si>
  <si>
    <t>FUNCTIA STDEV(COLM), STDEV(M1:Mn)</t>
  </si>
  <si>
    <t>Qn-0,379*s</t>
  </si>
  <si>
    <r>
      <t xml:space="preserve">Valoarea Medie a cantitatilor reale </t>
    </r>
    <r>
      <rPr>
        <b/>
        <sz val="11"/>
        <color theme="4" tint="-0.249977111117893"/>
        <rFont val="Calibri"/>
        <family val="2"/>
        <scheme val="minor"/>
      </rPr>
      <t>[Xi]</t>
    </r>
  </si>
  <si>
    <r>
      <t xml:space="preserve">Estimatorul Abaterii Standard </t>
    </r>
    <r>
      <rPr>
        <b/>
        <sz val="11"/>
        <color theme="4" tint="-0.249977111117893"/>
        <rFont val="Calibri"/>
        <family val="2"/>
        <scheme val="minor"/>
      </rPr>
      <t>[s]</t>
    </r>
  </si>
  <si>
    <r>
      <rPr>
        <b/>
        <sz val="11"/>
        <color theme="1"/>
        <rFont val="Calibri"/>
        <family val="2"/>
        <scheme val="minor"/>
      </rPr>
      <t>Sum(</t>
    </r>
    <r>
      <rPr>
        <sz val="11"/>
        <color theme="1"/>
        <rFont val="Calibri"/>
        <family val="2"/>
        <scheme val="minor"/>
      </rPr>
      <t>(</t>
    </r>
    <r>
      <rPr>
        <b/>
        <sz val="11"/>
        <color theme="4" tint="-0.249977111117893"/>
        <rFont val="Calibri"/>
        <family val="2"/>
        <scheme val="minor"/>
      </rPr>
      <t>Cr</t>
    </r>
    <r>
      <rPr>
        <sz val="11"/>
        <color theme="1"/>
        <rFont val="Calibri"/>
        <family val="2"/>
        <scheme val="minor"/>
      </rPr>
      <t xml:space="preserve"> - </t>
    </r>
    <r>
      <rPr>
        <b/>
        <sz val="11"/>
        <color theme="4" tint="-0.249977111117893"/>
        <rFont val="Calibri"/>
        <family val="2"/>
        <scheme val="minor"/>
      </rPr>
      <t>Xi</t>
    </r>
    <r>
      <rPr>
        <sz val="11"/>
        <color theme="1"/>
        <rFont val="Calibri"/>
        <family val="2"/>
        <scheme val="minor"/>
      </rPr>
      <t>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</si>
  <si>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r>
      <t xml:space="preserve">EROARE NEGATIVA TOLERATA </t>
    </r>
    <r>
      <rPr>
        <b/>
        <sz val="12"/>
        <rFont val="Arial"/>
        <family val="2"/>
      </rPr>
      <t>ENT =  CF TABEL</t>
    </r>
  </si>
  <si>
    <r>
      <t xml:space="preserve">Cantitatea nominala </t>
    </r>
    <r>
      <rPr>
        <b/>
        <sz val="12"/>
        <rFont val="Arial"/>
        <family val="2"/>
      </rPr>
      <t>Qn</t>
    </r>
    <r>
      <rPr>
        <sz val="12"/>
        <rFont val="Arial"/>
        <family val="2"/>
      </rPr>
      <t xml:space="preserve"> in g sau ml</t>
    </r>
  </si>
  <si>
    <t>Eroare negativa tolerata</t>
  </si>
  <si>
    <t>in % din Qn</t>
  </si>
  <si>
    <t>in g sau ml</t>
  </si>
  <si>
    <t xml:space="preserve">&lt;= Qn &lt;= </t>
  </si>
  <si>
    <t>-</t>
  </si>
  <si>
    <t>Criteriu de Acceptare</t>
  </si>
  <si>
    <t>Criteriu de Respingere</t>
  </si>
  <si>
    <t>Rezultate Negative</t>
  </si>
  <si>
    <t>Status Esantion</t>
  </si>
  <si>
    <t>#</t>
  </si>
  <si>
    <t>Cantitatea Cantarita [Cc]</t>
  </si>
  <si>
    <t>Ora</t>
  </si>
  <si>
    <t>Comparatie EN&gt;2ENT (Produs 'Fara E' nu se comercializeaza!)</t>
  </si>
  <si>
    <t>Comparatie Cr1 cu CMA</t>
  </si>
  <si>
    <t>Comparatie Cr2 cu CMA</t>
  </si>
  <si>
    <r>
      <rPr>
        <b/>
        <sz val="11"/>
        <color theme="4" tint="-0.249977111117893"/>
        <rFont val="Calibri"/>
        <family val="2"/>
        <scheme val="minor"/>
      </rPr>
      <t>Qn=</t>
    </r>
    <r>
      <rPr>
        <sz val="11"/>
        <color theme="1"/>
        <rFont val="Calibri"/>
        <family val="2"/>
        <scheme val="minor"/>
      </rPr>
      <t>[</t>
    </r>
    <r>
      <rPr>
        <b/>
        <sz val="11"/>
        <color theme="4" tint="-0.249977111117893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/sqrt(</t>
    </r>
    <r>
      <rPr>
        <b/>
        <sz val="11"/>
        <color theme="4" tint="-0.249977111117893"/>
        <rFont val="Calibri"/>
        <family val="2"/>
        <scheme val="minor"/>
      </rPr>
      <t>N</t>
    </r>
    <r>
      <rPr>
        <sz val="11"/>
        <rFont val="Calibri"/>
        <family val="2"/>
        <scheme val="minor"/>
      </rPr>
      <t>)</t>
    </r>
    <r>
      <rPr>
        <sz val="11"/>
        <color theme="1"/>
        <rFont val="Calibri"/>
        <family val="2"/>
        <scheme val="minor"/>
      </rPr>
      <t>*0.995]</t>
    </r>
  </si>
  <si>
    <t>Continutul Real
[Cr1]</t>
  </si>
  <si>
    <t>Continutul Real
[Cr2]</t>
  </si>
  <si>
    <t>Continutul Real [Cr]
Cc - Ta</t>
  </si>
  <si>
    <t>Informatii de Baza</t>
  </si>
  <si>
    <t>Succesiunea 1</t>
  </si>
  <si>
    <t>Succesiunea 2</t>
  </si>
  <si>
    <t>Succesiunea 3</t>
  </si>
  <si>
    <t>Marime Esantion</t>
  </si>
  <si>
    <t>S1</t>
  </si>
  <si>
    <t>S2</t>
  </si>
  <si>
    <t>S3</t>
  </si>
  <si>
    <t>Calcule Intermediare Succesiunea 3</t>
  </si>
  <si>
    <t>Marimea Lotului [ML]</t>
  </si>
  <si>
    <t>Marime Esantion ES1</t>
  </si>
  <si>
    <t>Marime Esantion ES2</t>
  </si>
  <si>
    <t>Marime Esantion ES3</t>
  </si>
  <si>
    <t>Continutul Real
[Cr2]
Cc - Ta</t>
  </si>
  <si>
    <t>Continutul Real
[Cr1]
Cc - Ta</t>
  </si>
  <si>
    <t>Continutul Real [Cr3]
Cc - Ta</t>
  </si>
  <si>
    <t>Continutul Real - Continutul Real Mediu
Cr3 - Xi</t>
  </si>
  <si>
    <r>
      <t>(Cr3 - Xi)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</si>
  <si>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t>Eroare Negativa Tolerata [ENT]</t>
  </si>
  <si>
    <t>Numarul Total de preambalate  [RN_1] necorespunzatoare din ES1</t>
  </si>
  <si>
    <t>Numarul Total de preambalate  [RN_2] necorespunzatoare din ES2</t>
  </si>
  <si>
    <t>SE NUMARA TOATE "Not Ok" DIN COLOANA "Comparatie Cr1 cu CMA"</t>
  </si>
  <si>
    <t>SE NUMARA TOATE "Not Ok" DIN COLOANA "Comparatie Cr2 cu CMA"</t>
  </si>
  <si>
    <t>Valoarea Medie a cantitatilor reale [Xi]</t>
  </si>
  <si>
    <t>SE CALCULEAZA MEDIA ARITMETICA PE COL "Continutul Real [Cr3]"</t>
  </si>
  <si>
    <t>ESTE EGAL CU NUMARUL DE PREAMBALATE CANTARITE; COUNT(Coloana E)</t>
  </si>
  <si>
    <t>Estimatorul Abaterii Standard [s]</t>
  </si>
  <si>
    <t>Rezultat Esantionul 1</t>
  </si>
  <si>
    <t>Rezultat Esantionul 2</t>
  </si>
  <si>
    <t>Rezultat Esantionul 3</t>
  </si>
  <si>
    <t>Comparatie EN&gt;2ENT Produs 'Fara E' nu se comercializeaza</t>
  </si>
  <si>
    <t>MARGARINA FINEO GOLD - margarina pentru creme</t>
  </si>
  <si>
    <t>10Kg</t>
  </si>
  <si>
    <t>Cutie Alba - 10 Kg</t>
  </si>
  <si>
    <t>0.27Kg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</si>
</sst>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"/>
    <numFmt numFmtId="165" formatCode="0.000"/>
    <numFmt numFmtId="166" formatCode="0.00000"/>
    <numFmt numFmtId="167" formatCode="0.000000"/>
  </numFmts>
  <fonts count="19" x14ac:knownFonts="1">
    <font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4" tint="-0.249977111117893"/>
      <name val="Calibri"/>
      <family val="2"/>
      <scheme val="minor"/>
    </font>
    <font>
      <b/>
      <sz val="10"/>
      <name val="Arial"/>
      <family val="2"/>
    </font>
    <font>
      <sz val="12"/>
      <name val="Arial"/>
      <family val="2"/>
    </font>
    <font>
      <sz val="12"/>
      <color indexed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2"/>
      <color indexed="40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vertAlign val="superscript"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1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82">
    <xf numFmtId="0" fontId="0" fillId="0" borderId="0" xfId="0"/>
    <xf numFmtId="21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right"/>
    </xf>
    <xf numFmtId="2" fontId="0" fillId="0" borderId="0" xfId="0" applyNumberFormat="1" applyAlignment="1">
      <alignment horizontal="right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6" fillId="0" borderId="1" xfId="0" applyFont="1" applyBorder="1" applyAlignment="1">
      <alignment horizontal="center" vertical="center" wrapText="1"/>
    </xf>
    <xf numFmtId="0" fontId="7" fillId="0" borderId="1" xfId="0" applyFont="1" applyBorder="1" applyAlignment="1">
      <alignment vertical="center" wrapText="1"/>
    </xf>
    <xf numFmtId="0" fontId="0" fillId="0" borderId="1" xfId="0" applyBorder="1"/>
    <xf numFmtId="0" fontId="5" fillId="0" borderId="1" xfId="0" applyFont="1" applyBorder="1" applyAlignment="1">
      <alignment horizontal="left" wrapText="1"/>
    </xf>
    <xf numFmtId="0" fontId="7" fillId="0" borderId="1" xfId="0" applyFont="1" applyBorder="1"/>
    <xf numFmtId="0" fontId="5" fillId="0" borderId="1" xfId="0" applyFont="1" applyBorder="1" applyAlignment="1">
      <alignment vertical="center" wrapText="1"/>
    </xf>
    <xf numFmtId="0" fontId="0" fillId="0" borderId="1" xfId="0" applyBorder="1" applyAlignment="1">
      <alignment vertical="top" wrapText="1"/>
    </xf>
    <xf numFmtId="0" fontId="9" fillId="0" borderId="1" xfId="0" applyFont="1" applyBorder="1" applyAlignment="1">
      <alignment wrapText="1"/>
    </xf>
    <xf numFmtId="0" fontId="0" fillId="0" borderId="1" xfId="0" applyBorder="1" applyAlignment="1">
      <alignment vertical="center"/>
    </xf>
    <xf numFmtId="0" fontId="7" fillId="0" borderId="1" xfId="0" applyFont="1" applyBorder="1" applyAlignment="1">
      <alignment wrapText="1"/>
    </xf>
    <xf numFmtId="0" fontId="0" fillId="0" borderId="1" xfId="0" applyBorder="1" applyAlignment="1">
      <alignment wrapText="1"/>
    </xf>
    <xf numFmtId="1" fontId="0" fillId="0" borderId="0" xfId="0" applyNumberFormat="1" applyAlignment="1">
      <alignment horizontal="right"/>
    </xf>
    <xf numFmtId="14" fontId="0" fillId="0" borderId="0" xfId="0" applyNumberFormat="1" applyAlignment="1">
      <alignment horizontal="right"/>
    </xf>
    <xf numFmtId="0" fontId="5" fillId="0" borderId="0" xfId="0" applyFont="1"/>
    <xf numFmtId="0" fontId="5" fillId="0" borderId="1" xfId="0" applyFont="1" applyBorder="1" applyAlignment="1">
      <alignment horizontal="left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vertical="center"/>
    </xf>
    <xf numFmtId="14" fontId="0" fillId="0" borderId="0" xfId="0" applyNumberFormat="1"/>
    <xf numFmtId="164" fontId="0" fillId="2" borderId="0" xfId="0" applyNumberFormat="1" applyFill="1" applyAlignment="1">
      <alignment horizontal="right"/>
    </xf>
    <xf numFmtId="0" fontId="0" fillId="2" borderId="0" xfId="0" applyFill="1" applyAlignment="1">
      <alignment horizontal="left"/>
    </xf>
    <xf numFmtId="0" fontId="4" fillId="0" borderId="0" xfId="0" applyFont="1" applyAlignment="1">
      <alignment horizontal="center" vertical="center" wrapText="1"/>
    </xf>
    <xf numFmtId="0" fontId="1" fillId="0" borderId="0" xfId="0" applyFont="1" applyAlignment="1"/>
    <xf numFmtId="0" fontId="0" fillId="2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NumberFormat="1" applyFont="1" applyAlignment="1">
      <alignment horizontal="right"/>
    </xf>
    <xf numFmtId="0" fontId="0" fillId="2" borderId="0" xfId="0" applyFill="1" applyAlignment="1">
      <alignment horizontal="right"/>
    </xf>
    <xf numFmtId="0" fontId="0" fillId="4" borderId="0" xfId="0" applyFill="1" applyAlignment="1">
      <alignment horizontal="right"/>
    </xf>
    <xf numFmtId="0" fontId="1" fillId="0" borderId="0" xfId="0" applyFont="1" applyAlignment="1">
      <alignment horizontal="right"/>
    </xf>
    <xf numFmtId="0" fontId="0" fillId="6" borderId="0" xfId="0" applyFill="1" applyAlignment="1">
      <alignment horizontal="left"/>
    </xf>
    <xf numFmtId="2" fontId="0" fillId="6" borderId="0" xfId="0" applyNumberFormat="1" applyFill="1" applyAlignment="1">
      <alignment horizontal="right"/>
    </xf>
    <xf numFmtId="0" fontId="5" fillId="3" borderId="1" xfId="0" applyFont="1" applyFill="1" applyBorder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 wrapText="1"/>
    </xf>
    <xf numFmtId="0" fontId="7" fillId="5" borderId="1" xfId="0" applyFont="1" applyFill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 wrapText="1"/>
    </xf>
    <xf numFmtId="0" fontId="7" fillId="6" borderId="1" xfId="0" applyFont="1" applyFill="1" applyBorder="1" applyAlignment="1">
      <alignment horizontal="center" vertical="center" wrapText="1"/>
    </xf>
    <xf numFmtId="0" fontId="0" fillId="2" borderId="0" xfId="0" applyFill="1" applyAlignment="1"/>
    <xf numFmtId="0" fontId="0" fillId="2" borderId="0" xfId="0" applyFont="1" applyFill="1" applyAlignment="1">
      <alignment horizontal="left"/>
    </xf>
    <xf numFmtId="0" fontId="10" fillId="0" borderId="2" xfId="0" applyFont="1" applyBorder="1" applyAlignment="1">
      <alignment horizontal="center" wrapText="1"/>
    </xf>
    <xf numFmtId="2" fontId="11" fillId="0" borderId="2" xfId="0" applyNumberFormat="1" applyFont="1" applyBorder="1" applyAlignment="1">
      <alignment horizontal="center" wrapText="1"/>
    </xf>
    <xf numFmtId="165" fontId="0" fillId="0" borderId="0" xfId="0" applyNumberFormat="1" applyAlignment="1">
      <alignment horizontal="right"/>
    </xf>
    <xf numFmtId="0" fontId="4" fillId="0" borderId="0" xfId="0" applyNumberFormat="1" applyFont="1" applyAlignment="1">
      <alignment horizontal="center" vertical="center" wrapText="1"/>
    </xf>
    <xf numFmtId="0" fontId="10" fillId="0" borderId="2" xfId="0" applyNumberFormat="1" applyFont="1" applyBorder="1" applyAlignment="1">
      <alignment horizontal="center" wrapText="1"/>
    </xf>
    <xf numFmtId="0" fontId="0" fillId="2" borderId="0" xfId="0" applyNumberFormat="1" applyFill="1" applyAlignment="1">
      <alignment horizontal="center"/>
    </xf>
    <xf numFmtId="0" fontId="0" fillId="4" borderId="0" xfId="0" applyNumberFormat="1" applyFill="1" applyAlignment="1">
      <alignment horizontal="center"/>
    </xf>
    <xf numFmtId="165" fontId="10" fillId="0" borderId="0" xfId="0" applyNumberFormat="1" applyFont="1" applyAlignment="1">
      <alignment horizontal="center" vertical="center" wrapText="1"/>
    </xf>
    <xf numFmtId="165" fontId="0" fillId="0" borderId="0" xfId="0" applyNumberFormat="1"/>
    <xf numFmtId="165" fontId="10" fillId="0" borderId="2" xfId="0" applyNumberFormat="1" applyFont="1" applyBorder="1" applyAlignment="1">
      <alignment horizontal="center" wrapText="1"/>
    </xf>
    <xf numFmtId="166" fontId="10" fillId="0" borderId="2" xfId="0" applyNumberFormat="1" applyFont="1" applyFill="1" applyBorder="1" applyAlignment="1">
      <alignment horizontal="center" wrapText="1"/>
    </xf>
    <xf numFmtId="166" fontId="0" fillId="0" borderId="0" xfId="0" applyNumberFormat="1"/>
    <xf numFmtId="2" fontId="0" fillId="0" borderId="0" xfId="0" applyNumberFormat="1" applyFill="1"/>
    <xf numFmtId="2" fontId="10" fillId="0" borderId="2" xfId="0" applyNumberFormat="1" applyFont="1" applyBorder="1" applyAlignment="1">
      <alignment horizontal="center" wrapText="1"/>
    </xf>
    <xf numFmtId="2" fontId="0" fillId="0" borderId="0" xfId="0" applyNumberFormat="1" applyFont="1" applyFill="1" applyAlignment="1">
      <alignment horizontal="right"/>
    </xf>
    <xf numFmtId="2" fontId="18" fillId="0" borderId="0" xfId="0" applyNumberFormat="1" applyFont="1" applyFill="1"/>
    <xf numFmtId="2" fontId="4" fillId="0" borderId="0" xfId="0" applyNumberFormat="1" applyFont="1" applyAlignment="1">
      <alignment horizontal="center" vertical="center" wrapText="1"/>
    </xf>
    <xf numFmtId="2" fontId="0" fillId="0" borderId="0" xfId="0" applyNumberFormat="1" applyFont="1" applyAlignment="1">
      <alignment horizontal="right"/>
    </xf>
    <xf numFmtId="167" fontId="0" fillId="0" borderId="0" xfId="0" applyNumberFormat="1" applyFill="1"/>
    <xf numFmtId="167" fontId="10" fillId="0" borderId="2" xfId="0" applyNumberFormat="1" applyFont="1" applyFill="1" applyBorder="1" applyAlignment="1">
      <alignment horizontal="center" wrapText="1"/>
    </xf>
    <xf numFmtId="167" fontId="0" fillId="0" borderId="0" xfId="0" applyNumberFormat="1" applyFont="1" applyFill="1" applyAlignment="1">
      <alignment horizontal="right"/>
    </xf>
    <xf numFmtId="0" fontId="10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0" fillId="0" borderId="0" xfId="0" applyAlignment="1">
      <alignment horizontal="center"/>
    </xf>
    <xf numFmtId="0" fontId="17" fillId="0" borderId="0" xfId="0" quotePrefix="1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0" fillId="2" borderId="0" xfId="0" applyFont="1" applyFill="1" applyAlignment="1">
      <alignment horizontal="center"/>
    </xf>
    <xf numFmtId="0" fontId="0" fillId="0" borderId="0" xfId="0" applyAlignment="1"/>
    <xf numFmtId="0" fontId="10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10" fillId="5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5" fillId="0" borderId="1" xfId="0" applyFont="1" applyBorder="1" applyAlignment="1">
      <alignment horizontal="center" vertical="center"/>
    </xf>
  </cellXfs>
  <cellStyles count="1">
    <cellStyle name="Normal" xfId="0" builtinId="0"/>
  </cellStyles>
  <dxfs count="11">
    <dxf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EB9C"/>
      <color rgb="FFFFC7CE"/>
      <color rgb="FFC6EF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0</xdr:row>
          <xdr:rowOff>38100</xdr:rowOff>
        </xdr:from>
        <xdr:to>
          <xdr:col>7</xdr:col>
          <xdr:colOff>161925</xdr:colOff>
          <xdr:row>0</xdr:row>
          <xdr:rowOff>276225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Actualizeaza Lista Loturi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38100</xdr:rowOff>
        </xdr:from>
        <xdr:to>
          <xdr:col>2</xdr:col>
          <xdr:colOff>0</xdr:colOff>
          <xdr:row>0</xdr:row>
          <xdr:rowOff>285750</xdr:rowOff>
        </xdr:to>
        <xdr:sp macro="" textlink="">
          <xdr:nvSpPr>
            <xdr:cNvPr id="2050" name="cbFileSelect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test_1" refreshOnLoad="1" connectionId="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R585"/>
  <sheetViews>
    <sheetView tabSelected="1" zoomScaleNormal="100" zoomScaleSheetLayoutView="130" workbookViewId="0">
      <selection activeCell="C1" sqref="C1"/>
    </sheetView>
  </sheetViews>
  <sheetFormatPr defaultRowHeight="15" x14ac:dyDescent="0.25"/>
  <cols>
    <col min="1" max="1" width="34.7109375" customWidth="1"/>
    <col min="2" max="2" width="58.140625" style="7" customWidth="1"/>
    <col min="3" max="3" width="3.140625" style="4" bestFit="1" customWidth="1"/>
    <col min="4" max="4" width="1.5703125" style="4" customWidth="1"/>
    <col min="5" max="5" width="6.42578125" style="7" customWidth="1"/>
    <col min="6" max="6" width="10" style="51" customWidth="1"/>
    <col min="7" max="7" width="10.140625" style="7" customWidth="1"/>
    <col min="8" max="8" width="14.7109375" style="3" customWidth="1"/>
    <col min="9" max="9" width="11" style="4" customWidth="1"/>
    <col min="10" max="10" width="10.85546875" style="7" customWidth="1"/>
    <col min="11" max="11" width="11.5703125" style="3" customWidth="1"/>
    <col min="12" max="12" width="6.42578125" customWidth="1"/>
    <col min="13" max="13" width="14.85546875" style="3" bestFit="1" customWidth="1"/>
    <col min="14" max="14" width="11.28515625" style="3" bestFit="1" customWidth="1"/>
    <col min="15" max="15" width="6.42578125" style="4" customWidth="1"/>
    <col min="16" max="16" width="14.85546875" style="61" bestFit="1" customWidth="1"/>
    <col min="17" max="17" width="16" style="67" bestFit="1" customWidth="1"/>
    <col min="18" max="18" width="12" style="60" bestFit="1" customWidth="1"/>
    <col min="19" max="19" width="3" bestFit="1" customWidth="1"/>
    <col min="20" max="20" width="8.5703125" bestFit="1" customWidth="1"/>
    <col min="21" max="21" width="10.5703125" bestFit="1" customWidth="1"/>
    <col min="22" max="22" width="9.5703125" bestFit="1" customWidth="1"/>
    <col min="23" max="23" width="11.42578125" customWidth="1"/>
  </cols>
  <sheetData>
    <row r="1" spans="1:18" ht="24" customHeight="1" x14ac:dyDescent="0.25"/>
    <row r="2" spans="1:18" ht="38.25" customHeight="1" x14ac:dyDescent="0.25">
      <c r="A2" s="73" t="str">
        <f>IF(AND(OR(ES1_Status = "Ok",ES1_Status = "ES2 Necesar"), ES2_Status &lt;&gt; "Not Ok", ES3_Status = "Ok"), "Lot Acceptat","Lot Respins")</f>
        <v>Lot Acceptat</v>
      </c>
      <c r="B2" s="74"/>
      <c r="C2" s="5"/>
      <c r="D2" s="5"/>
      <c r="E2" s="3"/>
      <c r="F2" s="56" t="s">
        <v>62</v>
      </c>
      <c r="G2" s="32" t="s">
        <v>44</v>
      </c>
      <c r="H2" s="32" t="s">
        <v>46</v>
      </c>
      <c r="I2" s="52" t="s">
        <v>45</v>
      </c>
      <c r="J2" s="65" t="s">
        <v>47</v>
      </c>
    </row>
    <row r="3" spans="1:18" x14ac:dyDescent="0.25">
      <c r="A3" s="2" t="s">
        <v>2</v>
      </c>
      <c r="B3" s="7" t="str">
        <f>RawData!E1</f>
        <v>MARGARINA FINEO GOLD - margarina pentru creme</v>
      </c>
      <c r="C3" s="3"/>
      <c r="D3" s="3"/>
      <c r="E3" s="3" t="s">
        <v>63</v>
      </c>
      <c r="F3" s="54">
        <f>IF(ML&lt;=100,ML,IF(ML&gt;3201,80, IF(ML&gt;=501,50, IF(ML&gt;100,30,ML))))</f>
        <v>30</v>
      </c>
      <c r="G3" s="34">
        <f>IF(ML=30,1, IF(ML=50,2, IF(ML=80,3,1)))</f>
        <v>1</v>
      </c>
      <c r="H3" s="37">
        <f>COUNTIF(K:K, "Not Ok")</f>
        <v>0</v>
      </c>
      <c r="I3" s="54">
        <f>IF(ML=30,3, IF(ML=50,5, IF(ML=80,7,3)))</f>
        <v>3</v>
      </c>
      <c r="J3" s="7" t="str">
        <f>IF(CA_1&gt;=RN_1,"Ok",IF(RN_1&gt;=CR_1,"Not Ok",IF(ES_1=ML,"Not Ok","ES2 Necesar")))</f>
        <v>Ok</v>
      </c>
    </row>
    <row r="4" spans="1:18" x14ac:dyDescent="0.25">
      <c r="A4" s="2" t="s">
        <v>1</v>
      </c>
      <c r="B4" s="22">
        <f>RawData!D1</f>
        <v>100303</v>
      </c>
      <c r="C4" s="3"/>
      <c r="D4" s="3"/>
      <c r="E4" s="3" t="s">
        <v>64</v>
      </c>
      <c r="F4" s="54">
        <v>0</v>
      </c>
      <c r="G4" s="35" t="str">
        <f>IF(ES1_Status="ES2 Necesar",IF(ML=30,4, IF(ML=50,6, IF(ML=80,8,4))),"")</f>
        <v/>
      </c>
      <c r="H4" s="38" t="str">
        <f>IF(ES1_Status="ES2 Necesar",COUNTIF(N:N, "Not Ok"),"")</f>
        <v/>
      </c>
      <c r="I4" s="55" t="str">
        <f>IF(ES1_Status="ES2 Necesar",IF(ML=30,5, IF(ML=50,7, IF(ML=80,9,5))),"")</f>
        <v/>
      </c>
      <c r="J4" s="7" t="str">
        <f>IF(ES1_Status="ES2 Necesar",IF(RN_1+RN_2&lt;=CA_2,"Ok","Not Ok"),"")</f>
        <v/>
      </c>
    </row>
    <row r="5" spans="1:18" x14ac:dyDescent="0.25">
      <c r="A5" s="2" t="s">
        <v>9</v>
      </c>
      <c r="B5" s="23">
        <f>RawData!I1</f>
        <v>43396</v>
      </c>
      <c r="E5" s="3" t="s">
        <v>65</v>
      </c>
      <c r="F5" s="54">
        <v>30</v>
      </c>
      <c r="G5" s="72"/>
      <c r="H5" s="72"/>
      <c r="I5" s="72"/>
      <c r="J5" s="7" t="str">
        <f>IF(Xi&gt;=QnES3 - 0.503 * s,"Ok","Not Ok")</f>
        <v>Ok</v>
      </c>
    </row>
    <row r="6" spans="1:18" x14ac:dyDescent="0.25">
      <c r="A6" s="2" t="s">
        <v>7</v>
      </c>
      <c r="B6" s="22">
        <v>167</v>
      </c>
      <c r="C6" s="3"/>
      <c r="D6" s="3"/>
      <c r="E6"/>
      <c r="F6" s="57"/>
      <c r="K6" s="39"/>
    </row>
    <row r="7" spans="1:18" x14ac:dyDescent="0.25">
      <c r="A7" s="2" t="s">
        <v>4</v>
      </c>
      <c r="B7" s="7" t="str">
        <f>IF(ISERROR(VALUE(RawData!G1)), LEFT(RawData!G1, FIND("Kg",RawData!G1)-1), RawData!G1)</f>
        <v>10</v>
      </c>
      <c r="C7" s="3" t="s">
        <v>0</v>
      </c>
      <c r="D7" s="3"/>
      <c r="E7"/>
      <c r="H7" s="1"/>
    </row>
    <row r="8" spans="1:18" x14ac:dyDescent="0.25">
      <c r="A8" s="2" t="s">
        <v>3</v>
      </c>
      <c r="B8" s="7" t="str">
        <f>RawData!F1</f>
        <v>Cutie Alba - 10 Kg</v>
      </c>
      <c r="C8" s="3"/>
      <c r="D8" s="3"/>
      <c r="E8"/>
      <c r="F8" s="57"/>
    </row>
    <row r="9" spans="1:18" x14ac:dyDescent="0.25">
      <c r="A9" t="s">
        <v>5</v>
      </c>
      <c r="B9" s="51" t="str">
        <f>IF(ISERROR(VALUE(RawData!H1)), LEFT(RawData!H1, FIND("Kg",RawData!H1)-1), RawData!H1)</f>
        <v>0.27</v>
      </c>
      <c r="C9" s="6" t="s">
        <v>0</v>
      </c>
      <c r="E9"/>
      <c r="F9" s="57"/>
    </row>
    <row r="10" spans="1:18" x14ac:dyDescent="0.25">
      <c r="A10" s="2" t="s">
        <v>6</v>
      </c>
      <c r="B10" s="51">
        <v>0.15</v>
      </c>
      <c r="C10" s="6" t="s">
        <v>0</v>
      </c>
      <c r="E10"/>
      <c r="F10" s="57"/>
    </row>
    <row r="11" spans="1:18" x14ac:dyDescent="0.25">
      <c r="A11" s="2" t="s">
        <v>8</v>
      </c>
      <c r="B11" s="51">
        <f>Qn-ENT</f>
        <v>9.85</v>
      </c>
      <c r="C11" s="6" t="s">
        <v>0</v>
      </c>
      <c r="D11" s="6"/>
      <c r="E11" s="75" t="s">
        <v>58</v>
      </c>
      <c r="F11" s="76"/>
      <c r="G11" s="76"/>
      <c r="H11" s="76"/>
      <c r="I11" s="77" t="s">
        <v>59</v>
      </c>
      <c r="J11" s="78"/>
      <c r="K11" s="78"/>
      <c r="L11" s="79" t="s">
        <v>60</v>
      </c>
      <c r="M11" s="80"/>
      <c r="N11" s="80"/>
      <c r="O11" s="70" t="s">
        <v>61</v>
      </c>
      <c r="P11" s="71"/>
      <c r="Q11" s="71"/>
      <c r="R11" s="71"/>
    </row>
    <row r="12" spans="1:18" ht="90" x14ac:dyDescent="0.25">
      <c r="E12" s="49" t="s">
        <v>48</v>
      </c>
      <c r="F12" s="58" t="s">
        <v>49</v>
      </c>
      <c r="G12" s="49" t="s">
        <v>50</v>
      </c>
      <c r="H12" s="50" t="s">
        <v>88</v>
      </c>
      <c r="I12" s="53" t="s">
        <v>48</v>
      </c>
      <c r="J12" s="50" t="s">
        <v>72</v>
      </c>
      <c r="K12" s="49" t="s">
        <v>52</v>
      </c>
      <c r="L12" s="49" t="s">
        <v>48</v>
      </c>
      <c r="M12" s="49" t="s">
        <v>71</v>
      </c>
      <c r="N12" s="49" t="s">
        <v>53</v>
      </c>
      <c r="O12" s="53" t="s">
        <v>48</v>
      </c>
      <c r="P12" s="62" t="s">
        <v>73</v>
      </c>
      <c r="Q12" s="68" t="s">
        <v>74</v>
      </c>
      <c r="R12" s="59" t="s">
        <v>75</v>
      </c>
    </row>
    <row r="13" spans="1:18" ht="15" customHeight="1" x14ac:dyDescent="0.25">
      <c r="A13" s="2" t="s">
        <v>85</v>
      </c>
      <c r="B13" s="7" t="str">
        <f>ES1_Status</f>
        <v>Ok</v>
      </c>
      <c r="E13">
        <v>1</v>
      </c>
      <c r="F13">
        <v>10.33</v>
      </c>
      <c r="G13" s="1">
        <v>0.23932870370370371</v>
      </c>
      <c r="H13" s="36" t="str">
        <f>IF(Qn-(F13-Ta)&gt;2*ENT,"Fara E","Ok")</f>
        <v>Ok</v>
      </c>
      <c r="I13" s="36">
        <f>E13</f>
        <v>1</v>
      </c>
      <c r="J13" s="66">
        <f>F13-Ta</f>
        <v>10.06</v>
      </c>
      <c r="K13" s="36" t="str">
        <f>IF(J13&gt;=CMA,"Ok","Not Ok")</f>
        <v>Ok</v>
      </c>
      <c r="L13" s="36"/>
      <c r="M13" s="36"/>
      <c r="N13" s="36"/>
      <c r="O13" s="36">
        <f>E17</f>
        <v>5</v>
      </c>
      <c r="P13" s="63">
        <f>F17-Ta</f>
        <v>10.02</v>
      </c>
      <c r="Q13" s="69">
        <f>P13-Xi</f>
        <v>6.6666666666570507E-4</v>
      </c>
      <c r="R13" s="60">
        <f>POWER(Q13,2)</f>
        <v>4.4444444444316229E-7</v>
      </c>
    </row>
    <row r="14" spans="1:18" ht="14.25" customHeight="1" x14ac:dyDescent="0.25">
      <c r="A14" s="2" t="s">
        <v>86</v>
      </c>
      <c r="B14" s="7" t="str">
        <f>ES2_Status</f>
        <v/>
      </c>
      <c r="E14">
        <v>2</v>
      </c>
      <c r="F14">
        <v>10.309999999999999</v>
      </c>
      <c r="G14" s="1">
        <v>0.23984953703703704</v>
      </c>
      <c r="H14" s="36" t="str">
        <f>IF(Qn-(F14-Ta)&gt;2*ENT,"Fara E","Ok")</f>
        <v>Ok</v>
      </c>
      <c r="I14" s="36">
        <f>E19</f>
        <v>7</v>
      </c>
      <c r="J14" s="66">
        <f>F19-Ta</f>
        <v>10.039999999999999</v>
      </c>
      <c r="K14" s="36" t="str">
        <f>IF(J14&gt;=CMA,"Ok","Not Ok")</f>
        <v>Ok</v>
      </c>
      <c r="L14" s="36"/>
      <c r="M14" s="36"/>
      <c r="N14" s="36"/>
      <c r="O14" s="36">
        <f>E20</f>
        <v>8</v>
      </c>
      <c r="P14" s="63">
        <f>F20-Ta</f>
        <v>10.06</v>
      </c>
      <c r="Q14" s="69">
        <f>P14-Xi</f>
        <v>4.0666666666666629E-2</v>
      </c>
      <c r="R14" s="60">
        <f>POWER(Q14,2)</f>
        <v>1.6537777777777746E-3</v>
      </c>
    </row>
    <row r="15" spans="1:18" x14ac:dyDescent="0.25">
      <c r="A15" s="2" t="s">
        <v>87</v>
      </c>
      <c r="B15" s="7" t="str">
        <f>ES3_Status</f>
        <v>Ok</v>
      </c>
      <c r="E15">
        <v>3</v>
      </c>
      <c r="F15">
        <v>10.309999999999999</v>
      </c>
      <c r="G15" s="1">
        <v>0.24035879629629631</v>
      </c>
      <c r="H15" s="36" t="str">
        <f>IF(Qn-(F15-Ta)&gt;2*ENT,"Fara E","Ok")</f>
        <v>Ok</v>
      </c>
      <c r="I15" s="36">
        <f>E20</f>
        <v>8</v>
      </c>
      <c r="J15" s="66">
        <f>F20-Ta</f>
        <v>10.06</v>
      </c>
      <c r="K15" s="36" t="str">
        <f>IF(J15&gt;=CMA,"Ok","Not Ok")</f>
        <v>Ok</v>
      </c>
      <c r="L15" s="36"/>
      <c r="M15" s="36"/>
      <c r="N15" s="36"/>
      <c r="O15" s="36">
        <f>E21</f>
        <v>9</v>
      </c>
      <c r="P15" s="63">
        <f>F21-Ta</f>
        <v>10.02</v>
      </c>
      <c r="Q15" s="69">
        <f>P15-Xi</f>
        <v>6.6666666666570507E-4</v>
      </c>
      <c r="R15" s="60">
        <f>POWER(Q15,2)</f>
        <v>4.4444444444316229E-7</v>
      </c>
    </row>
    <row r="16" spans="1:18" ht="14.25" customHeight="1" x14ac:dyDescent="0.25">
      <c r="E16">
        <v>4</v>
      </c>
      <c r="F16">
        <v>10.309999999999999</v>
      </c>
      <c r="G16" s="1">
        <v>0.24077546296296296</v>
      </c>
      <c r="H16" s="36" t="str">
        <f>IF(Qn-(F16-Ta)&gt;2*ENT,"Fara E","Ok")</f>
        <v>Ok</v>
      </c>
      <c r="I16" s="36">
        <f>E24</f>
        <v>12</v>
      </c>
      <c r="J16" s="66">
        <f>F24-Ta</f>
        <v>10.02</v>
      </c>
      <c r="K16" s="36" t="str">
        <f>IF(J16&gt;=CMA,"Ok","Not Ok")</f>
        <v>Ok</v>
      </c>
      <c r="L16" s="36"/>
      <c r="M16" s="36"/>
      <c r="N16" s="36"/>
      <c r="O16" s="36">
        <f>E29</f>
        <v>17</v>
      </c>
      <c r="P16" s="63">
        <f>F29-Ta</f>
        <v>10</v>
      </c>
      <c r="Q16" s="69">
        <f>P16-Xi</f>
        <v>-1.9333333333333869E-2</v>
      </c>
      <c r="R16" s="60">
        <f>POWER(Q16,2)</f>
        <v>3.7377777777779849E-4</v>
      </c>
    </row>
    <row r="17" spans="1:18" x14ac:dyDescent="0.25">
      <c r="E17">
        <v>5</v>
      </c>
      <c r="F17">
        <v>10.29</v>
      </c>
      <c r="G17" s="1">
        <v>0.24106481481481482</v>
      </c>
      <c r="H17" s="36" t="str">
        <f>IF(Qn-(F17-Ta)&gt;2*ENT,"Fara E","Ok")</f>
        <v>Ok</v>
      </c>
      <c r="I17" s="36">
        <f>E26</f>
        <v>14</v>
      </c>
      <c r="J17" s="66">
        <f>F26-Ta</f>
        <v>10.039999999999999</v>
      </c>
      <c r="K17" s="36" t="str">
        <f>IF(J17&gt;=CMA,"Ok","Not Ok")</f>
        <v>Ok</v>
      </c>
      <c r="L17" s="36"/>
      <c r="M17" s="36"/>
      <c r="N17" s="36"/>
      <c r="O17" s="36">
        <f>E30</f>
        <v>18</v>
      </c>
      <c r="P17" s="63">
        <f>F30-Ta</f>
        <v>10.02</v>
      </c>
      <c r="Q17" s="69">
        <f>P17-Xi</f>
        <v>6.6666666666570507E-4</v>
      </c>
      <c r="R17" s="60">
        <f>POWER(Q17,2)</f>
        <v>4.4444444444316229E-7</v>
      </c>
    </row>
    <row r="18" spans="1:18" ht="15" customHeight="1" x14ac:dyDescent="0.25">
      <c r="A18" s="40" t="s">
        <v>66</v>
      </c>
      <c r="B18" s="41"/>
      <c r="E18">
        <v>6</v>
      </c>
      <c r="F18">
        <v>10.29</v>
      </c>
      <c r="G18" s="1">
        <v>0.2414699074074074</v>
      </c>
      <c r="H18" s="3" t="str">
        <f>IF(Qn-(F18-Ta)&gt;2*ENT,"Fara E","Ok")</f>
        <v>Ok</v>
      </c>
      <c r="I18" s="4">
        <f>E41</f>
        <v>29</v>
      </c>
      <c r="J18" s="7">
        <f>F41-Ta</f>
        <v>10</v>
      </c>
      <c r="K18" s="3" t="str">
        <f>IF(J18&gt;=CMA,"Ok","Not Ok")</f>
        <v>Ok</v>
      </c>
      <c r="O18" s="4">
        <f>E37</f>
        <v>25</v>
      </c>
      <c r="P18" s="61">
        <f>F37-Ta</f>
        <v>10.02</v>
      </c>
      <c r="Q18" s="67">
        <f>P18-Xi</f>
        <v>6.6666666666570507E-4</v>
      </c>
      <c r="R18" s="60">
        <f>POWER(Q18,2)</f>
        <v>4.4444444444316229E-7</v>
      </c>
    </row>
    <row r="19" spans="1:18" x14ac:dyDescent="0.25">
      <c r="A19" s="47" t="s">
        <v>34</v>
      </c>
      <c r="B19" s="30">
        <f>AVERAGE(P13:P43)</f>
        <v>10.019333333333334</v>
      </c>
      <c r="E19">
        <v>7</v>
      </c>
      <c r="F19">
        <v>10.309999999999999</v>
      </c>
      <c r="G19" s="1">
        <v>0.24184027777777781</v>
      </c>
      <c r="H19" s="3" t="str">
        <f>IF(Qn-(F19-Ta)&gt;2*ENT,"Fara E","Ok")</f>
        <v>Ok</v>
      </c>
      <c r="I19" s="4">
        <f>E42</f>
        <v>30</v>
      </c>
      <c r="J19" s="7">
        <f>F42-Ta</f>
        <v>10.039999999999999</v>
      </c>
      <c r="K19" s="3" t="str">
        <f>IF(J19&gt;=CMA,"Ok","Not Ok")</f>
        <v>Ok</v>
      </c>
      <c r="O19" s="4">
        <f>E45</f>
        <v>33</v>
      </c>
      <c r="P19" s="64">
        <f>F45-Ta</f>
        <v>10.039999999999999</v>
      </c>
      <c r="Q19" s="67">
        <f>P19-Xi</f>
        <v>2.0666666666665279E-2</v>
      </c>
      <c r="R19" s="60">
        <f>POWER(Q19,2)</f>
        <v>4.2711111111105372E-4</v>
      </c>
    </row>
    <row r="20" spans="1:18" ht="17.25" x14ac:dyDescent="0.25">
      <c r="A20" s="48" t="s">
        <v>36</v>
      </c>
      <c r="B20" s="30">
        <f>SUM(R13,R42)</f>
        <v>8.8888888888632459E-7</v>
      </c>
      <c r="E20">
        <v>8</v>
      </c>
      <c r="F20">
        <v>10.33</v>
      </c>
      <c r="G20" s="1">
        <v>0.24223379629629629</v>
      </c>
      <c r="H20" s="3" t="str">
        <f>IF(Qn-(F20-Ta)&gt;2*ENT,"Fara E","Ok")</f>
        <v>Ok</v>
      </c>
      <c r="I20" s="4">
        <f>E43</f>
        <v>31</v>
      </c>
      <c r="J20" s="7">
        <f>F43-Ta</f>
        <v>10.039999999999999</v>
      </c>
      <c r="K20" s="3" t="str">
        <f>IF(J20&gt;=CMA,"Ok","Not Ok")</f>
        <v>Ok</v>
      </c>
      <c r="O20" s="4">
        <f>E51</f>
        <v>39</v>
      </c>
      <c r="P20" s="61">
        <f>F51-Ta</f>
        <v>10.02</v>
      </c>
      <c r="Q20" s="67">
        <f>P20-Xi</f>
        <v>6.6666666666570507E-4</v>
      </c>
      <c r="R20" s="60">
        <f>POWER(Q20,2)</f>
        <v>4.4444444444316229E-7</v>
      </c>
    </row>
    <row r="21" spans="1:18" x14ac:dyDescent="0.25">
      <c r="A21" s="31" t="s">
        <v>35</v>
      </c>
      <c r="B21" s="30">
        <f>SQRT(SumOfSquares/(ES_3-1))</f>
        <v>1.7507524381271087E-4</v>
      </c>
      <c r="E21">
        <v>9</v>
      </c>
      <c r="F21">
        <v>10.29</v>
      </c>
      <c r="G21" s="1">
        <v>0.24266203703703704</v>
      </c>
      <c r="H21" s="3" t="str">
        <f>IF(Qn-(F21-Ta)&gt;2*ENT,"Fara E","Ok")</f>
        <v>Ok</v>
      </c>
      <c r="I21" s="4">
        <f>E54</f>
        <v>42</v>
      </c>
      <c r="J21" s="7">
        <f>F54-Ta</f>
        <v>9.98</v>
      </c>
      <c r="K21" s="3" t="str">
        <f>IF(J21&gt;=CMA,"Ok","Not Ok")</f>
        <v>Ok</v>
      </c>
      <c r="O21" s="4">
        <f>E61</f>
        <v>49</v>
      </c>
      <c r="P21" s="61">
        <f>F61-Ta</f>
        <v>10.02</v>
      </c>
      <c r="Q21" s="67">
        <f>P21-Xi</f>
        <v>6.6666666666570507E-4</v>
      </c>
      <c r="R21" s="60">
        <f>POWER(Q21,2)</f>
        <v>4.4444444444316229E-7</v>
      </c>
    </row>
    <row r="22" spans="1:18" x14ac:dyDescent="0.25">
      <c r="A22" s="47" t="s">
        <v>54</v>
      </c>
      <c r="B22" s="30">
        <f>s/SQRT(ES_3)*0.995</f>
        <v>3.1804398998484604E-5</v>
      </c>
      <c r="E22">
        <v>10</v>
      </c>
      <c r="F22">
        <v>10.309999999999999</v>
      </c>
      <c r="G22" s="1">
        <v>0.24306712962962962</v>
      </c>
      <c r="H22" s="3" t="str">
        <f>IF(Qn-(F22-Ta)&gt;2*ENT,"Fara E","Ok")</f>
        <v>Ok</v>
      </c>
      <c r="I22" s="4">
        <f>E55</f>
        <v>43</v>
      </c>
      <c r="J22" s="7">
        <f>F55-Ta</f>
        <v>10.039999999999999</v>
      </c>
      <c r="K22" s="3" t="str">
        <f>IF(J22&gt;=CMA,"Ok","Not Ok")</f>
        <v>Ok</v>
      </c>
      <c r="O22" s="4">
        <f>E73</f>
        <v>61</v>
      </c>
      <c r="P22" s="61">
        <f>F73-Ta</f>
        <v>9.98</v>
      </c>
      <c r="Q22" s="67">
        <f>P22-Xi</f>
        <v>-3.9333333333333442E-2</v>
      </c>
      <c r="R22" s="60">
        <f>POWER(Q22,2)</f>
        <v>1.5471111111111198E-3</v>
      </c>
    </row>
    <row r="23" spans="1:18" x14ac:dyDescent="0.25">
      <c r="A23" s="2"/>
      <c r="E23">
        <v>11</v>
      </c>
      <c r="F23">
        <v>10.27</v>
      </c>
      <c r="G23" s="1">
        <v>0.24349537037037039</v>
      </c>
      <c r="H23" s="3" t="str">
        <f>IF(Qn-(F23-Ta)&gt;2*ENT,"Fara E","Ok")</f>
        <v>Ok</v>
      </c>
      <c r="I23" s="4">
        <f>E59</f>
        <v>47</v>
      </c>
      <c r="J23" s="7">
        <f>F59-Ta</f>
        <v>10.02</v>
      </c>
      <c r="K23" s="3" t="str">
        <f>IF(J23&gt;=CMA,"Ok","Not Ok")</f>
        <v>Ok</v>
      </c>
      <c r="O23" s="4">
        <f>E80</f>
        <v>68</v>
      </c>
      <c r="P23" s="61">
        <f>F80-Ta</f>
        <v>10.02</v>
      </c>
      <c r="Q23" s="67">
        <f>P23-Xi</f>
        <v>6.6666666666570507E-4</v>
      </c>
      <c r="R23" s="60">
        <f>POWER(Q23,2)</f>
        <v>4.4444444444316229E-7</v>
      </c>
    </row>
    <row r="24" spans="1:18" x14ac:dyDescent="0.25">
      <c r="E24">
        <v>12</v>
      </c>
      <c r="F24">
        <v>10.29</v>
      </c>
      <c r="G24" s="1">
        <v>0.24388888888888891</v>
      </c>
      <c r="H24" s="3" t="str">
        <f>IF(Qn-(F24-Ta)&gt;2*ENT,"Fara E","Ok")</f>
        <v>Ok</v>
      </c>
      <c r="I24" s="4">
        <f>E65</f>
        <v>53</v>
      </c>
      <c r="J24" s="7">
        <f>F65-Ta</f>
        <v>9.98</v>
      </c>
      <c r="K24" s="3" t="str">
        <f>IF(J24&gt;=CMA,"Ok","Not Ok")</f>
        <v>Ok</v>
      </c>
      <c r="O24" s="4">
        <f>E113</f>
        <v>101</v>
      </c>
      <c r="P24" s="61">
        <f>F113-Ta</f>
        <v>10.02</v>
      </c>
      <c r="Q24" s="67">
        <f>P24-Xi</f>
        <v>6.6666666666570507E-4</v>
      </c>
      <c r="R24" s="60">
        <f>POWER(Q24,2)</f>
        <v>4.4444444444316229E-7</v>
      </c>
    </row>
    <row r="25" spans="1:18" x14ac:dyDescent="0.25">
      <c r="E25">
        <v>13</v>
      </c>
      <c r="F25">
        <v>10.29</v>
      </c>
      <c r="G25" s="1">
        <v>0.24429398148148149</v>
      </c>
      <c r="H25" s="3" t="str">
        <f>IF(Qn-(F25-Ta)&gt;2*ENT,"Fara E","Ok")</f>
        <v>Ok</v>
      </c>
      <c r="I25" s="4">
        <f>E68</f>
        <v>56</v>
      </c>
      <c r="J25" s="7">
        <f>F68-Ta</f>
        <v>10.02</v>
      </c>
      <c r="K25" s="3" t="str">
        <f>IF(J25&gt;=CMA,"Ok","Not Ok")</f>
        <v>Ok</v>
      </c>
      <c r="O25" s="4">
        <f>E114</f>
        <v>102</v>
      </c>
      <c r="P25" s="61">
        <f>F114-Ta</f>
        <v>10</v>
      </c>
      <c r="Q25" s="67">
        <f>P25-Xi</f>
        <v>-1.9333333333333869E-2</v>
      </c>
      <c r="R25" s="60">
        <f>POWER(Q25,2)</f>
        <v>3.7377777777779849E-4</v>
      </c>
    </row>
    <row r="26" spans="1:18" x14ac:dyDescent="0.25">
      <c r="E26">
        <v>14</v>
      </c>
      <c r="F26">
        <v>10.309999999999999</v>
      </c>
      <c r="G26" s="1">
        <v>0.24467592592592591</v>
      </c>
      <c r="H26" s="3" t="str">
        <f>IF(Qn-(F26-Ta)&gt;2*ENT,"Fara E","Ok")</f>
        <v>Ok</v>
      </c>
      <c r="I26" s="4">
        <f>E76</f>
        <v>64</v>
      </c>
      <c r="J26" s="7">
        <f>F76-Ta</f>
        <v>10</v>
      </c>
      <c r="K26" s="3" t="str">
        <f>IF(J26&gt;=CMA,"Ok","Not Ok")</f>
        <v>Ok</v>
      </c>
      <c r="O26" s="4">
        <f>E120</f>
        <v>108</v>
      </c>
      <c r="P26" s="61">
        <f>F120-Ta</f>
        <v>10.02</v>
      </c>
      <c r="Q26" s="67">
        <f>P26-Xi</f>
        <v>6.6666666666570507E-4</v>
      </c>
      <c r="R26" s="60">
        <f>POWER(Q26,2)</f>
        <v>4.4444444444316229E-7</v>
      </c>
    </row>
    <row r="27" spans="1:18" x14ac:dyDescent="0.25">
      <c r="E27">
        <v>15</v>
      </c>
      <c r="F27">
        <v>10.29</v>
      </c>
      <c r="G27" s="1">
        <v>0.24506944444444445</v>
      </c>
      <c r="H27" s="3" t="str">
        <f>IF(Qn-(F27-Ta)&gt;2*ENT,"Fara E","Ok")</f>
        <v>Ok</v>
      </c>
      <c r="I27" s="4">
        <f>E100</f>
        <v>88</v>
      </c>
      <c r="J27" s="7">
        <f>F100-Ta</f>
        <v>10.02</v>
      </c>
      <c r="K27" s="3" t="str">
        <f>IF(J27&gt;=CMA,"Ok","Not Ok")</f>
        <v>Ok</v>
      </c>
      <c r="O27" s="4">
        <f>E125</f>
        <v>113</v>
      </c>
      <c r="P27" s="61">
        <f>F125-Ta</f>
        <v>10.02</v>
      </c>
      <c r="Q27" s="67">
        <f>P27-Xi</f>
        <v>6.6666666666570507E-4</v>
      </c>
      <c r="R27" s="60">
        <f>POWER(Q27,2)</f>
        <v>4.4444444444316229E-7</v>
      </c>
    </row>
    <row r="28" spans="1:18" x14ac:dyDescent="0.25">
      <c r="E28">
        <v>16</v>
      </c>
      <c r="F28">
        <v>10.29</v>
      </c>
      <c r="G28" s="1">
        <v>0.24545138888888887</v>
      </c>
      <c r="H28" s="3" t="str">
        <f>IF(Qn-(F28-Ta)&gt;2*ENT,"Fara E","Ok")</f>
        <v>Ok</v>
      </c>
      <c r="I28" s="4">
        <f>E101</f>
        <v>89</v>
      </c>
      <c r="J28" s="7">
        <f>F101-Ta</f>
        <v>10.039999999999999</v>
      </c>
      <c r="K28" s="3" t="str">
        <f>IF(J28&gt;=CMA,"Ok","Not Ok")</f>
        <v>Ok</v>
      </c>
      <c r="O28" s="4">
        <f>E127</f>
        <v>115</v>
      </c>
      <c r="P28" s="61">
        <f>F127-Ta</f>
        <v>10.039999999999999</v>
      </c>
      <c r="Q28" s="67">
        <f>P28-Xi</f>
        <v>2.0666666666665279E-2</v>
      </c>
      <c r="R28" s="60">
        <f>POWER(Q28,2)</f>
        <v>4.2711111111105372E-4</v>
      </c>
    </row>
    <row r="29" spans="1:18" x14ac:dyDescent="0.25">
      <c r="E29">
        <v>17</v>
      </c>
      <c r="F29">
        <v>10.27</v>
      </c>
      <c r="G29" s="1">
        <v>0.24585648148148151</v>
      </c>
      <c r="H29" s="3" t="str">
        <f>IF(Qn-(F29-Ta)&gt;2*ENT,"Fara E","Ok")</f>
        <v>Ok</v>
      </c>
      <c r="I29" s="4">
        <f>E110</f>
        <v>98</v>
      </c>
      <c r="J29" s="7">
        <f>F110-Ta</f>
        <v>10.02</v>
      </c>
      <c r="K29" s="3" t="str">
        <f>IF(J29&gt;=CMA,"Ok","Not Ok")</f>
        <v>Ok</v>
      </c>
      <c r="O29" s="4">
        <f>E129</f>
        <v>117</v>
      </c>
      <c r="P29" s="61">
        <f>F129-Ta</f>
        <v>10.02</v>
      </c>
      <c r="Q29" s="67">
        <f>P29-Xi</f>
        <v>6.6666666666570507E-4</v>
      </c>
      <c r="R29" s="60">
        <f>POWER(Q29,2)</f>
        <v>4.4444444444316229E-7</v>
      </c>
    </row>
    <row r="30" spans="1:18" x14ac:dyDescent="0.25">
      <c r="E30">
        <v>18</v>
      </c>
      <c r="F30">
        <v>10.29</v>
      </c>
      <c r="G30" s="1">
        <v>0.24628472222222222</v>
      </c>
      <c r="H30" s="3" t="str">
        <f>IF(Qn-(F30-Ta)&gt;2*ENT,"Fara E","Ok")</f>
        <v>Ok</v>
      </c>
      <c r="I30" s="4">
        <f>E111</f>
        <v>99</v>
      </c>
      <c r="J30" s="7">
        <f>F111-Ta</f>
        <v>10</v>
      </c>
      <c r="K30" s="3" t="str">
        <f>IF(J30&gt;=CMA,"Ok","Not Ok")</f>
        <v>Ok</v>
      </c>
      <c r="O30" s="4">
        <f>E131</f>
        <v>119</v>
      </c>
      <c r="P30" s="61">
        <f>F131-Ta</f>
        <v>10.02</v>
      </c>
      <c r="Q30" s="67">
        <f>P30-Xi</f>
        <v>6.6666666666570507E-4</v>
      </c>
      <c r="R30" s="60">
        <f>POWER(Q30,2)</f>
        <v>4.4444444444316229E-7</v>
      </c>
    </row>
    <row r="31" spans="1:18" x14ac:dyDescent="0.25">
      <c r="E31">
        <v>19</v>
      </c>
      <c r="F31">
        <v>10.29</v>
      </c>
      <c r="G31" s="1">
        <v>0.24672453703703703</v>
      </c>
      <c r="H31" s="3" t="str">
        <f>IF(Qn-(F31-Ta)&gt;2*ENT,"Fara E","Ok")</f>
        <v>Ok</v>
      </c>
      <c r="I31" s="4">
        <f>E115</f>
        <v>103</v>
      </c>
      <c r="J31" s="7">
        <f>F115-Ta</f>
        <v>10.02</v>
      </c>
      <c r="K31" s="3" t="str">
        <f>IF(J31&gt;=CMA,"Ok","Not Ok")</f>
        <v>Ok</v>
      </c>
      <c r="O31" s="4">
        <f>E136</f>
        <v>124</v>
      </c>
      <c r="P31" s="61">
        <f>F136-Ta</f>
        <v>10.02</v>
      </c>
      <c r="Q31" s="67">
        <f>P31-Xi</f>
        <v>6.6666666666570507E-4</v>
      </c>
      <c r="R31" s="60">
        <f>POWER(Q31,2)</f>
        <v>4.4444444444316229E-7</v>
      </c>
    </row>
    <row r="32" spans="1:18" x14ac:dyDescent="0.25">
      <c r="E32">
        <v>20</v>
      </c>
      <c r="F32">
        <v>10.309999999999999</v>
      </c>
      <c r="G32" s="1">
        <v>0.24712962962962962</v>
      </c>
      <c r="H32" s="3" t="str">
        <f>IF(Qn-(F32-Ta)&gt;2*ENT,"Fara E","Ok")</f>
        <v>Ok</v>
      </c>
      <c r="I32" s="4">
        <f>E116</f>
        <v>104</v>
      </c>
      <c r="J32" s="7">
        <f>F116-Ta</f>
        <v>10</v>
      </c>
      <c r="K32" s="3" t="str">
        <f>IF(J32&gt;=CMA,"Ok","Not Ok")</f>
        <v>Ok</v>
      </c>
      <c r="O32" s="4">
        <f>E137</f>
        <v>125</v>
      </c>
      <c r="P32" s="61">
        <f>F137-Ta</f>
        <v>9.98</v>
      </c>
      <c r="Q32" s="67">
        <f>P32-Xi</f>
        <v>-3.9333333333333442E-2</v>
      </c>
      <c r="R32" s="60">
        <f>POWER(Q32,2)</f>
        <v>1.5471111111111198E-3</v>
      </c>
    </row>
    <row r="33" spans="5:18" x14ac:dyDescent="0.25">
      <c r="E33">
        <v>21</v>
      </c>
      <c r="F33">
        <v>10.309999999999999</v>
      </c>
      <c r="G33" s="1">
        <v>0.24762731481481481</v>
      </c>
      <c r="H33" s="3" t="str">
        <f>IF(Qn-(F33-Ta)&gt;2*ENT,"Fara E","Ok")</f>
        <v>Ok</v>
      </c>
      <c r="I33" s="4">
        <f>E122</f>
        <v>110</v>
      </c>
      <c r="J33" s="7">
        <f>F122-Ta</f>
        <v>10.02</v>
      </c>
      <c r="K33" s="3" t="str">
        <f>IF(J33&gt;=CMA,"Ok","Not Ok")</f>
        <v>Ok</v>
      </c>
      <c r="O33" s="4">
        <f>E138</f>
        <v>126</v>
      </c>
      <c r="P33" s="61">
        <f>F138-Ta</f>
        <v>10.02</v>
      </c>
      <c r="Q33" s="67">
        <f>P33-Xi</f>
        <v>6.6666666666570507E-4</v>
      </c>
      <c r="R33" s="60">
        <f>POWER(Q33,2)</f>
        <v>4.4444444444316229E-7</v>
      </c>
    </row>
    <row r="34" spans="5:18" x14ac:dyDescent="0.25">
      <c r="E34">
        <v>22</v>
      </c>
      <c r="F34">
        <v>10.309999999999999</v>
      </c>
      <c r="G34" s="1">
        <v>0.24800925925925923</v>
      </c>
      <c r="H34" s="3" t="str">
        <f>IF(Qn-(F34-Ta)&gt;2*ENT,"Fara E","Ok")</f>
        <v>Ok</v>
      </c>
      <c r="I34" s="4">
        <f>E130</f>
        <v>118</v>
      </c>
      <c r="J34" s="7">
        <f>F130-Ta</f>
        <v>10.039999999999999</v>
      </c>
      <c r="K34" s="3" t="str">
        <f>IF(J34&gt;=CMA,"Ok","Not Ok")</f>
        <v>Ok</v>
      </c>
      <c r="O34" s="4">
        <f>E140</f>
        <v>128</v>
      </c>
      <c r="P34" s="61">
        <f>F140-Ta</f>
        <v>10.02</v>
      </c>
      <c r="Q34" s="67">
        <f>P34-Xi</f>
        <v>6.6666666666570507E-4</v>
      </c>
      <c r="R34" s="60">
        <f>POWER(Q34,2)</f>
        <v>4.4444444444316229E-7</v>
      </c>
    </row>
    <row r="35" spans="5:18" x14ac:dyDescent="0.25">
      <c r="E35">
        <v>23</v>
      </c>
      <c r="F35">
        <v>10.29</v>
      </c>
      <c r="G35" s="1">
        <v>0.2487384259259259</v>
      </c>
      <c r="H35" s="3" t="str">
        <f>IF(Qn-(F35-Ta)&gt;2*ENT,"Fara E","Ok")</f>
        <v>Ok</v>
      </c>
      <c r="I35" s="4">
        <f>E138</f>
        <v>126</v>
      </c>
      <c r="J35" s="7">
        <f>F138-Ta</f>
        <v>10.02</v>
      </c>
      <c r="K35" s="3" t="str">
        <f>IF(J35&gt;=CMA,"Ok","Not Ok")</f>
        <v>Ok</v>
      </c>
      <c r="O35" s="4">
        <f>E144</f>
        <v>132</v>
      </c>
      <c r="P35" s="61">
        <f>F144-Ta</f>
        <v>10.039999999999999</v>
      </c>
      <c r="Q35" s="67">
        <f>P35-Xi</f>
        <v>2.0666666666665279E-2</v>
      </c>
      <c r="R35" s="60">
        <f>POWER(Q35,2)</f>
        <v>4.2711111111105372E-4</v>
      </c>
    </row>
    <row r="36" spans="5:18" x14ac:dyDescent="0.25">
      <c r="E36">
        <v>24</v>
      </c>
      <c r="F36">
        <v>10.309999999999999</v>
      </c>
      <c r="G36" s="1">
        <v>0.24913194444444445</v>
      </c>
      <c r="H36" s="3" t="str">
        <f>IF(Qn-(F36-Ta)&gt;2*ENT,"Fara E","Ok")</f>
        <v>Ok</v>
      </c>
      <c r="I36" s="4">
        <f>E141</f>
        <v>129</v>
      </c>
      <c r="J36" s="7">
        <f>F141-Ta</f>
        <v>10.02</v>
      </c>
      <c r="K36" s="3" t="str">
        <f>IF(J36&gt;=CMA,"Ok","Not Ok")</f>
        <v>Ok</v>
      </c>
      <c r="O36" s="4">
        <f>E149</f>
        <v>137</v>
      </c>
      <c r="P36" s="61">
        <f>F149-Ta</f>
        <v>9.98</v>
      </c>
      <c r="Q36" s="67">
        <f>P36-Xi</f>
        <v>-3.9333333333333442E-2</v>
      </c>
      <c r="R36" s="60">
        <f>POWER(Q36,2)</f>
        <v>1.5471111111111198E-3</v>
      </c>
    </row>
    <row r="37" spans="5:18" x14ac:dyDescent="0.25">
      <c r="E37">
        <v>25</v>
      </c>
      <c r="F37">
        <v>10.29</v>
      </c>
      <c r="G37" s="1">
        <v>0.24953703703703703</v>
      </c>
      <c r="H37" s="3" t="str">
        <f>IF(Qn-(F37-Ta)&gt;2*ENT,"Fara E","Ok")</f>
        <v>Ok</v>
      </c>
      <c r="I37" s="4">
        <f>E142</f>
        <v>130</v>
      </c>
      <c r="J37" s="7">
        <f>F142-Ta</f>
        <v>10.039999999999999</v>
      </c>
      <c r="K37" s="3" t="str">
        <f>IF(J37&gt;=CMA,"Ok","Not Ok")</f>
        <v>Ok</v>
      </c>
      <c r="O37" s="4">
        <f>E153</f>
        <v>141</v>
      </c>
      <c r="P37" s="61">
        <f>F153-Ta</f>
        <v>10.02</v>
      </c>
      <c r="Q37" s="67">
        <f>P37-Xi</f>
        <v>6.6666666666570507E-4</v>
      </c>
      <c r="R37" s="60">
        <f>POWER(Q37,2)</f>
        <v>4.4444444444316229E-7</v>
      </c>
    </row>
    <row r="38" spans="5:18" x14ac:dyDescent="0.25">
      <c r="E38">
        <v>26</v>
      </c>
      <c r="F38">
        <v>10.309999999999999</v>
      </c>
      <c r="G38" s="1">
        <v>0.25003472222222223</v>
      </c>
      <c r="H38" s="3" t="str">
        <f>IF(Qn-(F38-Ta)&gt;2*ENT,"Fara E","Ok")</f>
        <v>Ok</v>
      </c>
      <c r="I38" s="4">
        <f>E144</f>
        <v>132</v>
      </c>
      <c r="J38" s="7">
        <f>F144-Ta</f>
        <v>10.039999999999999</v>
      </c>
      <c r="K38" s="3" t="str">
        <f>IF(J38&gt;=CMA,"Ok","Not Ok")</f>
        <v>Ok</v>
      </c>
      <c r="O38" s="4">
        <f>E159</f>
        <v>147</v>
      </c>
      <c r="P38" s="61">
        <f>F159-Ta</f>
        <v>10.039999999999999</v>
      </c>
      <c r="Q38" s="67">
        <f>P38-Xi</f>
        <v>2.0666666666665279E-2</v>
      </c>
      <c r="R38" s="60">
        <f>POWER(Q38,2)</f>
        <v>4.2711111111105372E-4</v>
      </c>
    </row>
    <row r="39" spans="5:18" x14ac:dyDescent="0.25">
      <c r="E39">
        <v>27</v>
      </c>
      <c r="F39">
        <v>10.29</v>
      </c>
      <c r="G39" s="1">
        <v>0.2504513888888889</v>
      </c>
      <c r="H39" s="3" t="str">
        <f>IF(Qn-(F39-Ta)&gt;2*ENT,"Fara E","Ok")</f>
        <v>Ok</v>
      </c>
      <c r="I39" s="4">
        <f>E147</f>
        <v>135</v>
      </c>
      <c r="J39" s="7">
        <f>F147-Ta</f>
        <v>10.02</v>
      </c>
      <c r="K39" s="3" t="str">
        <f>IF(J39&gt;=CMA,"Ok","Not Ok")</f>
        <v>Ok</v>
      </c>
      <c r="O39" s="4">
        <f>E160</f>
        <v>148</v>
      </c>
      <c r="P39" s="61">
        <f>F160-Ta</f>
        <v>10.039999999999999</v>
      </c>
      <c r="Q39" s="67">
        <f>P39-Xi</f>
        <v>2.0666666666665279E-2</v>
      </c>
      <c r="R39" s="60">
        <f>POWER(Q39,2)</f>
        <v>4.2711111111105372E-4</v>
      </c>
    </row>
    <row r="40" spans="5:18" x14ac:dyDescent="0.25">
      <c r="E40">
        <v>28</v>
      </c>
      <c r="F40">
        <v>10.309999999999999</v>
      </c>
      <c r="G40" s="1">
        <v>0.25085648148148149</v>
      </c>
      <c r="H40" s="3" t="str">
        <f>IF(Qn-(F40-Ta)&gt;2*ENT,"Fara E","Ok")</f>
        <v>Ok</v>
      </c>
      <c r="I40" s="4">
        <f>E162</f>
        <v>150</v>
      </c>
      <c r="J40" s="7">
        <f>F162-Ta</f>
        <v>10</v>
      </c>
      <c r="K40" s="3" t="str">
        <f>IF(J40&gt;=CMA,"Ok","Not Ok")</f>
        <v>Ok</v>
      </c>
      <c r="O40" s="4">
        <f>E164</f>
        <v>152</v>
      </c>
      <c r="P40" s="61">
        <f>F164-Ta</f>
        <v>10</v>
      </c>
      <c r="Q40" s="67">
        <f>P40-Xi</f>
        <v>-1.9333333333333869E-2</v>
      </c>
      <c r="R40" s="60">
        <f>POWER(Q40,2)</f>
        <v>3.7377777777779849E-4</v>
      </c>
    </row>
    <row r="41" spans="5:18" x14ac:dyDescent="0.25">
      <c r="E41">
        <v>29</v>
      </c>
      <c r="F41">
        <v>10.27</v>
      </c>
      <c r="G41" s="1">
        <v>0.25116898148148148</v>
      </c>
      <c r="H41" s="3" t="str">
        <f>IF(Qn-(F41-Ta)&gt;2*ENT,"Fara E","Ok")</f>
        <v>Ok</v>
      </c>
      <c r="I41" s="4">
        <f>E173</f>
        <v>161</v>
      </c>
      <c r="J41" s="7">
        <f>F173-Ta</f>
        <v>10.039999999999999</v>
      </c>
      <c r="K41" s="3" t="str">
        <f>IF(J41&gt;=CMA,"Ok","Not Ok")</f>
        <v>Ok</v>
      </c>
      <c r="O41" s="4">
        <f>E167</f>
        <v>155</v>
      </c>
      <c r="P41" s="61">
        <f>F167-Ta</f>
        <v>10.039999999999999</v>
      </c>
      <c r="Q41" s="67">
        <f>P41-Xi</f>
        <v>2.0666666666665279E-2</v>
      </c>
      <c r="R41" s="60">
        <f>POWER(Q41,2)</f>
        <v>4.2711111111105372E-4</v>
      </c>
    </row>
    <row r="42" spans="5:18" x14ac:dyDescent="0.25">
      <c r="E42">
        <v>30</v>
      </c>
      <c r="F42">
        <v>10.309999999999999</v>
      </c>
      <c r="G42" s="1">
        <v>0.25158564814814816</v>
      </c>
      <c r="H42" s="3" t="str">
        <f>IF(Qn-(F42-Ta)&gt;2*ENT,"Fara E","Ok")</f>
        <v>Ok</v>
      </c>
      <c r="I42" s="4">
        <f>E178</f>
        <v>166</v>
      </c>
      <c r="J42" s="7">
        <f>F178-Ta</f>
        <v>10</v>
      </c>
      <c r="K42" s="3" t="str">
        <f>IF(J42&gt;=CMA,"Ok","Not Ok")</f>
        <v>Ok</v>
      </c>
      <c r="O42" s="4">
        <f>E171</f>
        <v>159</v>
      </c>
      <c r="P42" s="61">
        <f>F171-Ta</f>
        <v>10.02</v>
      </c>
      <c r="Q42" s="67">
        <f>P42-Xi</f>
        <v>6.6666666666570507E-4</v>
      </c>
      <c r="R42" s="60">
        <f>POWER(Q42,2)</f>
        <v>4.4444444444316229E-7</v>
      </c>
    </row>
    <row r="43" spans="5:18" x14ac:dyDescent="0.25">
      <c r="E43">
        <v>31</v>
      </c>
      <c r="F43">
        <v>10.309999999999999</v>
      </c>
      <c r="G43" s="1">
        <v>0.25194444444444447</v>
      </c>
      <c r="H43" s="3" t="str">
        <f>IF(Qn-(F43-Ta)&gt;2*ENT,"Fara E","Ok")</f>
        <v>Ok</v>
      </c>
    </row>
    <row r="44" spans="5:18" x14ac:dyDescent="0.25">
      <c r="E44">
        <v>32</v>
      </c>
      <c r="F44">
        <v>10.309999999999999</v>
      </c>
      <c r="G44" s="1">
        <v>0.25231481481481483</v>
      </c>
      <c r="H44" s="3" t="str">
        <f>IF(Qn-(F44-Ta)&gt;2*ENT,"Fara E","Ok")</f>
        <v>Ok</v>
      </c>
    </row>
    <row r="45" spans="5:18" x14ac:dyDescent="0.25">
      <c r="E45">
        <v>33</v>
      </c>
      <c r="F45">
        <v>10.309999999999999</v>
      </c>
      <c r="G45" s="1">
        <v>0.25269675925925927</v>
      </c>
      <c r="H45" s="3" t="str">
        <f>IF(Qn-(F45-Ta)&gt;2*ENT,"Fara E","Ok")</f>
        <v>Ok</v>
      </c>
    </row>
    <row r="46" spans="5:18" x14ac:dyDescent="0.25">
      <c r="E46">
        <v>34</v>
      </c>
      <c r="F46">
        <v>10.27</v>
      </c>
      <c r="G46" s="1">
        <v>0.25318287037037041</v>
      </c>
      <c r="H46" s="3" t="str">
        <f>IF(Qn-(F46-Ta)&gt;2*ENT,"Fara E","Ok")</f>
        <v>Ok</v>
      </c>
    </row>
    <row r="47" spans="5:18" x14ac:dyDescent="0.25">
      <c r="E47">
        <v>35</v>
      </c>
      <c r="F47">
        <v>10.29</v>
      </c>
      <c r="G47" s="1">
        <v>0.25359953703703703</v>
      </c>
      <c r="H47" s="3" t="str">
        <f>IF(Qn-(F47-Ta)&gt;2*ENT,"Fara E","Ok")</f>
        <v>Ok</v>
      </c>
    </row>
    <row r="48" spans="5:18" x14ac:dyDescent="0.25">
      <c r="E48">
        <v>36</v>
      </c>
      <c r="F48">
        <v>10.33</v>
      </c>
      <c r="G48" s="1">
        <v>0.25398148148148147</v>
      </c>
      <c r="H48" s="3" t="str">
        <f>IF(Qn-(F48-Ta)&gt;2*ENT,"Fara E","Ok")</f>
        <v>Ok</v>
      </c>
    </row>
    <row r="49" spans="5:8" x14ac:dyDescent="0.25">
      <c r="E49">
        <v>37</v>
      </c>
      <c r="F49">
        <v>10.309999999999999</v>
      </c>
      <c r="G49" s="1">
        <v>0.25437500000000002</v>
      </c>
      <c r="H49" s="3" t="str">
        <f>IF(Qn-(F49-Ta)&gt;2*ENT,"Fara E","Ok")</f>
        <v>Ok</v>
      </c>
    </row>
    <row r="50" spans="5:8" x14ac:dyDescent="0.25">
      <c r="E50">
        <v>38</v>
      </c>
      <c r="F50">
        <v>10.29</v>
      </c>
      <c r="G50" s="1">
        <v>0.25476851851851851</v>
      </c>
      <c r="H50" s="3" t="str">
        <f>IF(Qn-(F50-Ta)&gt;2*ENT,"Fara E","Ok")</f>
        <v>Ok</v>
      </c>
    </row>
    <row r="51" spans="5:8" x14ac:dyDescent="0.25">
      <c r="E51">
        <v>39</v>
      </c>
      <c r="F51">
        <v>10.29</v>
      </c>
      <c r="G51" s="1">
        <v>0.25516203703703705</v>
      </c>
      <c r="H51" s="3" t="str">
        <f>IF(Qn-(F51-Ta)&gt;2*ENT,"Fara E","Ok")</f>
        <v>Ok</v>
      </c>
    </row>
    <row r="52" spans="5:8" x14ac:dyDescent="0.25">
      <c r="E52">
        <v>40</v>
      </c>
      <c r="F52">
        <v>10.309999999999999</v>
      </c>
      <c r="G52" s="1">
        <v>0.25557870370370367</v>
      </c>
      <c r="H52" s="3" t="str">
        <f>IF(Qn-(F52-Ta)&gt;2*ENT,"Fara E","Ok")</f>
        <v>Ok</v>
      </c>
    </row>
    <row r="53" spans="5:8" x14ac:dyDescent="0.25">
      <c r="E53">
        <v>41</v>
      </c>
      <c r="F53">
        <v>10.309999999999999</v>
      </c>
      <c r="G53" s="1">
        <v>0.2559953703703704</v>
      </c>
      <c r="H53" s="3" t="str">
        <f>IF(Qn-(F53-Ta)&gt;2*ENT,"Fara E","Ok")</f>
        <v>Ok</v>
      </c>
    </row>
    <row r="54" spans="5:8" x14ac:dyDescent="0.25">
      <c r="E54">
        <v>42</v>
      </c>
      <c r="F54">
        <v>10.25</v>
      </c>
      <c r="G54" s="1">
        <v>0.25642361111111112</v>
      </c>
      <c r="H54" s="3" t="str">
        <f>IF(Qn-(F54-Ta)&gt;2*ENT,"Fara E","Ok")</f>
        <v>Ok</v>
      </c>
    </row>
    <row r="55" spans="5:8" x14ac:dyDescent="0.25">
      <c r="E55">
        <v>43</v>
      </c>
      <c r="F55">
        <v>10.309999999999999</v>
      </c>
      <c r="G55" s="1">
        <v>0.2568171296296296</v>
      </c>
      <c r="H55" s="3" t="str">
        <f>IF(Qn-(F55-Ta)&gt;2*ENT,"Fara E","Ok")</f>
        <v>Ok</v>
      </c>
    </row>
    <row r="56" spans="5:8" x14ac:dyDescent="0.25">
      <c r="E56">
        <v>44</v>
      </c>
      <c r="F56">
        <v>10.29</v>
      </c>
      <c r="G56" s="1">
        <v>0.25723379629629628</v>
      </c>
      <c r="H56" s="3" t="str">
        <f>IF(Qn-(F56-Ta)&gt;2*ENT,"Fara E","Ok")</f>
        <v>Ok</v>
      </c>
    </row>
    <row r="57" spans="5:8" x14ac:dyDescent="0.25">
      <c r="E57">
        <v>45</v>
      </c>
      <c r="F57">
        <v>10.27</v>
      </c>
      <c r="G57" s="1">
        <v>0.25765046296296296</v>
      </c>
      <c r="H57" s="3" t="str">
        <f>IF(Qn-(F57-Ta)&gt;2*ENT,"Fara E","Ok")</f>
        <v>Ok</v>
      </c>
    </row>
    <row r="58" spans="5:8" x14ac:dyDescent="0.25">
      <c r="E58">
        <v>46</v>
      </c>
      <c r="F58">
        <v>10.29</v>
      </c>
      <c r="G58" s="1">
        <v>0.25805555555555554</v>
      </c>
      <c r="H58" s="3" t="str">
        <f>IF(Qn-(F58-Ta)&gt;2*ENT,"Fara E","Ok")</f>
        <v>Ok</v>
      </c>
    </row>
    <row r="59" spans="5:8" x14ac:dyDescent="0.25">
      <c r="E59">
        <v>47</v>
      </c>
      <c r="F59">
        <v>10.29</v>
      </c>
      <c r="G59" s="1">
        <v>0.25844907407407408</v>
      </c>
      <c r="H59" s="3" t="str">
        <f>IF(Qn-(F59-Ta)&gt;2*ENT,"Fara E","Ok")</f>
        <v>Ok</v>
      </c>
    </row>
    <row r="60" spans="5:8" x14ac:dyDescent="0.25">
      <c r="E60">
        <v>48</v>
      </c>
      <c r="F60">
        <v>10.309999999999999</v>
      </c>
      <c r="G60" s="1">
        <v>0.25885416666666666</v>
      </c>
      <c r="H60" s="3" t="str">
        <f>IF(Qn-(F60-Ta)&gt;2*ENT,"Fara E","Ok")</f>
        <v>Ok</v>
      </c>
    </row>
    <row r="61" spans="5:8" x14ac:dyDescent="0.25">
      <c r="E61">
        <v>49</v>
      </c>
      <c r="F61">
        <v>10.29</v>
      </c>
      <c r="G61" s="1">
        <v>0.25925925925925924</v>
      </c>
      <c r="H61" s="3" t="str">
        <f>IF(Qn-(F61-Ta)&gt;2*ENT,"Fara E","Ok")</f>
        <v>Ok</v>
      </c>
    </row>
    <row r="62" spans="5:8" x14ac:dyDescent="0.25">
      <c r="E62">
        <v>50</v>
      </c>
      <c r="F62">
        <v>10.309999999999999</v>
      </c>
      <c r="G62" s="1">
        <v>0.25966435185185183</v>
      </c>
      <c r="H62" s="3" t="str">
        <f>IF(Qn-(F62-Ta)&gt;2*ENT,"Fara E","Ok")</f>
        <v>Ok</v>
      </c>
    </row>
    <row r="63" spans="5:8" x14ac:dyDescent="0.25">
      <c r="E63">
        <v>51</v>
      </c>
      <c r="F63">
        <v>10.27</v>
      </c>
      <c r="G63" s="1">
        <v>0.26005787037037037</v>
      </c>
      <c r="H63" s="3" t="str">
        <f>IF(Qn-(F63-Ta)&gt;2*ENT,"Fara E","Ok")</f>
        <v>Ok</v>
      </c>
    </row>
    <row r="64" spans="5:8" x14ac:dyDescent="0.25">
      <c r="E64">
        <v>52</v>
      </c>
      <c r="F64">
        <v>10.29</v>
      </c>
      <c r="G64" s="1">
        <v>0.26045138888888891</v>
      </c>
      <c r="H64" s="3" t="str">
        <f>IF(Qn-(F64-Ta)&gt;2*ENT,"Fara E","Ok")</f>
        <v>Ok</v>
      </c>
    </row>
    <row r="65" spans="5:8" x14ac:dyDescent="0.25">
      <c r="E65">
        <v>53</v>
      </c>
      <c r="F65">
        <v>10.25</v>
      </c>
      <c r="G65" s="1">
        <v>0.26086805555555553</v>
      </c>
      <c r="H65" s="3" t="str">
        <f>IF(Qn-(F65-Ta)&gt;2*ENT,"Fara E","Ok")</f>
        <v>Ok</v>
      </c>
    </row>
    <row r="66" spans="5:8" x14ac:dyDescent="0.25">
      <c r="E66">
        <v>54</v>
      </c>
      <c r="F66">
        <v>10.27</v>
      </c>
      <c r="G66" s="1">
        <v>0.26128472222222221</v>
      </c>
      <c r="H66" s="3" t="str">
        <f>IF(Qn-(F66-Ta)&gt;2*ENT,"Fara E","Ok")</f>
        <v>Ok</v>
      </c>
    </row>
    <row r="67" spans="5:8" x14ac:dyDescent="0.25">
      <c r="E67">
        <v>55</v>
      </c>
      <c r="F67">
        <v>10.29</v>
      </c>
      <c r="G67" s="1">
        <v>0.26167824074074075</v>
      </c>
      <c r="H67" s="3" t="str">
        <f>IF(Qn-(F67-Ta)&gt;2*ENT,"Fara E","Ok")</f>
        <v>Ok</v>
      </c>
    </row>
    <row r="68" spans="5:8" x14ac:dyDescent="0.25">
      <c r="E68">
        <v>56</v>
      </c>
      <c r="F68">
        <v>10.29</v>
      </c>
      <c r="G68" s="1">
        <v>0.26208333333333333</v>
      </c>
      <c r="H68" s="3" t="str">
        <f>IF(Qn-(F68-Ta)&gt;2*ENT,"Fara E","Ok")</f>
        <v>Ok</v>
      </c>
    </row>
    <row r="69" spans="5:8" x14ac:dyDescent="0.25">
      <c r="E69">
        <v>57</v>
      </c>
      <c r="F69">
        <v>10.309999999999999</v>
      </c>
      <c r="G69" s="1">
        <v>0.26247685185185182</v>
      </c>
      <c r="H69" s="3" t="str">
        <f>IF(Qn-(F69-Ta)&gt;2*ENT,"Fara E","Ok")</f>
        <v>Ok</v>
      </c>
    </row>
    <row r="70" spans="5:8" x14ac:dyDescent="0.25">
      <c r="E70">
        <v>58</v>
      </c>
      <c r="F70">
        <v>10.309999999999999</v>
      </c>
      <c r="G70" s="1">
        <v>0.26287037037037037</v>
      </c>
      <c r="H70" s="3" t="str">
        <f>IF(Qn-(F70-Ta)&gt;2*ENT,"Fara E","Ok")</f>
        <v>Ok</v>
      </c>
    </row>
    <row r="71" spans="5:8" x14ac:dyDescent="0.25">
      <c r="E71">
        <v>59</v>
      </c>
      <c r="F71">
        <v>10.27</v>
      </c>
      <c r="G71" s="1">
        <v>0.26326388888888891</v>
      </c>
      <c r="H71" s="3" t="str">
        <f>IF(Qn-(F71-Ta)&gt;2*ENT,"Fara E","Ok")</f>
        <v>Ok</v>
      </c>
    </row>
    <row r="72" spans="5:8" x14ac:dyDescent="0.25">
      <c r="E72">
        <v>60</v>
      </c>
      <c r="F72">
        <v>10.309999999999999</v>
      </c>
      <c r="G72" s="1">
        <v>0.26366898148148149</v>
      </c>
      <c r="H72" s="3" t="str">
        <f>IF(Qn-(F72-Ta)&gt;2*ENT,"Fara E","Ok")</f>
        <v>Ok</v>
      </c>
    </row>
    <row r="73" spans="5:8" x14ac:dyDescent="0.25">
      <c r="E73">
        <v>61</v>
      </c>
      <c r="F73">
        <v>10.25</v>
      </c>
      <c r="G73" s="1">
        <v>0.26409722222222221</v>
      </c>
      <c r="H73" s="3" t="str">
        <f>IF(Qn-(F73-Ta)&gt;2*ENT,"Fara E","Ok")</f>
        <v>Ok</v>
      </c>
    </row>
    <row r="74" spans="5:8" x14ac:dyDescent="0.25">
      <c r="E74">
        <v>62</v>
      </c>
      <c r="F74">
        <v>10.309999999999999</v>
      </c>
      <c r="G74" s="1">
        <v>0.26450231481481484</v>
      </c>
      <c r="H74" s="3" t="str">
        <f>IF(Qn-(F74-Ta)&gt;2*ENT,"Fara E","Ok")</f>
        <v>Ok</v>
      </c>
    </row>
    <row r="75" spans="5:8" x14ac:dyDescent="0.25">
      <c r="E75">
        <v>63</v>
      </c>
      <c r="F75">
        <v>10.27</v>
      </c>
      <c r="G75" s="1">
        <v>0.26489583333333333</v>
      </c>
      <c r="H75" s="3" t="str">
        <f>IF(Qn-(F75-Ta)&gt;2*ENT,"Fara E","Ok")</f>
        <v>Ok</v>
      </c>
    </row>
    <row r="76" spans="5:8" x14ac:dyDescent="0.25">
      <c r="E76">
        <v>64</v>
      </c>
      <c r="F76">
        <v>10.27</v>
      </c>
      <c r="G76" s="1">
        <v>0.26528935185185182</v>
      </c>
      <c r="H76" s="3" t="str">
        <f>IF(Qn-(F76-Ta)&gt;2*ENT,"Fara E","Ok")</f>
        <v>Ok</v>
      </c>
    </row>
    <row r="77" spans="5:8" x14ac:dyDescent="0.25">
      <c r="E77">
        <v>65</v>
      </c>
      <c r="F77">
        <v>10.309999999999999</v>
      </c>
      <c r="G77" s="1">
        <v>0.26568287037037036</v>
      </c>
      <c r="H77" s="3" t="str">
        <f>IF(Qn-(F77-Ta)&gt;2*ENT,"Fara E","Ok")</f>
        <v>Ok</v>
      </c>
    </row>
    <row r="78" spans="5:8" x14ac:dyDescent="0.25">
      <c r="E78">
        <v>66</v>
      </c>
      <c r="F78">
        <v>10.29</v>
      </c>
      <c r="G78" s="1">
        <v>0.26609953703703704</v>
      </c>
      <c r="H78" s="3" t="str">
        <f>IF(Qn-(F78-Ta)&gt;2*ENT,"Fara E","Ok")</f>
        <v>Ok</v>
      </c>
    </row>
    <row r="79" spans="5:8" x14ac:dyDescent="0.25">
      <c r="E79">
        <v>67</v>
      </c>
      <c r="F79">
        <v>10.29</v>
      </c>
      <c r="G79" s="1">
        <v>0.26650462962962962</v>
      </c>
      <c r="H79" s="3" t="str">
        <f>IF(Qn-(F79-Ta)&gt;2*ENT,"Fara E","Ok")</f>
        <v>Ok</v>
      </c>
    </row>
    <row r="80" spans="5:8" x14ac:dyDescent="0.25">
      <c r="E80">
        <v>68</v>
      </c>
      <c r="F80">
        <v>10.29</v>
      </c>
      <c r="G80" s="1">
        <v>0.2669212962962963</v>
      </c>
      <c r="H80" s="3" t="str">
        <f>IF(Qn-(F80-Ta)&gt;2*ENT,"Fara E","Ok")</f>
        <v>Ok</v>
      </c>
    </row>
    <row r="81" spans="5:8" x14ac:dyDescent="0.25">
      <c r="E81">
        <v>69</v>
      </c>
      <c r="F81">
        <v>10.29</v>
      </c>
      <c r="G81" s="1">
        <v>0.26732638888888888</v>
      </c>
      <c r="H81" s="3" t="str">
        <f>IF(Qn-(F81-Ta)&gt;2*ENT,"Fara E","Ok")</f>
        <v>Ok</v>
      </c>
    </row>
    <row r="82" spans="5:8" x14ac:dyDescent="0.25">
      <c r="E82">
        <v>70</v>
      </c>
      <c r="F82">
        <v>10.27</v>
      </c>
      <c r="G82" s="1">
        <v>0.26773148148148146</v>
      </c>
      <c r="H82" s="3" t="str">
        <f>IF(Qn-(F82-Ta)&gt;2*ENT,"Fara E","Ok")</f>
        <v>Ok</v>
      </c>
    </row>
    <row r="83" spans="5:8" x14ac:dyDescent="0.25">
      <c r="E83">
        <v>71</v>
      </c>
      <c r="F83">
        <v>10.27</v>
      </c>
      <c r="G83" s="1">
        <v>0.268125</v>
      </c>
      <c r="H83" s="3" t="str">
        <f>IF(Qn-(F83-Ta)&gt;2*ENT,"Fara E","Ok")</f>
        <v>Ok</v>
      </c>
    </row>
    <row r="84" spans="5:8" x14ac:dyDescent="0.25">
      <c r="E84">
        <v>72</v>
      </c>
      <c r="F84">
        <v>10.29</v>
      </c>
      <c r="G84" s="1">
        <v>0.26851851851851855</v>
      </c>
      <c r="H84" s="3" t="str">
        <f>IF(Qn-(F84-Ta)&gt;2*ENT,"Fara E","Ok")</f>
        <v>Ok</v>
      </c>
    </row>
    <row r="85" spans="5:8" x14ac:dyDescent="0.25">
      <c r="E85">
        <v>73</v>
      </c>
      <c r="F85">
        <v>10.27</v>
      </c>
      <c r="G85" s="1">
        <v>0.26892361111111113</v>
      </c>
      <c r="H85" s="3" t="str">
        <f>IF(Qn-(F85-Ta)&gt;2*ENT,"Fara E","Ok")</f>
        <v>Ok</v>
      </c>
    </row>
    <row r="86" spans="5:8" x14ac:dyDescent="0.25">
      <c r="E86">
        <v>74</v>
      </c>
      <c r="F86">
        <v>10.29</v>
      </c>
      <c r="G86" s="1">
        <v>0.26937499999999998</v>
      </c>
      <c r="H86" s="3" t="str">
        <f>IF(Qn-(F86-Ta)&gt;2*ENT,"Fara E","Ok")</f>
        <v>Ok</v>
      </c>
    </row>
    <row r="87" spans="5:8" x14ac:dyDescent="0.25">
      <c r="E87">
        <v>75</v>
      </c>
      <c r="F87">
        <v>10.25</v>
      </c>
      <c r="G87" s="1">
        <v>0.26978009259259256</v>
      </c>
      <c r="H87" s="3" t="str">
        <f>IF(Qn-(F87-Ta)&gt;2*ENT,"Fara E","Ok")</f>
        <v>Ok</v>
      </c>
    </row>
    <row r="88" spans="5:8" x14ac:dyDescent="0.25">
      <c r="E88">
        <v>76</v>
      </c>
      <c r="F88">
        <v>10.29</v>
      </c>
      <c r="G88" s="1">
        <v>0.2701736111111111</v>
      </c>
      <c r="H88" s="3" t="str">
        <f>IF(Qn-(F88-Ta)&gt;2*ENT,"Fara E","Ok")</f>
        <v>Ok</v>
      </c>
    </row>
    <row r="89" spans="5:8" x14ac:dyDescent="0.25">
      <c r="E89">
        <v>77</v>
      </c>
      <c r="F89">
        <v>10.33</v>
      </c>
      <c r="G89" s="1">
        <v>0.27053240740740742</v>
      </c>
      <c r="H89" s="3" t="str">
        <f>IF(Qn-(F89-Ta)&gt;2*ENT,"Fara E","Ok")</f>
        <v>Ok</v>
      </c>
    </row>
    <row r="90" spans="5:8" x14ac:dyDescent="0.25">
      <c r="E90">
        <v>78</v>
      </c>
      <c r="F90">
        <v>10.29</v>
      </c>
      <c r="G90" s="1">
        <v>0.27094907407407409</v>
      </c>
      <c r="H90" s="3" t="str">
        <f>IF(Qn-(F90-Ta)&gt;2*ENT,"Fara E","Ok")</f>
        <v>Ok</v>
      </c>
    </row>
    <row r="91" spans="5:8" x14ac:dyDescent="0.25">
      <c r="E91">
        <v>79</v>
      </c>
      <c r="F91">
        <v>10.27</v>
      </c>
      <c r="G91" s="1">
        <v>0.27135416666666667</v>
      </c>
      <c r="H91" s="3" t="str">
        <f>IF(Qn-(F91-Ta)&gt;2*ENT,"Fara E","Ok")</f>
        <v>Ok</v>
      </c>
    </row>
    <row r="92" spans="5:8" x14ac:dyDescent="0.25">
      <c r="E92">
        <v>80</v>
      </c>
      <c r="F92">
        <v>10.309999999999999</v>
      </c>
      <c r="G92" s="1">
        <v>0.27175925925925926</v>
      </c>
      <c r="H92" s="3" t="str">
        <f>IF(Qn-(F92-Ta)&gt;2*ENT,"Fara E","Ok")</f>
        <v>Ok</v>
      </c>
    </row>
    <row r="93" spans="5:8" x14ac:dyDescent="0.25">
      <c r="E93">
        <v>81</v>
      </c>
      <c r="F93">
        <v>10.33</v>
      </c>
      <c r="G93" s="1">
        <v>0.27215277777777774</v>
      </c>
      <c r="H93" s="3" t="str">
        <f>IF(Qn-(F93-Ta)&gt;2*ENT,"Fara E","Ok")</f>
        <v>Ok</v>
      </c>
    </row>
    <row r="94" spans="5:8" x14ac:dyDescent="0.25">
      <c r="E94">
        <v>82</v>
      </c>
      <c r="F94">
        <v>10.25</v>
      </c>
      <c r="G94" s="1">
        <v>0.27256944444444448</v>
      </c>
      <c r="H94" s="3" t="str">
        <f>IF(Qn-(F94-Ta)&gt;2*ENT,"Fara E","Ok")</f>
        <v>Ok</v>
      </c>
    </row>
    <row r="95" spans="5:8" x14ac:dyDescent="0.25">
      <c r="E95">
        <v>83</v>
      </c>
      <c r="F95">
        <v>10.27</v>
      </c>
      <c r="G95" s="1">
        <v>0.2729861111111111</v>
      </c>
      <c r="H95" s="3" t="str">
        <f>IF(Qn-(F95-Ta)&gt;2*ENT,"Fara E","Ok")</f>
        <v>Ok</v>
      </c>
    </row>
    <row r="96" spans="5:8" x14ac:dyDescent="0.25">
      <c r="E96">
        <v>84</v>
      </c>
      <c r="F96">
        <v>10.29</v>
      </c>
      <c r="G96" s="1">
        <v>0.27340277777777777</v>
      </c>
      <c r="H96" s="3" t="str">
        <f>IF(Qn-(F96-Ta)&gt;2*ENT,"Fara E","Ok")</f>
        <v>Ok</v>
      </c>
    </row>
    <row r="97" spans="5:8" x14ac:dyDescent="0.25">
      <c r="E97">
        <v>85</v>
      </c>
      <c r="F97">
        <v>10.29</v>
      </c>
      <c r="G97" s="1">
        <v>0.27381944444444445</v>
      </c>
      <c r="H97" s="3" t="str">
        <f>IF(Qn-(F97-Ta)&gt;2*ENT,"Fara E","Ok")</f>
        <v>Ok</v>
      </c>
    </row>
    <row r="98" spans="5:8" x14ac:dyDescent="0.25">
      <c r="E98">
        <v>86</v>
      </c>
      <c r="F98">
        <v>10.309999999999999</v>
      </c>
      <c r="G98" s="1">
        <v>0.27422453703703703</v>
      </c>
      <c r="H98" s="3" t="str">
        <f>IF(Qn-(F98-Ta)&gt;2*ENT,"Fara E","Ok")</f>
        <v>Ok</v>
      </c>
    </row>
    <row r="99" spans="5:8" x14ac:dyDescent="0.25">
      <c r="E99">
        <v>87</v>
      </c>
      <c r="F99">
        <v>10.29</v>
      </c>
      <c r="G99" s="1">
        <v>0.27460648148148148</v>
      </c>
      <c r="H99" s="3" t="str">
        <f>IF(Qn-(F99-Ta)&gt;2*ENT,"Fara E","Ok")</f>
        <v>Ok</v>
      </c>
    </row>
    <row r="100" spans="5:8" x14ac:dyDescent="0.25">
      <c r="E100">
        <v>88</v>
      </c>
      <c r="F100">
        <v>10.29</v>
      </c>
      <c r="G100" s="1">
        <v>0.27497685185185183</v>
      </c>
      <c r="H100" s="3" t="str">
        <f>IF(Qn-(F100-Ta)&gt;2*ENT,"Fara E","Ok")</f>
        <v>Ok</v>
      </c>
    </row>
    <row r="101" spans="5:8" x14ac:dyDescent="0.25">
      <c r="E101">
        <v>89</v>
      </c>
      <c r="F101">
        <v>10.309999999999999</v>
      </c>
      <c r="G101" s="1">
        <v>0.27538194444444447</v>
      </c>
      <c r="H101" s="3" t="str">
        <f>IF(Qn-(F101-Ta)&gt;2*ENT,"Fara E","Ok")</f>
        <v>Ok</v>
      </c>
    </row>
    <row r="102" spans="5:8" x14ac:dyDescent="0.25">
      <c r="E102">
        <v>90</v>
      </c>
      <c r="F102">
        <v>10.27</v>
      </c>
      <c r="G102" s="1">
        <v>0.27578703703703705</v>
      </c>
      <c r="H102" s="3" t="str">
        <f>IF(Qn-(F102-Ta)&gt;2*ENT,"Fara E","Ok")</f>
        <v>Ok</v>
      </c>
    </row>
    <row r="103" spans="5:8" x14ac:dyDescent="0.25">
      <c r="E103">
        <v>91</v>
      </c>
      <c r="F103">
        <v>10.27</v>
      </c>
      <c r="G103" s="1">
        <v>0.27619212962962963</v>
      </c>
      <c r="H103" s="3" t="str">
        <f>IF(Qn-(F103-Ta)&gt;2*ENT,"Fara E","Ok")</f>
        <v>Ok</v>
      </c>
    </row>
    <row r="104" spans="5:8" x14ac:dyDescent="0.25">
      <c r="E104">
        <v>92</v>
      </c>
      <c r="F104">
        <v>10.29</v>
      </c>
      <c r="G104" s="1">
        <v>0.27658564814814818</v>
      </c>
      <c r="H104" s="3" t="str">
        <f>IF(Qn-(F104-Ta)&gt;2*ENT,"Fara E","Ok")</f>
        <v>Ok</v>
      </c>
    </row>
    <row r="105" spans="5:8" x14ac:dyDescent="0.25">
      <c r="E105">
        <v>93</v>
      </c>
      <c r="F105">
        <v>10.309999999999999</v>
      </c>
      <c r="G105" s="1">
        <v>0.27699074074074076</v>
      </c>
      <c r="H105" s="3" t="str">
        <f>IF(Qn-(F105-Ta)&gt;2*ENT,"Fara E","Ok")</f>
        <v>Ok</v>
      </c>
    </row>
    <row r="106" spans="5:8" x14ac:dyDescent="0.25">
      <c r="E106">
        <v>94</v>
      </c>
      <c r="F106">
        <v>10.29</v>
      </c>
      <c r="G106" s="1">
        <v>0.27739583333333334</v>
      </c>
      <c r="H106" s="3" t="str">
        <f>IF(Qn-(F106-Ta)&gt;2*ENT,"Fara E","Ok")</f>
        <v>Ok</v>
      </c>
    </row>
    <row r="107" spans="5:8" x14ac:dyDescent="0.25">
      <c r="E107">
        <v>95</v>
      </c>
      <c r="F107">
        <v>10.29</v>
      </c>
      <c r="G107" s="1">
        <v>0.27780092592592592</v>
      </c>
      <c r="H107" s="3" t="str">
        <f>IF(Qn-(F107-Ta)&gt;2*ENT,"Fara E","Ok")</f>
        <v>Ok</v>
      </c>
    </row>
    <row r="108" spans="5:8" x14ac:dyDescent="0.25">
      <c r="E108">
        <v>96</v>
      </c>
      <c r="F108">
        <v>10.29</v>
      </c>
      <c r="G108" s="1">
        <v>0.27820601851851851</v>
      </c>
      <c r="H108" s="3" t="str">
        <f>IF(Qn-(F108-Ta)&gt;2*ENT,"Fara E","Ok")</f>
        <v>Ok</v>
      </c>
    </row>
    <row r="109" spans="5:8" x14ac:dyDescent="0.25">
      <c r="E109">
        <v>97</v>
      </c>
      <c r="F109">
        <v>10.309999999999999</v>
      </c>
      <c r="G109" s="1">
        <v>0.27862268518518518</v>
      </c>
      <c r="H109" s="3" t="str">
        <f>IF(Qn-(F109-Ta)&gt;2*ENT,"Fara E","Ok")</f>
        <v>Ok</v>
      </c>
    </row>
    <row r="110" spans="5:8" x14ac:dyDescent="0.25">
      <c r="E110">
        <v>98</v>
      </c>
      <c r="F110">
        <v>10.29</v>
      </c>
      <c r="G110" s="1">
        <v>0.27902777777777776</v>
      </c>
      <c r="H110" s="3" t="str">
        <f>IF(Qn-(F110-Ta)&gt;2*ENT,"Fara E","Ok")</f>
        <v>Ok</v>
      </c>
    </row>
    <row r="111" spans="5:8" x14ac:dyDescent="0.25">
      <c r="E111">
        <v>99</v>
      </c>
      <c r="F111">
        <v>10.27</v>
      </c>
      <c r="G111" s="1">
        <v>0.2794328703703704</v>
      </c>
      <c r="H111" s="3" t="str">
        <f>IF(Qn-(F111-Ta)&gt;2*ENT,"Fara E","Ok")</f>
        <v>Ok</v>
      </c>
    </row>
    <row r="112" spans="5:8" x14ac:dyDescent="0.25">
      <c r="E112">
        <v>100</v>
      </c>
      <c r="F112">
        <v>10.309999999999999</v>
      </c>
      <c r="G112" s="1">
        <v>0.27983796296296298</v>
      </c>
      <c r="H112" s="3" t="str">
        <f>IF(Qn-(F112-Ta)&gt;2*ENT,"Fara E","Ok")</f>
        <v>Ok</v>
      </c>
    </row>
    <row r="113" spans="5:8" x14ac:dyDescent="0.25">
      <c r="E113">
        <v>101</v>
      </c>
      <c r="F113">
        <v>10.29</v>
      </c>
      <c r="G113" s="1">
        <v>0.28024305555555556</v>
      </c>
      <c r="H113" s="3" t="str">
        <f>IF(Qn-(F113-Ta)&gt;2*ENT,"Fara E","Ok")</f>
        <v>Ok</v>
      </c>
    </row>
    <row r="114" spans="5:8" x14ac:dyDescent="0.25">
      <c r="E114">
        <v>102</v>
      </c>
      <c r="F114">
        <v>10.27</v>
      </c>
      <c r="G114" s="1">
        <v>0.28063657407407411</v>
      </c>
      <c r="H114" s="3" t="str">
        <f>IF(Qn-(F114-Ta)&gt;2*ENT,"Fara E","Ok")</f>
        <v>Ok</v>
      </c>
    </row>
    <row r="115" spans="5:8" x14ac:dyDescent="0.25">
      <c r="E115">
        <v>103</v>
      </c>
      <c r="F115">
        <v>10.29</v>
      </c>
      <c r="G115" s="1">
        <v>0.28104166666666669</v>
      </c>
      <c r="H115" s="3" t="str">
        <f>IF(Qn-(F115-Ta)&gt;2*ENT,"Fara E","Ok")</f>
        <v>Ok</v>
      </c>
    </row>
    <row r="116" spans="5:8" x14ac:dyDescent="0.25">
      <c r="E116">
        <v>104</v>
      </c>
      <c r="F116">
        <v>10.27</v>
      </c>
      <c r="G116" s="1">
        <v>0.2814699074074074</v>
      </c>
      <c r="H116" s="3" t="str">
        <f>IF(Qn-(F116-Ta)&gt;2*ENT,"Fara E","Ok")</f>
        <v>Ok</v>
      </c>
    </row>
    <row r="117" spans="5:8" x14ac:dyDescent="0.25">
      <c r="E117">
        <v>105</v>
      </c>
      <c r="F117">
        <v>10.27</v>
      </c>
      <c r="G117" s="1">
        <v>0.28186342592592589</v>
      </c>
      <c r="H117" s="3" t="str">
        <f>IF(Qn-(F117-Ta)&gt;2*ENT,"Fara E","Ok")</f>
        <v>Ok</v>
      </c>
    </row>
    <row r="118" spans="5:8" x14ac:dyDescent="0.25">
      <c r="E118">
        <v>106</v>
      </c>
      <c r="F118">
        <v>10.309999999999999</v>
      </c>
      <c r="G118" s="1">
        <v>0.2822453703703704</v>
      </c>
      <c r="H118" s="3" t="str">
        <f>IF(Qn-(F118-Ta)&gt;2*ENT,"Fara E","Ok")</f>
        <v>Ok</v>
      </c>
    </row>
    <row r="119" spans="5:8" x14ac:dyDescent="0.25">
      <c r="E119">
        <v>107</v>
      </c>
      <c r="F119">
        <v>10.29</v>
      </c>
      <c r="G119" s="1">
        <v>0.28263888888888888</v>
      </c>
      <c r="H119" s="3" t="str">
        <f>IF(Qn-(F119-Ta)&gt;2*ENT,"Fara E","Ok")</f>
        <v>Ok</v>
      </c>
    </row>
    <row r="120" spans="5:8" x14ac:dyDescent="0.25">
      <c r="E120">
        <v>108</v>
      </c>
      <c r="F120">
        <v>10.29</v>
      </c>
      <c r="G120" s="1">
        <v>0.28304398148148152</v>
      </c>
      <c r="H120" s="3" t="str">
        <f>IF(Qn-(F120-Ta)&gt;2*ENT,"Fara E","Ok")</f>
        <v>Ok</v>
      </c>
    </row>
    <row r="121" spans="5:8" x14ac:dyDescent="0.25">
      <c r="E121">
        <v>109</v>
      </c>
      <c r="F121">
        <v>10.29</v>
      </c>
      <c r="G121" s="1">
        <v>0.28347222222222224</v>
      </c>
      <c r="H121" s="3" t="str">
        <f>IF(Qn-(F121-Ta)&gt;2*ENT,"Fara E","Ok")</f>
        <v>Ok</v>
      </c>
    </row>
    <row r="122" spans="5:8" x14ac:dyDescent="0.25">
      <c r="E122">
        <v>110</v>
      </c>
      <c r="F122">
        <v>10.29</v>
      </c>
      <c r="G122" s="1">
        <v>0.28386574074074072</v>
      </c>
      <c r="H122" s="3" t="str">
        <f>IF(Qn-(F122-Ta)&gt;2*ENT,"Fara E","Ok")</f>
        <v>Ok</v>
      </c>
    </row>
    <row r="123" spans="5:8" x14ac:dyDescent="0.25">
      <c r="E123">
        <v>111</v>
      </c>
      <c r="F123">
        <v>10.309999999999999</v>
      </c>
      <c r="G123" s="1">
        <v>0.2842824074074074</v>
      </c>
      <c r="H123" s="3" t="str">
        <f>IF(Qn-(F123-Ta)&gt;2*ENT,"Fara E","Ok")</f>
        <v>Ok</v>
      </c>
    </row>
    <row r="124" spans="5:8" x14ac:dyDescent="0.25">
      <c r="E124">
        <v>112</v>
      </c>
      <c r="F124">
        <v>10.29</v>
      </c>
      <c r="G124" s="1">
        <v>0.28466435185185185</v>
      </c>
      <c r="H124" s="3" t="str">
        <f>IF(Qn-(F124-Ta)&gt;2*ENT,"Fara E","Ok")</f>
        <v>Ok</v>
      </c>
    </row>
    <row r="125" spans="5:8" x14ac:dyDescent="0.25">
      <c r="E125">
        <v>113</v>
      </c>
      <c r="F125">
        <v>10.29</v>
      </c>
      <c r="G125" s="1">
        <v>0.28506944444444443</v>
      </c>
      <c r="H125" s="3" t="str">
        <f>IF(Qn-(F125-Ta)&gt;2*ENT,"Fara E","Ok")</f>
        <v>Ok</v>
      </c>
    </row>
    <row r="126" spans="5:8" x14ac:dyDescent="0.25">
      <c r="E126">
        <v>114</v>
      </c>
      <c r="F126">
        <v>10.29</v>
      </c>
      <c r="G126" s="1">
        <v>0.28547453703703701</v>
      </c>
      <c r="H126" s="3" t="str">
        <f>IF(Qn-(F126-Ta)&gt;2*ENT,"Fara E","Ok")</f>
        <v>Ok</v>
      </c>
    </row>
    <row r="127" spans="5:8" x14ac:dyDescent="0.25">
      <c r="E127">
        <v>115</v>
      </c>
      <c r="F127">
        <v>10.309999999999999</v>
      </c>
      <c r="G127" s="1">
        <v>0.28587962962962959</v>
      </c>
      <c r="H127" s="3" t="str">
        <f>IF(Qn-(F127-Ta)&gt;2*ENT,"Fara E","Ok")</f>
        <v>Ok</v>
      </c>
    </row>
    <row r="128" spans="5:8" x14ac:dyDescent="0.25">
      <c r="E128">
        <v>116</v>
      </c>
      <c r="F128">
        <v>10.29</v>
      </c>
      <c r="G128" s="1">
        <v>0.28628472222222223</v>
      </c>
      <c r="H128" s="3" t="str">
        <f>IF(Qn-(F128-Ta)&gt;2*ENT,"Fara E","Ok")</f>
        <v>Ok</v>
      </c>
    </row>
    <row r="129" spans="5:8" x14ac:dyDescent="0.25">
      <c r="E129">
        <v>117</v>
      </c>
      <c r="F129">
        <v>10.29</v>
      </c>
      <c r="G129" s="1">
        <v>0.28668981481481481</v>
      </c>
      <c r="H129" s="3" t="str">
        <f>IF(Qn-(F129-Ta)&gt;2*ENT,"Fara E","Ok")</f>
        <v>Ok</v>
      </c>
    </row>
    <row r="130" spans="5:8" x14ac:dyDescent="0.25">
      <c r="E130">
        <v>118</v>
      </c>
      <c r="F130">
        <v>10.309999999999999</v>
      </c>
      <c r="G130" s="1">
        <v>0.2870833333333333</v>
      </c>
      <c r="H130" s="3" t="str">
        <f>IF(Qn-(F130-Ta)&gt;2*ENT,"Fara E","Ok")</f>
        <v>Ok</v>
      </c>
    </row>
    <row r="131" spans="5:8" x14ac:dyDescent="0.25">
      <c r="E131">
        <v>119</v>
      </c>
      <c r="F131">
        <v>10.29</v>
      </c>
      <c r="G131" s="1">
        <v>0.28748842592592594</v>
      </c>
      <c r="H131" s="3" t="str">
        <f>IF(Qn-(F131-Ta)&gt;2*ENT,"Fara E","Ok")</f>
        <v>Ok</v>
      </c>
    </row>
    <row r="132" spans="5:8" x14ac:dyDescent="0.25">
      <c r="E132">
        <v>120</v>
      </c>
      <c r="F132">
        <v>10.29</v>
      </c>
      <c r="G132" s="1">
        <v>0.28790509259259262</v>
      </c>
      <c r="H132" s="3" t="str">
        <f>IF(Qn-(F132-Ta)&gt;2*ENT,"Fara E","Ok")</f>
        <v>Ok</v>
      </c>
    </row>
    <row r="133" spans="5:8" x14ac:dyDescent="0.25">
      <c r="E133">
        <v>121</v>
      </c>
      <c r="F133">
        <v>10.27</v>
      </c>
      <c r="G133" s="1">
        <v>0.28832175925925924</v>
      </c>
      <c r="H133" s="3" t="str">
        <f>IF(Qn-(F133-Ta)&gt;2*ENT,"Fara E","Ok")</f>
        <v>Ok</v>
      </c>
    </row>
    <row r="134" spans="5:8" x14ac:dyDescent="0.25">
      <c r="E134">
        <v>122</v>
      </c>
      <c r="F134">
        <v>10.27</v>
      </c>
      <c r="G134" s="1">
        <v>0.28873842592592591</v>
      </c>
      <c r="H134" s="3" t="str">
        <f>IF(Qn-(F134-Ta)&gt;2*ENT,"Fara E","Ok")</f>
        <v>Ok</v>
      </c>
    </row>
    <row r="135" spans="5:8" x14ac:dyDescent="0.25">
      <c r="E135">
        <v>123</v>
      </c>
      <c r="F135">
        <v>10.309999999999999</v>
      </c>
      <c r="G135" s="1">
        <v>0.28914351851851855</v>
      </c>
      <c r="H135" s="3" t="str">
        <f>IF(Qn-(F135-Ta)&gt;2*ENT,"Fara E","Ok")</f>
        <v>Ok</v>
      </c>
    </row>
    <row r="136" spans="5:8" x14ac:dyDescent="0.25">
      <c r="E136">
        <v>124</v>
      </c>
      <c r="F136">
        <v>10.29</v>
      </c>
      <c r="G136" s="1">
        <v>0.28956018518518517</v>
      </c>
      <c r="H136" s="3" t="str">
        <f>IF(Qn-(F136-Ta)&gt;2*ENT,"Fara E","Ok")</f>
        <v>Ok</v>
      </c>
    </row>
    <row r="137" spans="5:8" x14ac:dyDescent="0.25">
      <c r="E137">
        <v>125</v>
      </c>
      <c r="F137">
        <v>10.25</v>
      </c>
      <c r="G137" s="1">
        <v>0.29001157407407407</v>
      </c>
      <c r="H137" s="3" t="str">
        <f>IF(Qn-(F137-Ta)&gt;2*ENT,"Fara E","Ok")</f>
        <v>Ok</v>
      </c>
    </row>
    <row r="138" spans="5:8" x14ac:dyDescent="0.25">
      <c r="E138">
        <v>126</v>
      </c>
      <c r="F138">
        <v>10.29</v>
      </c>
      <c r="G138" s="1">
        <v>0.29040509259259256</v>
      </c>
      <c r="H138" s="3" t="str">
        <f>IF(Qn-(F138-Ta)&gt;2*ENT,"Fara E","Ok")</f>
        <v>Ok</v>
      </c>
    </row>
    <row r="139" spans="5:8" x14ac:dyDescent="0.25">
      <c r="E139">
        <v>127</v>
      </c>
      <c r="F139">
        <v>10.29</v>
      </c>
      <c r="G139" s="1">
        <v>0.2908101851851852</v>
      </c>
      <c r="H139" s="3" t="str">
        <f>IF(Qn-(F139-Ta)&gt;2*ENT,"Fara E","Ok")</f>
        <v>Ok</v>
      </c>
    </row>
    <row r="140" spans="5:8" x14ac:dyDescent="0.25">
      <c r="E140">
        <v>128</v>
      </c>
      <c r="F140">
        <v>10.29</v>
      </c>
      <c r="G140" s="1">
        <v>0.29118055555555555</v>
      </c>
      <c r="H140" s="3" t="str">
        <f>IF(Qn-(F140-Ta)&gt;2*ENT,"Fara E","Ok")</f>
        <v>Ok</v>
      </c>
    </row>
    <row r="141" spans="5:8" x14ac:dyDescent="0.25">
      <c r="E141">
        <v>129</v>
      </c>
      <c r="F141">
        <v>10.29</v>
      </c>
      <c r="G141" s="1">
        <v>0.29199074074074077</v>
      </c>
      <c r="H141" s="3" t="str">
        <f>IF(Qn-(F141-Ta)&gt;2*ENT,"Fara E","Ok")</f>
        <v>Ok</v>
      </c>
    </row>
    <row r="142" spans="5:8" x14ac:dyDescent="0.25">
      <c r="E142">
        <v>130</v>
      </c>
      <c r="F142">
        <v>10.309999999999999</v>
      </c>
      <c r="G142" s="1">
        <v>0.29237268518518517</v>
      </c>
      <c r="H142" s="3" t="str">
        <f>IF(Qn-(F142-Ta)&gt;2*ENT,"Fara E","Ok")</f>
        <v>Ok</v>
      </c>
    </row>
    <row r="143" spans="5:8" x14ac:dyDescent="0.25">
      <c r="E143">
        <v>131</v>
      </c>
      <c r="F143">
        <v>10.309999999999999</v>
      </c>
      <c r="G143" s="1">
        <v>0.29277777777777775</v>
      </c>
      <c r="H143" s="3" t="str">
        <f>IF(Qn-(F143-Ta)&gt;2*ENT,"Fara E","Ok")</f>
        <v>Ok</v>
      </c>
    </row>
    <row r="144" spans="5:8" x14ac:dyDescent="0.25">
      <c r="E144">
        <v>132</v>
      </c>
      <c r="F144">
        <v>10.309999999999999</v>
      </c>
      <c r="G144" s="1">
        <v>0.29319444444444448</v>
      </c>
      <c r="H144" s="3" t="str">
        <f>IF(Qn-(F144-Ta)&gt;2*ENT,"Fara E","Ok")</f>
        <v>Ok</v>
      </c>
    </row>
    <row r="145" spans="5:8" x14ac:dyDescent="0.25">
      <c r="E145">
        <v>133</v>
      </c>
      <c r="F145">
        <v>10.29</v>
      </c>
      <c r="G145" s="1">
        <v>0.29358796296296297</v>
      </c>
      <c r="H145" s="3" t="str">
        <f>IF(Qn-(F145-Ta)&gt;2*ENT,"Fara E","Ok")</f>
        <v>Ok</v>
      </c>
    </row>
    <row r="146" spans="5:8" x14ac:dyDescent="0.25">
      <c r="E146">
        <v>134</v>
      </c>
      <c r="F146">
        <v>10.29</v>
      </c>
      <c r="G146" s="1">
        <v>0.29399305555555555</v>
      </c>
      <c r="H146" s="3" t="str">
        <f>IF(Qn-(F146-Ta)&gt;2*ENT,"Fara E","Ok")</f>
        <v>Ok</v>
      </c>
    </row>
    <row r="147" spans="5:8" x14ac:dyDescent="0.25">
      <c r="E147">
        <v>135</v>
      </c>
      <c r="F147">
        <v>10.29</v>
      </c>
      <c r="G147" s="1">
        <v>0.29479166666666667</v>
      </c>
      <c r="H147" s="3" t="str">
        <f>IF(Qn-(F147-Ta)&gt;2*ENT,"Fara E","Ok")</f>
        <v>Ok</v>
      </c>
    </row>
    <row r="148" spans="5:8" x14ac:dyDescent="0.25">
      <c r="E148">
        <v>136</v>
      </c>
      <c r="F148">
        <v>10.27</v>
      </c>
      <c r="G148" s="1">
        <v>0.29520833333333335</v>
      </c>
      <c r="H148" s="3" t="str">
        <f>IF(Qn-(F148-Ta)&gt;2*ENT,"Fara E","Ok")</f>
        <v>Ok</v>
      </c>
    </row>
    <row r="149" spans="5:8" x14ac:dyDescent="0.25">
      <c r="E149">
        <v>137</v>
      </c>
      <c r="F149">
        <v>10.25</v>
      </c>
      <c r="G149" s="1">
        <v>0.29562499999999997</v>
      </c>
      <c r="H149" s="3" t="str">
        <f>IF(Qn-(F149-Ta)&gt;2*ENT,"Fara E","Ok")</f>
        <v>Ok</v>
      </c>
    </row>
    <row r="150" spans="5:8" x14ac:dyDescent="0.25">
      <c r="E150">
        <v>138</v>
      </c>
      <c r="F150">
        <v>10.29</v>
      </c>
      <c r="G150" s="1">
        <v>0.29603009259259261</v>
      </c>
      <c r="H150" s="3" t="str">
        <f>IF(Qn-(F150-Ta)&gt;2*ENT,"Fara E","Ok")</f>
        <v>Ok</v>
      </c>
    </row>
    <row r="151" spans="5:8" x14ac:dyDescent="0.25">
      <c r="E151">
        <v>139</v>
      </c>
      <c r="F151">
        <v>10.29</v>
      </c>
      <c r="G151" s="1">
        <v>0.29643518518518519</v>
      </c>
      <c r="H151" s="3" t="str">
        <f>IF(Qn-(F151-Ta)&gt;2*ENT,"Fara E","Ok")</f>
        <v>Ok</v>
      </c>
    </row>
    <row r="152" spans="5:8" x14ac:dyDescent="0.25">
      <c r="E152">
        <v>140</v>
      </c>
      <c r="F152">
        <v>10.309999999999999</v>
      </c>
      <c r="G152" s="1">
        <v>0.29684027777777777</v>
      </c>
      <c r="H152" s="3" t="str">
        <f>IF(Qn-(F152-Ta)&gt;2*ENT,"Fara E","Ok")</f>
        <v>Ok</v>
      </c>
    </row>
    <row r="153" spans="5:8" x14ac:dyDescent="0.25">
      <c r="E153">
        <v>141</v>
      </c>
      <c r="F153">
        <v>10.29</v>
      </c>
      <c r="G153" s="1">
        <v>0.29724537037037035</v>
      </c>
      <c r="H153" s="3" t="str">
        <f>IF(Qn-(F153-Ta)&gt;2*ENT,"Fara E","Ok")</f>
        <v>Ok</v>
      </c>
    </row>
    <row r="154" spans="5:8" x14ac:dyDescent="0.25">
      <c r="E154">
        <v>142</v>
      </c>
      <c r="F154">
        <v>10.309999999999999</v>
      </c>
      <c r="G154" s="1">
        <v>0.2976388888888889</v>
      </c>
      <c r="H154" s="3" t="str">
        <f>IF(Qn-(F154-Ta)&gt;2*ENT,"Fara E","Ok")</f>
        <v>Ok</v>
      </c>
    </row>
    <row r="155" spans="5:8" x14ac:dyDescent="0.25">
      <c r="E155">
        <v>143</v>
      </c>
      <c r="F155">
        <v>10.309999999999999</v>
      </c>
      <c r="G155" s="1">
        <v>0.29803240740740738</v>
      </c>
      <c r="H155" s="3" t="str">
        <f>IF(Qn-(F155-Ta)&gt;2*ENT,"Fara E","Ok")</f>
        <v>Ok</v>
      </c>
    </row>
    <row r="156" spans="5:8" x14ac:dyDescent="0.25">
      <c r="E156">
        <v>144</v>
      </c>
      <c r="F156">
        <v>10.27</v>
      </c>
      <c r="G156" s="1">
        <v>0.29843749999999997</v>
      </c>
      <c r="H156" s="3" t="str">
        <f>IF(Qn-(F156-Ta)&gt;2*ENT,"Fara E","Ok")</f>
        <v>Ok</v>
      </c>
    </row>
    <row r="157" spans="5:8" x14ac:dyDescent="0.25">
      <c r="E157">
        <v>145</v>
      </c>
      <c r="F157">
        <v>10.309999999999999</v>
      </c>
      <c r="G157" s="1">
        <v>0.29886574074074074</v>
      </c>
      <c r="H157" s="3" t="str">
        <f>IF(Qn-(F157-Ta)&gt;2*ENT,"Fara E","Ok")</f>
        <v>Ok</v>
      </c>
    </row>
    <row r="158" spans="5:8" x14ac:dyDescent="0.25">
      <c r="E158">
        <v>146</v>
      </c>
      <c r="F158">
        <v>10.29</v>
      </c>
      <c r="G158" s="1">
        <v>0.29927083333333332</v>
      </c>
      <c r="H158" s="3" t="str">
        <f>IF(Qn-(F158-Ta)&gt;2*ENT,"Fara E","Ok")</f>
        <v>Ok</v>
      </c>
    </row>
    <row r="159" spans="5:8" x14ac:dyDescent="0.25">
      <c r="E159">
        <v>147</v>
      </c>
      <c r="F159">
        <v>10.309999999999999</v>
      </c>
      <c r="G159" s="1">
        <v>0.30006944444444444</v>
      </c>
      <c r="H159" s="3" t="str">
        <f>IF(Qn-(F159-Ta)&gt;2*ENT,"Fara E","Ok")</f>
        <v>Ok</v>
      </c>
    </row>
    <row r="160" spans="5:8" x14ac:dyDescent="0.25">
      <c r="E160">
        <v>148</v>
      </c>
      <c r="F160">
        <v>10.309999999999999</v>
      </c>
      <c r="G160" s="1">
        <v>0.30048611111111112</v>
      </c>
      <c r="H160" s="3" t="str">
        <f>IF(Qn-(F160-Ta)&gt;2*ENT,"Fara E","Ok")</f>
        <v>Ok</v>
      </c>
    </row>
    <row r="161" spans="5:8" x14ac:dyDescent="0.25">
      <c r="E161">
        <v>149</v>
      </c>
      <c r="F161">
        <v>10.29</v>
      </c>
      <c r="G161" s="1">
        <v>0.3008912037037037</v>
      </c>
      <c r="H161" s="3" t="str">
        <f>IF(Qn-(F161-Ta)&gt;2*ENT,"Fara E","Ok")</f>
        <v>Ok</v>
      </c>
    </row>
    <row r="162" spans="5:8" x14ac:dyDescent="0.25">
      <c r="E162">
        <v>150</v>
      </c>
      <c r="F162">
        <v>10.27</v>
      </c>
      <c r="G162" s="1">
        <v>0.30127314814814815</v>
      </c>
      <c r="H162" s="3" t="str">
        <f>IF(Qn-(F162-Ta)&gt;2*ENT,"Fara E","Ok")</f>
        <v>Ok</v>
      </c>
    </row>
    <row r="163" spans="5:8" x14ac:dyDescent="0.25">
      <c r="E163">
        <v>151</v>
      </c>
      <c r="F163">
        <v>10.309999999999999</v>
      </c>
      <c r="G163" s="1">
        <v>0.30166666666666669</v>
      </c>
      <c r="H163" s="3" t="str">
        <f>IF(Qn-(F163-Ta)&gt;2*ENT,"Fara E","Ok")</f>
        <v>Ok</v>
      </c>
    </row>
    <row r="164" spans="5:8" x14ac:dyDescent="0.25">
      <c r="E164">
        <v>152</v>
      </c>
      <c r="F164">
        <v>10.27</v>
      </c>
      <c r="G164" s="1">
        <v>0.30207175925925928</v>
      </c>
      <c r="H164" s="3" t="str">
        <f>IF(Qn-(F164-Ta)&gt;2*ENT,"Fara E","Ok")</f>
        <v>Ok</v>
      </c>
    </row>
    <row r="165" spans="5:8" x14ac:dyDescent="0.25">
      <c r="E165">
        <v>153</v>
      </c>
      <c r="F165">
        <v>10.29</v>
      </c>
      <c r="G165" s="1">
        <v>0.30249999999999999</v>
      </c>
      <c r="H165" s="3" t="str">
        <f>IF(Qn-(F165-Ta)&gt;2*ENT,"Fara E","Ok")</f>
        <v>Ok</v>
      </c>
    </row>
    <row r="166" spans="5:8" x14ac:dyDescent="0.25">
      <c r="E166">
        <v>154</v>
      </c>
      <c r="F166">
        <v>10.29</v>
      </c>
      <c r="G166" s="1">
        <v>0.30289351851851853</v>
      </c>
      <c r="H166" s="3" t="str">
        <f>IF(Qn-(F166-Ta)&gt;2*ENT,"Fara E","Ok")</f>
        <v>Ok</v>
      </c>
    </row>
    <row r="167" spans="5:8" x14ac:dyDescent="0.25">
      <c r="E167">
        <v>155</v>
      </c>
      <c r="F167">
        <v>10.309999999999999</v>
      </c>
      <c r="G167" s="1">
        <v>0.30329861111111112</v>
      </c>
      <c r="H167" s="3" t="str">
        <f>IF(Qn-(F167-Ta)&gt;2*ENT,"Fara E","Ok")</f>
        <v>Ok</v>
      </c>
    </row>
    <row r="168" spans="5:8" x14ac:dyDescent="0.25">
      <c r="E168">
        <v>156</v>
      </c>
      <c r="F168">
        <v>10.29</v>
      </c>
      <c r="G168" s="1">
        <v>0.3037037037037037</v>
      </c>
      <c r="H168" s="3" t="str">
        <f>IF(Qn-(F168-Ta)&gt;2*ENT,"Fara E","Ok")</f>
        <v>Ok</v>
      </c>
    </row>
    <row r="169" spans="5:8" x14ac:dyDescent="0.25">
      <c r="E169">
        <v>157</v>
      </c>
      <c r="F169">
        <v>10.309999999999999</v>
      </c>
      <c r="G169" s="1">
        <v>0.30410879629629628</v>
      </c>
      <c r="H169" s="3" t="str">
        <f>IF(Qn-(F169-Ta)&gt;2*ENT,"Fara E","Ok")</f>
        <v>Ok</v>
      </c>
    </row>
    <row r="170" spans="5:8" x14ac:dyDescent="0.25">
      <c r="E170">
        <v>158</v>
      </c>
      <c r="F170">
        <v>10.29</v>
      </c>
      <c r="G170" s="1">
        <v>0.3049074074074074</v>
      </c>
      <c r="H170" s="3" t="str">
        <f>IF(Qn-(F170-Ta)&gt;2*ENT,"Fara E","Ok")</f>
        <v>Ok</v>
      </c>
    </row>
    <row r="171" spans="5:8" x14ac:dyDescent="0.25">
      <c r="E171">
        <v>159</v>
      </c>
      <c r="F171">
        <v>10.29</v>
      </c>
      <c r="G171" s="1">
        <v>0.30531249999999999</v>
      </c>
      <c r="H171" s="3" t="str">
        <f>IF(Qn-(F171-Ta)&gt;2*ENT,"Fara E","Ok")</f>
        <v>Ok</v>
      </c>
    </row>
    <row r="172" spans="5:8" x14ac:dyDescent="0.25">
      <c r="E172">
        <v>160</v>
      </c>
      <c r="F172">
        <v>10.29</v>
      </c>
      <c r="G172" s="1">
        <v>0.30571759259259262</v>
      </c>
      <c r="H172" s="3" t="str">
        <f>IF(Qn-(F172-Ta)&gt;2*ENT,"Fara E","Ok")</f>
        <v>Ok</v>
      </c>
    </row>
    <row r="173" spans="5:8" x14ac:dyDescent="0.25">
      <c r="E173">
        <v>161</v>
      </c>
      <c r="F173">
        <v>10.309999999999999</v>
      </c>
      <c r="G173" s="1">
        <v>0.30612268518518521</v>
      </c>
      <c r="H173" s="3" t="str">
        <f>IF(Qn-(F173-Ta)&gt;2*ENT,"Fara E","Ok")</f>
        <v>Ok</v>
      </c>
    </row>
    <row r="174" spans="5:8" x14ac:dyDescent="0.25">
      <c r="E174">
        <v>162</v>
      </c>
      <c r="F174">
        <v>10.309999999999999</v>
      </c>
      <c r="G174" s="1">
        <v>0.30652777777777779</v>
      </c>
      <c r="H174" s="3" t="str">
        <f>IF(Qn-(F174-Ta)&gt;2*ENT,"Fara E","Ok")</f>
        <v>Ok</v>
      </c>
    </row>
    <row r="175" spans="5:8" x14ac:dyDescent="0.25">
      <c r="E175">
        <v>163</v>
      </c>
      <c r="F175">
        <v>10.29</v>
      </c>
      <c r="G175" s="1">
        <v>0.30693287037037037</v>
      </c>
      <c r="H175" s="3" t="str">
        <f>IF(Qn-(F175-Ta)&gt;2*ENT,"Fara E","Ok")</f>
        <v>Ok</v>
      </c>
    </row>
    <row r="176" spans="5:8" x14ac:dyDescent="0.25">
      <c r="E176">
        <v>164</v>
      </c>
      <c r="F176">
        <v>10.29</v>
      </c>
      <c r="G176" s="1">
        <v>0.30734953703703705</v>
      </c>
      <c r="H176" s="3" t="str">
        <f>IF(Qn-(F176-Ta)&gt;2*ENT,"Fara E","Ok")</f>
        <v>Ok</v>
      </c>
    </row>
    <row r="177" spans="5:8" x14ac:dyDescent="0.25">
      <c r="E177">
        <v>165</v>
      </c>
      <c r="F177">
        <v>10.309999999999999</v>
      </c>
      <c r="G177" s="1">
        <v>0.30774305555555553</v>
      </c>
      <c r="H177" s="3" t="str">
        <f>IF(Qn-(F177-Ta)&gt;2*ENT,"Fara E","Ok")</f>
        <v>Ok</v>
      </c>
    </row>
    <row r="178" spans="5:8" x14ac:dyDescent="0.25">
      <c r="E178">
        <v>166</v>
      </c>
      <c r="F178">
        <v>10.27</v>
      </c>
      <c r="G178" s="1">
        <v>0.30826388888888889</v>
      </c>
      <c r="H178" s="3" t="str">
        <f>IF(Qn-(F178-Ta)&gt;2*ENT,"Fara E","Ok")</f>
        <v>Ok</v>
      </c>
    </row>
    <row r="179" spans="5:8" x14ac:dyDescent="0.25">
      <c r="E179">
        <v>167</v>
      </c>
      <c r="F179">
        <v>10.29</v>
      </c>
      <c r="G179" s="1">
        <v>0.3087152777777778</v>
      </c>
      <c r="H179" s="3" t="str">
        <f>IF(Qn-(F179-Ta)&gt;2*ENT,"Fara E","Ok")</f>
        <v>Ok</v>
      </c>
    </row>
    <row r="180" spans="5:8" x14ac:dyDescent="0.25">
      <c r="E180"/>
      <c r="F180"/>
      <c r="G180" s="1"/>
    </row>
    <row r="181" spans="5:8" x14ac:dyDescent="0.25">
      <c r="E181"/>
      <c r="F181"/>
      <c r="G181" s="1"/>
    </row>
    <row r="182" spans="5:8" x14ac:dyDescent="0.25">
      <c r="E182"/>
      <c r="F182"/>
      <c r="G182" s="1"/>
    </row>
    <row r="183" spans="5:8" x14ac:dyDescent="0.25">
      <c r="E183"/>
      <c r="F183"/>
      <c r="G183" s="1"/>
    </row>
    <row r="184" spans="5:8" x14ac:dyDescent="0.25">
      <c r="E184"/>
      <c r="F184"/>
      <c r="G184" s="1"/>
    </row>
    <row r="185" spans="5:8" x14ac:dyDescent="0.25">
      <c r="E185"/>
      <c r="F185"/>
      <c r="G185" s="1"/>
    </row>
    <row r="186" spans="5:8" x14ac:dyDescent="0.25">
      <c r="E186"/>
      <c r="F186"/>
      <c r="G186" s="1"/>
    </row>
    <row r="187" spans="5:8" x14ac:dyDescent="0.25">
      <c r="E187"/>
      <c r="F187"/>
      <c r="G187" s="1"/>
    </row>
    <row r="188" spans="5:8" x14ac:dyDescent="0.25">
      <c r="E188"/>
      <c r="F188"/>
      <c r="G188" s="1"/>
    </row>
    <row r="189" spans="5:8" x14ac:dyDescent="0.25">
      <c r="E189"/>
      <c r="F189"/>
      <c r="G189" s="1"/>
    </row>
    <row r="190" spans="5:8" x14ac:dyDescent="0.25">
      <c r="E190"/>
      <c r="F190"/>
      <c r="G190" s="1"/>
    </row>
    <row r="191" spans="5:8" x14ac:dyDescent="0.25">
      <c r="E191"/>
      <c r="F191"/>
      <c r="G191" s="1"/>
    </row>
    <row r="192" spans="5:8" x14ac:dyDescent="0.25">
      <c r="E192"/>
      <c r="F192"/>
      <c r="G192" s="1"/>
    </row>
    <row r="193" spans="5:7" x14ac:dyDescent="0.25">
      <c r="E193"/>
      <c r="F193"/>
      <c r="G193" s="1"/>
    </row>
    <row r="194" spans="5:7" x14ac:dyDescent="0.25">
      <c r="E194"/>
      <c r="F194"/>
      <c r="G194" s="1"/>
    </row>
    <row r="195" spans="5:7" x14ac:dyDescent="0.25">
      <c r="E195"/>
      <c r="F195"/>
      <c r="G195" s="1"/>
    </row>
    <row r="196" spans="5:7" x14ac:dyDescent="0.25">
      <c r="E196"/>
      <c r="F196"/>
      <c r="G196" s="1"/>
    </row>
    <row r="197" spans="5:7" x14ac:dyDescent="0.25">
      <c r="E197"/>
      <c r="F197"/>
      <c r="G197" s="1"/>
    </row>
    <row r="198" spans="5:7" x14ac:dyDescent="0.25">
      <c r="E198"/>
      <c r="F198"/>
      <c r="G198" s="1"/>
    </row>
    <row r="199" spans="5:7" x14ac:dyDescent="0.25">
      <c r="E199"/>
      <c r="F199"/>
      <c r="G199" s="1"/>
    </row>
    <row r="200" spans="5:7" x14ac:dyDescent="0.25">
      <c r="E200"/>
      <c r="F200"/>
      <c r="G200" s="1"/>
    </row>
    <row r="201" spans="5:7" x14ac:dyDescent="0.25">
      <c r="E201"/>
      <c r="F201"/>
      <c r="G201" s="1"/>
    </row>
    <row r="202" spans="5:7" x14ac:dyDescent="0.25">
      <c r="E202"/>
      <c r="F202"/>
      <c r="G202" s="1"/>
    </row>
    <row r="203" spans="5:7" x14ac:dyDescent="0.25">
      <c r="E203"/>
      <c r="F203"/>
      <c r="G203" s="1"/>
    </row>
    <row r="204" spans="5:7" x14ac:dyDescent="0.25">
      <c r="E204"/>
      <c r="F204"/>
      <c r="G204" s="1"/>
    </row>
    <row r="205" spans="5:7" x14ac:dyDescent="0.25">
      <c r="E205"/>
      <c r="F205"/>
      <c r="G205" s="1"/>
    </row>
    <row r="206" spans="5:7" x14ac:dyDescent="0.25">
      <c r="E206"/>
      <c r="F206"/>
      <c r="G206" s="1"/>
    </row>
    <row r="207" spans="5:7" x14ac:dyDescent="0.25">
      <c r="E207"/>
      <c r="F207"/>
      <c r="G207" s="1"/>
    </row>
    <row r="208" spans="5:7" x14ac:dyDescent="0.25">
      <c r="E208"/>
      <c r="F208"/>
      <c r="G208" s="1"/>
    </row>
    <row r="209" spans="5:7" x14ac:dyDescent="0.25">
      <c r="E209"/>
      <c r="F209"/>
      <c r="G209" s="1"/>
    </row>
    <row r="210" spans="5:7" x14ac:dyDescent="0.25">
      <c r="E210"/>
      <c r="F210"/>
      <c r="G210" s="1"/>
    </row>
    <row r="211" spans="5:7" x14ac:dyDescent="0.25">
      <c r="E211"/>
      <c r="F211"/>
      <c r="G211" s="1"/>
    </row>
    <row r="212" spans="5:7" x14ac:dyDescent="0.25">
      <c r="E212"/>
      <c r="F212"/>
      <c r="G212" s="1"/>
    </row>
    <row r="213" spans="5:7" x14ac:dyDescent="0.25">
      <c r="E213"/>
      <c r="F213"/>
      <c r="G213" s="1"/>
    </row>
    <row r="214" spans="5:7" x14ac:dyDescent="0.25">
      <c r="E214"/>
      <c r="F214"/>
      <c r="G214" s="1"/>
    </row>
    <row r="215" spans="5:7" x14ac:dyDescent="0.25">
      <c r="E215"/>
      <c r="F215"/>
      <c r="G215" s="1"/>
    </row>
    <row r="216" spans="5:7" x14ac:dyDescent="0.25">
      <c r="E216"/>
      <c r="F216"/>
      <c r="G216" s="1"/>
    </row>
    <row r="217" spans="5:7" x14ac:dyDescent="0.25">
      <c r="E217"/>
      <c r="F217"/>
      <c r="G217" s="1"/>
    </row>
    <row r="218" spans="5:7" x14ac:dyDescent="0.25">
      <c r="E218"/>
      <c r="F218"/>
      <c r="G218" s="1"/>
    </row>
    <row r="219" spans="5:7" x14ac:dyDescent="0.25">
      <c r="E219"/>
      <c r="F219"/>
      <c r="G219" s="1"/>
    </row>
    <row r="220" spans="5:7" x14ac:dyDescent="0.25">
      <c r="E220"/>
      <c r="F220"/>
      <c r="G220" s="1"/>
    </row>
    <row r="221" spans="5:7" x14ac:dyDescent="0.25">
      <c r="E221"/>
      <c r="F221"/>
      <c r="G221" s="1"/>
    </row>
    <row r="222" spans="5:7" x14ac:dyDescent="0.25">
      <c r="E222"/>
      <c r="F222"/>
      <c r="G222" s="1"/>
    </row>
    <row r="223" spans="5:7" x14ac:dyDescent="0.25">
      <c r="E223"/>
      <c r="F223"/>
      <c r="G223" s="1"/>
    </row>
    <row r="224" spans="5:7" x14ac:dyDescent="0.25">
      <c r="E224"/>
      <c r="F224"/>
      <c r="G224" s="1"/>
    </row>
    <row r="225" spans="5:7" x14ac:dyDescent="0.25">
      <c r="E225"/>
      <c r="F225"/>
      <c r="G225" s="1"/>
    </row>
    <row r="226" spans="5:7" x14ac:dyDescent="0.25">
      <c r="E226"/>
      <c r="F226"/>
      <c r="G226" s="1"/>
    </row>
    <row r="227" spans="5:7" x14ac:dyDescent="0.25">
      <c r="E227"/>
      <c r="F227"/>
      <c r="G227" s="1"/>
    </row>
    <row r="228" spans="5:7" x14ac:dyDescent="0.25">
      <c r="E228"/>
      <c r="F228"/>
      <c r="G228" s="1"/>
    </row>
    <row r="229" spans="5:7" x14ac:dyDescent="0.25">
      <c r="E229"/>
      <c r="F229"/>
      <c r="G229" s="1"/>
    </row>
    <row r="230" spans="5:7" x14ac:dyDescent="0.25">
      <c r="E230"/>
      <c r="F230"/>
      <c r="G230" s="1"/>
    </row>
    <row r="231" spans="5:7" x14ac:dyDescent="0.25">
      <c r="E231"/>
      <c r="F231"/>
      <c r="G231" s="1"/>
    </row>
    <row r="232" spans="5:7" x14ac:dyDescent="0.25">
      <c r="E232"/>
      <c r="F232"/>
      <c r="G232" s="1"/>
    </row>
    <row r="233" spans="5:7" x14ac:dyDescent="0.25">
      <c r="E233"/>
      <c r="F233"/>
      <c r="G233" s="1"/>
    </row>
    <row r="234" spans="5:7" x14ac:dyDescent="0.25">
      <c r="E234"/>
      <c r="F234"/>
      <c r="G234" s="1"/>
    </row>
    <row r="235" spans="5:7" x14ac:dyDescent="0.25">
      <c r="E235"/>
      <c r="F235"/>
      <c r="G235" s="1"/>
    </row>
    <row r="236" spans="5:7" x14ac:dyDescent="0.25">
      <c r="E236"/>
      <c r="F236"/>
      <c r="G236" s="1"/>
    </row>
    <row r="237" spans="5:7" x14ac:dyDescent="0.25">
      <c r="E237"/>
      <c r="F237"/>
      <c r="G237" s="1"/>
    </row>
    <row r="238" spans="5:7" x14ac:dyDescent="0.25">
      <c r="E238"/>
      <c r="F238"/>
      <c r="G238" s="1"/>
    </row>
    <row r="239" spans="5:7" x14ac:dyDescent="0.25">
      <c r="E239"/>
      <c r="F239"/>
      <c r="G239" s="1"/>
    </row>
    <row r="240" spans="5:7" x14ac:dyDescent="0.25">
      <c r="E240"/>
      <c r="F240"/>
      <c r="G240" s="1"/>
    </row>
    <row r="241" spans="5:7" x14ac:dyDescent="0.25">
      <c r="E241"/>
      <c r="F241"/>
      <c r="G241" s="1"/>
    </row>
    <row r="242" spans="5:7" x14ac:dyDescent="0.25">
      <c r="E242"/>
      <c r="F242"/>
      <c r="G242" s="1"/>
    </row>
    <row r="243" spans="5:7" x14ac:dyDescent="0.25">
      <c r="E243"/>
      <c r="F243"/>
      <c r="G243" s="1"/>
    </row>
    <row r="244" spans="5:7" x14ac:dyDescent="0.25">
      <c r="E244"/>
      <c r="F244"/>
      <c r="G244" s="1"/>
    </row>
    <row r="245" spans="5:7" x14ac:dyDescent="0.25">
      <c r="E245"/>
      <c r="F245"/>
      <c r="G245" s="1"/>
    </row>
    <row r="246" spans="5:7" x14ac:dyDescent="0.25">
      <c r="E246"/>
      <c r="F246"/>
      <c r="G246" s="1"/>
    </row>
    <row r="247" spans="5:7" x14ac:dyDescent="0.25">
      <c r="E247"/>
      <c r="F247"/>
      <c r="G247" s="1"/>
    </row>
    <row r="248" spans="5:7" x14ac:dyDescent="0.25">
      <c r="E248"/>
      <c r="F248"/>
      <c r="G248" s="1"/>
    </row>
    <row r="249" spans="5:7" x14ac:dyDescent="0.25">
      <c r="E249"/>
      <c r="F249"/>
      <c r="G249" s="1"/>
    </row>
    <row r="250" spans="5:7" x14ac:dyDescent="0.25">
      <c r="E250"/>
      <c r="F250"/>
      <c r="G250" s="1"/>
    </row>
    <row r="251" spans="5:7" x14ac:dyDescent="0.25">
      <c r="E251"/>
      <c r="F251"/>
      <c r="G251" s="1"/>
    </row>
    <row r="252" spans="5:7" x14ac:dyDescent="0.25">
      <c r="E252"/>
      <c r="F252"/>
      <c r="G252" s="1"/>
    </row>
    <row r="253" spans="5:7" x14ac:dyDescent="0.25">
      <c r="E253"/>
      <c r="F253"/>
      <c r="G253" s="1"/>
    </row>
    <row r="254" spans="5:7" x14ac:dyDescent="0.25">
      <c r="E254"/>
      <c r="F254"/>
      <c r="G254" s="1"/>
    </row>
    <row r="255" spans="5:7" x14ac:dyDescent="0.25">
      <c r="E255"/>
      <c r="F255"/>
      <c r="G255" s="1"/>
    </row>
    <row r="256" spans="5:7" x14ac:dyDescent="0.25">
      <c r="E256"/>
      <c r="F256"/>
      <c r="G256" s="1"/>
    </row>
    <row r="257" spans="5:7" x14ac:dyDescent="0.25">
      <c r="E257"/>
      <c r="F257"/>
      <c r="G257" s="1"/>
    </row>
    <row r="258" spans="5:7" x14ac:dyDescent="0.25">
      <c r="E258"/>
      <c r="F258"/>
      <c r="G258" s="1"/>
    </row>
    <row r="259" spans="5:7" x14ac:dyDescent="0.25">
      <c r="E259"/>
      <c r="F259"/>
      <c r="G259" s="1"/>
    </row>
    <row r="260" spans="5:7" x14ac:dyDescent="0.25">
      <c r="E260"/>
      <c r="F260"/>
      <c r="G260" s="1"/>
    </row>
    <row r="261" spans="5:7" x14ac:dyDescent="0.25">
      <c r="E261"/>
      <c r="F261"/>
      <c r="G261" s="1"/>
    </row>
    <row r="262" spans="5:7" x14ac:dyDescent="0.25">
      <c r="E262"/>
      <c r="F262"/>
      <c r="G262" s="1"/>
    </row>
    <row r="263" spans="5:7" x14ac:dyDescent="0.25">
      <c r="E263"/>
      <c r="F263"/>
      <c r="G263" s="1"/>
    </row>
    <row r="264" spans="5:7" x14ac:dyDescent="0.25">
      <c r="E264"/>
      <c r="F264"/>
      <c r="G264" s="1"/>
    </row>
    <row r="265" spans="5:7" x14ac:dyDescent="0.25">
      <c r="E265"/>
      <c r="F265"/>
      <c r="G265" s="1"/>
    </row>
    <row r="266" spans="5:7" x14ac:dyDescent="0.25">
      <c r="E266"/>
      <c r="F266"/>
      <c r="G266" s="1"/>
    </row>
    <row r="267" spans="5:7" x14ac:dyDescent="0.25">
      <c r="E267"/>
      <c r="F267"/>
      <c r="G267" s="1"/>
    </row>
    <row r="268" spans="5:7" x14ac:dyDescent="0.25">
      <c r="E268"/>
      <c r="F268"/>
      <c r="G268" s="1"/>
    </row>
    <row r="269" spans="5:7" x14ac:dyDescent="0.25">
      <c r="E269"/>
      <c r="F269"/>
      <c r="G269" s="1"/>
    </row>
    <row r="270" spans="5:7" x14ac:dyDescent="0.25">
      <c r="E270"/>
      <c r="F270"/>
      <c r="G270" s="1"/>
    </row>
    <row r="271" spans="5:7" x14ac:dyDescent="0.25">
      <c r="E271"/>
      <c r="F271"/>
      <c r="G271" s="1"/>
    </row>
    <row r="272" spans="5:7" x14ac:dyDescent="0.25">
      <c r="E272"/>
      <c r="F272"/>
      <c r="G272" s="1"/>
    </row>
    <row r="273" spans="5:7" x14ac:dyDescent="0.25">
      <c r="E273"/>
      <c r="F273"/>
      <c r="G273" s="1"/>
    </row>
    <row r="274" spans="5:7" x14ac:dyDescent="0.25">
      <c r="E274"/>
      <c r="F274"/>
      <c r="G274" s="1"/>
    </row>
    <row r="275" spans="5:7" x14ac:dyDescent="0.25">
      <c r="E275"/>
      <c r="F275"/>
      <c r="G275" s="1"/>
    </row>
    <row r="276" spans="5:7" x14ac:dyDescent="0.25">
      <c r="E276"/>
      <c r="F276"/>
      <c r="G276" s="1"/>
    </row>
    <row r="277" spans="5:7" x14ac:dyDescent="0.25">
      <c r="E277"/>
      <c r="F277"/>
      <c r="G277" s="1"/>
    </row>
    <row r="278" spans="5:7" x14ac:dyDescent="0.25">
      <c r="E278"/>
      <c r="F278"/>
      <c r="G278" s="1"/>
    </row>
    <row r="279" spans="5:7" x14ac:dyDescent="0.25">
      <c r="E279"/>
      <c r="F279"/>
      <c r="G279" s="1"/>
    </row>
    <row r="280" spans="5:7" x14ac:dyDescent="0.25">
      <c r="E280"/>
      <c r="F280"/>
      <c r="G280" s="1"/>
    </row>
    <row r="281" spans="5:7" x14ac:dyDescent="0.25">
      <c r="E281"/>
      <c r="F281"/>
      <c r="G281" s="1"/>
    </row>
    <row r="282" spans="5:7" x14ac:dyDescent="0.25">
      <c r="E282"/>
      <c r="F282"/>
      <c r="G282" s="1"/>
    </row>
    <row r="283" spans="5:7" x14ac:dyDescent="0.25">
      <c r="E283"/>
      <c r="F283"/>
      <c r="G283" s="1"/>
    </row>
    <row r="284" spans="5:7" x14ac:dyDescent="0.25">
      <c r="E284"/>
      <c r="F284"/>
      <c r="G284" s="1"/>
    </row>
    <row r="285" spans="5:7" x14ac:dyDescent="0.25">
      <c r="E285"/>
      <c r="F285"/>
      <c r="G285" s="1"/>
    </row>
    <row r="286" spans="5:7" x14ac:dyDescent="0.25">
      <c r="E286"/>
      <c r="F286"/>
      <c r="G286" s="1"/>
    </row>
    <row r="287" spans="5:7" x14ac:dyDescent="0.25">
      <c r="E287"/>
      <c r="F287"/>
      <c r="G287" s="1"/>
    </row>
    <row r="288" spans="5:7" x14ac:dyDescent="0.25">
      <c r="E288"/>
      <c r="F288"/>
      <c r="G288" s="1"/>
    </row>
    <row r="289" spans="5:7" x14ac:dyDescent="0.25">
      <c r="E289"/>
      <c r="F289"/>
      <c r="G289" s="1"/>
    </row>
    <row r="290" spans="5:7" x14ac:dyDescent="0.25">
      <c r="E290"/>
      <c r="F290"/>
      <c r="G290" s="1"/>
    </row>
    <row r="291" spans="5:7" x14ac:dyDescent="0.25">
      <c r="E291"/>
      <c r="F291"/>
      <c r="G291" s="1"/>
    </row>
    <row r="292" spans="5:7" x14ac:dyDescent="0.25">
      <c r="E292"/>
      <c r="F292"/>
      <c r="G292" s="1"/>
    </row>
    <row r="293" spans="5:7" x14ac:dyDescent="0.25">
      <c r="E293"/>
      <c r="F293"/>
      <c r="G293" s="1"/>
    </row>
    <row r="294" spans="5:7" x14ac:dyDescent="0.25">
      <c r="E294"/>
      <c r="F294"/>
      <c r="G294" s="1"/>
    </row>
    <row r="295" spans="5:7" x14ac:dyDescent="0.25">
      <c r="E295"/>
      <c r="F295"/>
      <c r="G295" s="1"/>
    </row>
    <row r="296" spans="5:7" x14ac:dyDescent="0.25">
      <c r="E296"/>
      <c r="F296"/>
      <c r="G296" s="1"/>
    </row>
    <row r="297" spans="5:7" x14ac:dyDescent="0.25">
      <c r="E297"/>
      <c r="F297"/>
      <c r="G297" s="1"/>
    </row>
    <row r="298" spans="5:7" x14ac:dyDescent="0.25">
      <c r="E298"/>
      <c r="F298"/>
      <c r="G298" s="1"/>
    </row>
    <row r="299" spans="5:7" x14ac:dyDescent="0.25">
      <c r="E299"/>
      <c r="F299"/>
      <c r="G299" s="1"/>
    </row>
    <row r="300" spans="5:7" x14ac:dyDescent="0.25">
      <c r="E300"/>
      <c r="F300"/>
      <c r="G300" s="1"/>
    </row>
    <row r="301" spans="5:7" x14ac:dyDescent="0.25">
      <c r="E301"/>
      <c r="F301"/>
      <c r="G301" s="1"/>
    </row>
    <row r="302" spans="5:7" x14ac:dyDescent="0.25">
      <c r="E302"/>
      <c r="F302"/>
      <c r="G302" s="1"/>
    </row>
    <row r="303" spans="5:7" x14ac:dyDescent="0.25">
      <c r="E303"/>
      <c r="F303"/>
      <c r="G303" s="1"/>
    </row>
    <row r="304" spans="5:7" x14ac:dyDescent="0.25">
      <c r="E304"/>
      <c r="F304"/>
      <c r="G304" s="1"/>
    </row>
    <row r="305" spans="5:7" x14ac:dyDescent="0.25">
      <c r="E305"/>
      <c r="F305"/>
      <c r="G305" s="1"/>
    </row>
    <row r="306" spans="5:7" x14ac:dyDescent="0.25">
      <c r="E306"/>
      <c r="F306"/>
      <c r="G306" s="1"/>
    </row>
    <row r="307" spans="5:7" x14ac:dyDescent="0.25">
      <c r="E307"/>
      <c r="F307"/>
      <c r="G307" s="1"/>
    </row>
    <row r="308" spans="5:7" x14ac:dyDescent="0.25">
      <c r="E308"/>
      <c r="F308"/>
      <c r="G308" s="1"/>
    </row>
    <row r="309" spans="5:7" x14ac:dyDescent="0.25">
      <c r="E309"/>
      <c r="F309"/>
      <c r="G309" s="1"/>
    </row>
    <row r="310" spans="5:7" x14ac:dyDescent="0.25">
      <c r="E310"/>
      <c r="F310"/>
      <c r="G310" s="1"/>
    </row>
    <row r="311" spans="5:7" x14ac:dyDescent="0.25">
      <c r="E311"/>
      <c r="F311"/>
      <c r="G311" s="1"/>
    </row>
    <row r="312" spans="5:7" x14ac:dyDescent="0.25">
      <c r="E312"/>
      <c r="F312"/>
      <c r="G312" s="1"/>
    </row>
    <row r="313" spans="5:7" x14ac:dyDescent="0.25">
      <c r="E313"/>
      <c r="F313"/>
      <c r="G313" s="1"/>
    </row>
    <row r="314" spans="5:7" x14ac:dyDescent="0.25">
      <c r="E314"/>
      <c r="F314"/>
      <c r="G314" s="1"/>
    </row>
    <row r="315" spans="5:7" x14ac:dyDescent="0.25">
      <c r="E315"/>
      <c r="F315"/>
      <c r="G315" s="1"/>
    </row>
    <row r="316" spans="5:7" x14ac:dyDescent="0.25">
      <c r="E316"/>
      <c r="F316"/>
      <c r="G316" s="1"/>
    </row>
    <row r="317" spans="5:7" x14ac:dyDescent="0.25">
      <c r="E317"/>
      <c r="F317"/>
      <c r="G317" s="1"/>
    </row>
    <row r="318" spans="5:7" x14ac:dyDescent="0.25">
      <c r="E318"/>
      <c r="F318"/>
      <c r="G318" s="1"/>
    </row>
    <row r="319" spans="5:7" x14ac:dyDescent="0.25">
      <c r="E319"/>
      <c r="F319"/>
      <c r="G319" s="1"/>
    </row>
    <row r="320" spans="5:7" x14ac:dyDescent="0.25">
      <c r="E320"/>
      <c r="F320"/>
      <c r="G320" s="1"/>
    </row>
    <row r="321" spans="5:7" x14ac:dyDescent="0.25">
      <c r="E321"/>
      <c r="F321"/>
      <c r="G321" s="1"/>
    </row>
    <row r="322" spans="5:7" x14ac:dyDescent="0.25">
      <c r="E322"/>
      <c r="F322"/>
      <c r="G322" s="1"/>
    </row>
    <row r="323" spans="5:7" x14ac:dyDescent="0.25">
      <c r="E323"/>
      <c r="F323"/>
      <c r="G323" s="1"/>
    </row>
    <row r="324" spans="5:7" x14ac:dyDescent="0.25">
      <c r="E324"/>
      <c r="F324"/>
      <c r="G324" s="1"/>
    </row>
    <row r="325" spans="5:7" x14ac:dyDescent="0.25">
      <c r="E325"/>
      <c r="F325"/>
      <c r="G325" s="1"/>
    </row>
    <row r="326" spans="5:7" x14ac:dyDescent="0.25">
      <c r="E326"/>
      <c r="F326"/>
      <c r="G326" s="1"/>
    </row>
    <row r="327" spans="5:7" x14ac:dyDescent="0.25">
      <c r="E327"/>
      <c r="F327"/>
      <c r="G327" s="1"/>
    </row>
    <row r="328" spans="5:7" x14ac:dyDescent="0.25">
      <c r="E328"/>
      <c r="F328"/>
      <c r="G328" s="1"/>
    </row>
    <row r="329" spans="5:7" x14ac:dyDescent="0.25">
      <c r="E329"/>
      <c r="F329"/>
      <c r="G329" s="1"/>
    </row>
    <row r="330" spans="5:7" x14ac:dyDescent="0.25">
      <c r="E330"/>
      <c r="F330"/>
      <c r="G330" s="1"/>
    </row>
    <row r="331" spans="5:7" x14ac:dyDescent="0.25">
      <c r="E331"/>
      <c r="F331"/>
      <c r="G331" s="1"/>
    </row>
    <row r="332" spans="5:7" x14ac:dyDescent="0.25">
      <c r="E332"/>
      <c r="F332"/>
      <c r="G332" s="1"/>
    </row>
    <row r="333" spans="5:7" x14ac:dyDescent="0.25">
      <c r="E333"/>
      <c r="F333"/>
      <c r="G333" s="1"/>
    </row>
    <row r="334" spans="5:7" x14ac:dyDescent="0.25">
      <c r="E334"/>
      <c r="F334"/>
      <c r="G334" s="1"/>
    </row>
    <row r="335" spans="5:7" x14ac:dyDescent="0.25">
      <c r="E335"/>
      <c r="F335"/>
      <c r="G335" s="1"/>
    </row>
    <row r="336" spans="5:7" x14ac:dyDescent="0.25">
      <c r="E336"/>
      <c r="F336"/>
      <c r="G336" s="1"/>
    </row>
    <row r="337" spans="5:7" x14ac:dyDescent="0.25">
      <c r="E337"/>
      <c r="F337"/>
      <c r="G337" s="1"/>
    </row>
    <row r="338" spans="5:7" x14ac:dyDescent="0.25">
      <c r="E338"/>
      <c r="F338"/>
      <c r="G338" s="1"/>
    </row>
    <row r="339" spans="5:7" x14ac:dyDescent="0.25">
      <c r="E339"/>
      <c r="F339"/>
      <c r="G339" s="1"/>
    </row>
    <row r="340" spans="5:7" x14ac:dyDescent="0.25">
      <c r="E340"/>
      <c r="F340"/>
      <c r="G340" s="1"/>
    </row>
    <row r="341" spans="5:7" x14ac:dyDescent="0.25">
      <c r="E341"/>
      <c r="F341"/>
      <c r="G341" s="1"/>
    </row>
    <row r="342" spans="5:7" x14ac:dyDescent="0.25">
      <c r="E342"/>
      <c r="F342"/>
      <c r="G342" s="1"/>
    </row>
    <row r="343" spans="5:7" x14ac:dyDescent="0.25">
      <c r="E343"/>
      <c r="F343"/>
      <c r="G343" s="1"/>
    </row>
    <row r="344" spans="5:7" x14ac:dyDescent="0.25">
      <c r="E344"/>
      <c r="F344"/>
      <c r="G344" s="1"/>
    </row>
    <row r="345" spans="5:7" x14ac:dyDescent="0.25">
      <c r="E345"/>
      <c r="F345"/>
      <c r="G345" s="1"/>
    </row>
    <row r="346" spans="5:7" x14ac:dyDescent="0.25">
      <c r="E346"/>
      <c r="F346"/>
      <c r="G346" s="1"/>
    </row>
    <row r="347" spans="5:7" x14ac:dyDescent="0.25">
      <c r="E347"/>
      <c r="F347"/>
      <c r="G347" s="1"/>
    </row>
    <row r="348" spans="5:7" x14ac:dyDescent="0.25">
      <c r="E348"/>
      <c r="F348"/>
      <c r="G348" s="1"/>
    </row>
    <row r="349" spans="5:7" x14ac:dyDescent="0.25">
      <c r="E349"/>
      <c r="F349"/>
      <c r="G349" s="1"/>
    </row>
    <row r="350" spans="5:7" x14ac:dyDescent="0.25">
      <c r="E350"/>
      <c r="F350"/>
      <c r="G350" s="1"/>
    </row>
    <row r="351" spans="5:7" x14ac:dyDescent="0.25">
      <c r="E351"/>
      <c r="F351"/>
      <c r="G351" s="1"/>
    </row>
    <row r="352" spans="5:7" x14ac:dyDescent="0.25">
      <c r="E352"/>
      <c r="F352"/>
      <c r="G352" s="1"/>
    </row>
    <row r="353" spans="5:7" x14ac:dyDescent="0.25">
      <c r="E353"/>
      <c r="F353"/>
      <c r="G353" s="1"/>
    </row>
    <row r="354" spans="5:7" x14ac:dyDescent="0.25">
      <c r="E354"/>
      <c r="F354"/>
      <c r="G354" s="1"/>
    </row>
    <row r="355" spans="5:7" x14ac:dyDescent="0.25">
      <c r="E355"/>
      <c r="F355"/>
      <c r="G355" s="1"/>
    </row>
    <row r="356" spans="5:7" x14ac:dyDescent="0.25">
      <c r="E356"/>
      <c r="F356"/>
      <c r="G356" s="1"/>
    </row>
    <row r="357" spans="5:7" x14ac:dyDescent="0.25">
      <c r="E357"/>
      <c r="F357"/>
      <c r="G357" s="1"/>
    </row>
    <row r="358" spans="5:7" x14ac:dyDescent="0.25">
      <c r="E358"/>
      <c r="F358"/>
      <c r="G358" s="1"/>
    </row>
    <row r="359" spans="5:7" x14ac:dyDescent="0.25">
      <c r="E359"/>
      <c r="F359"/>
      <c r="G359" s="1"/>
    </row>
    <row r="360" spans="5:7" x14ac:dyDescent="0.25">
      <c r="E360"/>
      <c r="F360"/>
      <c r="G360" s="1"/>
    </row>
    <row r="361" spans="5:7" x14ac:dyDescent="0.25">
      <c r="E361"/>
      <c r="F361"/>
      <c r="G361" s="1"/>
    </row>
    <row r="362" spans="5:7" x14ac:dyDescent="0.25">
      <c r="E362"/>
      <c r="F362"/>
      <c r="G362" s="1"/>
    </row>
    <row r="363" spans="5:7" x14ac:dyDescent="0.25">
      <c r="E363"/>
      <c r="F363"/>
      <c r="G363" s="1"/>
    </row>
    <row r="364" spans="5:7" x14ac:dyDescent="0.25">
      <c r="E364"/>
      <c r="F364"/>
      <c r="G364" s="1"/>
    </row>
    <row r="365" spans="5:7" x14ac:dyDescent="0.25">
      <c r="E365"/>
      <c r="F365"/>
      <c r="G365" s="1"/>
    </row>
    <row r="366" spans="5:7" x14ac:dyDescent="0.25">
      <c r="E366"/>
      <c r="F366"/>
      <c r="G366" s="1"/>
    </row>
    <row r="367" spans="5:7" x14ac:dyDescent="0.25">
      <c r="E367"/>
      <c r="F367"/>
      <c r="G367" s="1"/>
    </row>
    <row r="368" spans="5:7" x14ac:dyDescent="0.25">
      <c r="E368"/>
      <c r="F368"/>
      <c r="G368" s="1"/>
    </row>
    <row r="369" spans="5:7" x14ac:dyDescent="0.25">
      <c r="E369"/>
      <c r="F369"/>
      <c r="G369" s="1"/>
    </row>
    <row r="370" spans="5:7" x14ac:dyDescent="0.25">
      <c r="E370"/>
      <c r="F370"/>
      <c r="G370" s="1"/>
    </row>
    <row r="371" spans="5:7" x14ac:dyDescent="0.25">
      <c r="E371"/>
      <c r="F371"/>
      <c r="G371" s="1"/>
    </row>
    <row r="372" spans="5:7" x14ac:dyDescent="0.25">
      <c r="E372"/>
      <c r="F372"/>
      <c r="G372" s="1"/>
    </row>
    <row r="373" spans="5:7" x14ac:dyDescent="0.25">
      <c r="E373"/>
      <c r="F373"/>
      <c r="G373" s="1"/>
    </row>
    <row r="374" spans="5:7" x14ac:dyDescent="0.25">
      <c r="E374"/>
      <c r="F374"/>
      <c r="G374" s="1"/>
    </row>
    <row r="375" spans="5:7" x14ac:dyDescent="0.25">
      <c r="E375"/>
      <c r="F375"/>
      <c r="G375" s="1"/>
    </row>
    <row r="376" spans="5:7" x14ac:dyDescent="0.25">
      <c r="E376"/>
      <c r="F376"/>
      <c r="G376" s="1"/>
    </row>
    <row r="377" spans="5:7" x14ac:dyDescent="0.25">
      <c r="E377"/>
      <c r="F377"/>
      <c r="G377" s="1"/>
    </row>
    <row r="378" spans="5:7" x14ac:dyDescent="0.25">
      <c r="E378"/>
      <c r="F378"/>
      <c r="G378" s="1"/>
    </row>
    <row r="379" spans="5:7" x14ac:dyDescent="0.25">
      <c r="E379"/>
      <c r="F379"/>
      <c r="G379" s="1"/>
    </row>
    <row r="380" spans="5:7" x14ac:dyDescent="0.25">
      <c r="E380"/>
      <c r="F380"/>
      <c r="G380" s="1"/>
    </row>
    <row r="381" spans="5:7" x14ac:dyDescent="0.25">
      <c r="E381"/>
      <c r="F381"/>
      <c r="G381" s="1"/>
    </row>
    <row r="382" spans="5:7" x14ac:dyDescent="0.25">
      <c r="E382"/>
      <c r="F382"/>
      <c r="G382" s="1"/>
    </row>
    <row r="383" spans="5:7" x14ac:dyDescent="0.25">
      <c r="E383"/>
      <c r="F383"/>
      <c r="G383" s="1"/>
    </row>
    <row r="384" spans="5:7" x14ac:dyDescent="0.25">
      <c r="E384"/>
      <c r="F384"/>
      <c r="G384" s="1"/>
    </row>
    <row r="385" spans="5:7" x14ac:dyDescent="0.25">
      <c r="E385"/>
      <c r="F385"/>
      <c r="G385" s="1"/>
    </row>
    <row r="386" spans="5:7" x14ac:dyDescent="0.25">
      <c r="E386"/>
      <c r="F386"/>
      <c r="G386" s="1"/>
    </row>
    <row r="387" spans="5:7" x14ac:dyDescent="0.25">
      <c r="E387"/>
      <c r="F387"/>
      <c r="G387" s="1"/>
    </row>
    <row r="388" spans="5:7" x14ac:dyDescent="0.25">
      <c r="E388"/>
      <c r="F388"/>
      <c r="G388" s="1"/>
    </row>
    <row r="389" spans="5:7" x14ac:dyDescent="0.25">
      <c r="E389"/>
      <c r="F389"/>
      <c r="G389" s="1"/>
    </row>
    <row r="390" spans="5:7" x14ac:dyDescent="0.25">
      <c r="E390"/>
      <c r="F390"/>
      <c r="G390" s="1"/>
    </row>
    <row r="391" spans="5:7" x14ac:dyDescent="0.25">
      <c r="E391"/>
      <c r="F391"/>
      <c r="G391" s="1"/>
    </row>
    <row r="392" spans="5:7" x14ac:dyDescent="0.25">
      <c r="E392"/>
      <c r="F392"/>
      <c r="G392" s="1"/>
    </row>
    <row r="393" spans="5:7" x14ac:dyDescent="0.25">
      <c r="E393"/>
      <c r="F393"/>
      <c r="G393" s="1"/>
    </row>
    <row r="394" spans="5:7" x14ac:dyDescent="0.25">
      <c r="E394"/>
      <c r="F394"/>
      <c r="G394" s="1"/>
    </row>
    <row r="395" spans="5:7" x14ac:dyDescent="0.25">
      <c r="E395"/>
      <c r="F395"/>
      <c r="G395" s="1"/>
    </row>
    <row r="396" spans="5:7" x14ac:dyDescent="0.25">
      <c r="E396"/>
      <c r="F396"/>
      <c r="G396" s="1"/>
    </row>
    <row r="397" spans="5:7" x14ac:dyDescent="0.25">
      <c r="E397"/>
      <c r="F397"/>
      <c r="G397" s="1"/>
    </row>
    <row r="398" spans="5:7" x14ac:dyDescent="0.25">
      <c r="E398"/>
      <c r="F398"/>
      <c r="G398" s="1"/>
    </row>
    <row r="399" spans="5:7" x14ac:dyDescent="0.25">
      <c r="E399"/>
      <c r="F399"/>
      <c r="G399" s="1"/>
    </row>
    <row r="400" spans="5:7" x14ac:dyDescent="0.25">
      <c r="E400"/>
      <c r="F400"/>
      <c r="G400" s="1"/>
    </row>
    <row r="401" spans="5:7" x14ac:dyDescent="0.25">
      <c r="E401"/>
      <c r="F401"/>
      <c r="G401" s="1"/>
    </row>
    <row r="402" spans="5:7" x14ac:dyDescent="0.25">
      <c r="E402"/>
      <c r="F402"/>
      <c r="G402" s="1"/>
    </row>
    <row r="403" spans="5:7" x14ac:dyDescent="0.25">
      <c r="E403"/>
      <c r="F403"/>
      <c r="G403" s="1"/>
    </row>
    <row r="404" spans="5:7" x14ac:dyDescent="0.25">
      <c r="E404"/>
      <c r="F404"/>
      <c r="G404" s="1"/>
    </row>
    <row r="405" spans="5:7" x14ac:dyDescent="0.25">
      <c r="E405"/>
      <c r="F405"/>
      <c r="G405" s="1"/>
    </row>
    <row r="406" spans="5:7" x14ac:dyDescent="0.25">
      <c r="E406"/>
      <c r="F406"/>
      <c r="G406" s="1"/>
    </row>
    <row r="407" spans="5:7" x14ac:dyDescent="0.25">
      <c r="E407"/>
      <c r="F407"/>
      <c r="G407" s="1"/>
    </row>
    <row r="408" spans="5:7" x14ac:dyDescent="0.25">
      <c r="E408"/>
      <c r="F408"/>
      <c r="G408" s="1"/>
    </row>
    <row r="409" spans="5:7" x14ac:dyDescent="0.25">
      <c r="E409"/>
      <c r="F409"/>
      <c r="G409" s="1"/>
    </row>
    <row r="410" spans="5:7" x14ac:dyDescent="0.25">
      <c r="E410"/>
      <c r="F410"/>
      <c r="G410" s="1"/>
    </row>
    <row r="411" spans="5:7" x14ac:dyDescent="0.25">
      <c r="E411"/>
      <c r="F411"/>
      <c r="G411" s="1"/>
    </row>
    <row r="412" spans="5:7" x14ac:dyDescent="0.25">
      <c r="E412"/>
      <c r="F412"/>
      <c r="G412" s="1"/>
    </row>
    <row r="413" spans="5:7" x14ac:dyDescent="0.25">
      <c r="E413"/>
      <c r="F413"/>
      <c r="G413" s="1"/>
    </row>
    <row r="414" spans="5:7" x14ac:dyDescent="0.25">
      <c r="E414"/>
      <c r="F414"/>
      <c r="G414" s="1"/>
    </row>
    <row r="415" spans="5:7" x14ac:dyDescent="0.25">
      <c r="E415"/>
      <c r="F415"/>
      <c r="G415" s="1"/>
    </row>
    <row r="416" spans="5:7" x14ac:dyDescent="0.25">
      <c r="E416"/>
      <c r="F416"/>
      <c r="G416" s="1"/>
    </row>
    <row r="417" spans="5:7" x14ac:dyDescent="0.25">
      <c r="E417"/>
      <c r="F417"/>
      <c r="G417" s="1"/>
    </row>
    <row r="418" spans="5:7" x14ac:dyDescent="0.25">
      <c r="E418"/>
      <c r="F418"/>
      <c r="G418" s="1"/>
    </row>
    <row r="419" spans="5:7" x14ac:dyDescent="0.25">
      <c r="E419"/>
      <c r="F419"/>
      <c r="G419" s="1"/>
    </row>
    <row r="420" spans="5:7" x14ac:dyDescent="0.25">
      <c r="E420"/>
      <c r="F420"/>
      <c r="G420" s="1"/>
    </row>
    <row r="421" spans="5:7" x14ac:dyDescent="0.25">
      <c r="E421"/>
      <c r="F421"/>
      <c r="G421" s="1"/>
    </row>
    <row r="422" spans="5:7" x14ac:dyDescent="0.25">
      <c r="E422"/>
      <c r="F422"/>
      <c r="G422" s="1"/>
    </row>
    <row r="423" spans="5:7" x14ac:dyDescent="0.25">
      <c r="E423"/>
      <c r="F423"/>
      <c r="G423" s="1"/>
    </row>
    <row r="424" spans="5:7" x14ac:dyDescent="0.25">
      <c r="E424"/>
      <c r="F424"/>
      <c r="G424" s="1"/>
    </row>
    <row r="425" spans="5:7" x14ac:dyDescent="0.25">
      <c r="E425"/>
      <c r="F425"/>
      <c r="G425" s="1"/>
    </row>
    <row r="426" spans="5:7" x14ac:dyDescent="0.25">
      <c r="E426"/>
      <c r="F426"/>
      <c r="G426" s="1"/>
    </row>
    <row r="427" spans="5:7" x14ac:dyDescent="0.25">
      <c r="E427"/>
      <c r="F427"/>
      <c r="G427" s="1"/>
    </row>
    <row r="428" spans="5:7" x14ac:dyDescent="0.25">
      <c r="E428"/>
      <c r="F428"/>
      <c r="G428" s="1"/>
    </row>
    <row r="429" spans="5:7" x14ac:dyDescent="0.25">
      <c r="E429"/>
      <c r="F429"/>
      <c r="G429" s="1"/>
    </row>
    <row r="430" spans="5:7" x14ac:dyDescent="0.25">
      <c r="E430"/>
      <c r="F430"/>
      <c r="G430" s="1"/>
    </row>
    <row r="431" spans="5:7" x14ac:dyDescent="0.25">
      <c r="E431"/>
      <c r="F431"/>
      <c r="G431" s="1"/>
    </row>
    <row r="432" spans="5:7" x14ac:dyDescent="0.25">
      <c r="E432"/>
      <c r="F432"/>
      <c r="G432" s="1"/>
    </row>
    <row r="433" spans="5:7" x14ac:dyDescent="0.25">
      <c r="E433"/>
      <c r="F433"/>
      <c r="G433" s="1"/>
    </row>
    <row r="434" spans="5:7" x14ac:dyDescent="0.25">
      <c r="E434"/>
      <c r="F434"/>
      <c r="G434" s="1"/>
    </row>
    <row r="435" spans="5:7" x14ac:dyDescent="0.25">
      <c r="E435"/>
      <c r="F435"/>
      <c r="G435" s="1"/>
    </row>
    <row r="436" spans="5:7" x14ac:dyDescent="0.25">
      <c r="E436"/>
      <c r="F436"/>
      <c r="G436" s="1"/>
    </row>
    <row r="437" spans="5:7" x14ac:dyDescent="0.25">
      <c r="E437"/>
      <c r="F437"/>
      <c r="G437" s="1"/>
    </row>
    <row r="438" spans="5:7" x14ac:dyDescent="0.25">
      <c r="E438"/>
      <c r="F438"/>
      <c r="G438" s="1"/>
    </row>
    <row r="439" spans="5:7" x14ac:dyDescent="0.25">
      <c r="E439"/>
      <c r="F439"/>
      <c r="G439" s="1"/>
    </row>
    <row r="440" spans="5:7" x14ac:dyDescent="0.25">
      <c r="E440"/>
      <c r="F440"/>
      <c r="G440" s="1"/>
    </row>
    <row r="441" spans="5:7" x14ac:dyDescent="0.25">
      <c r="E441"/>
      <c r="F441"/>
      <c r="G441" s="1"/>
    </row>
    <row r="442" spans="5:7" x14ac:dyDescent="0.25">
      <c r="E442"/>
      <c r="F442"/>
      <c r="G442" s="1"/>
    </row>
    <row r="443" spans="5:7" x14ac:dyDescent="0.25">
      <c r="E443"/>
      <c r="F443"/>
      <c r="G443" s="1"/>
    </row>
    <row r="444" spans="5:7" x14ac:dyDescent="0.25">
      <c r="E444"/>
      <c r="F444"/>
      <c r="G444" s="1"/>
    </row>
    <row r="445" spans="5:7" x14ac:dyDescent="0.25">
      <c r="E445"/>
      <c r="F445"/>
      <c r="G445" s="1"/>
    </row>
    <row r="446" spans="5:7" x14ac:dyDescent="0.25">
      <c r="E446"/>
      <c r="F446"/>
      <c r="G446" s="1"/>
    </row>
    <row r="447" spans="5:7" x14ac:dyDescent="0.25">
      <c r="E447"/>
      <c r="F447"/>
      <c r="G447" s="1"/>
    </row>
    <row r="448" spans="5:7" x14ac:dyDescent="0.25">
      <c r="E448"/>
      <c r="F448"/>
      <c r="G448" s="1"/>
    </row>
    <row r="449" spans="5:7" x14ac:dyDescent="0.25">
      <c r="E449"/>
      <c r="F449"/>
      <c r="G449" s="1"/>
    </row>
    <row r="450" spans="5:7" x14ac:dyDescent="0.25">
      <c r="E450"/>
      <c r="F450"/>
      <c r="G450" s="1"/>
    </row>
    <row r="451" spans="5:7" x14ac:dyDescent="0.25">
      <c r="E451"/>
      <c r="F451"/>
      <c r="G451" s="1"/>
    </row>
    <row r="452" spans="5:7" x14ac:dyDescent="0.25">
      <c r="E452"/>
      <c r="F452"/>
      <c r="G452" s="1"/>
    </row>
    <row r="453" spans="5:7" x14ac:dyDescent="0.25">
      <c r="E453"/>
      <c r="F453"/>
      <c r="G453" s="1"/>
    </row>
    <row r="454" spans="5:7" x14ac:dyDescent="0.25">
      <c r="E454"/>
      <c r="F454"/>
      <c r="G454" s="1"/>
    </row>
    <row r="455" spans="5:7" x14ac:dyDescent="0.25">
      <c r="E455"/>
      <c r="F455"/>
      <c r="G455" s="1"/>
    </row>
    <row r="456" spans="5:7" x14ac:dyDescent="0.25">
      <c r="E456"/>
      <c r="F456"/>
      <c r="G456" s="1"/>
    </row>
    <row r="457" spans="5:7" x14ac:dyDescent="0.25">
      <c r="E457"/>
      <c r="F457"/>
      <c r="G457" s="1"/>
    </row>
    <row r="458" spans="5:7" x14ac:dyDescent="0.25">
      <c r="E458"/>
      <c r="F458"/>
      <c r="G458" s="1"/>
    </row>
    <row r="459" spans="5:7" x14ac:dyDescent="0.25">
      <c r="E459"/>
      <c r="F459"/>
      <c r="G459" s="1"/>
    </row>
    <row r="460" spans="5:7" x14ac:dyDescent="0.25">
      <c r="E460"/>
      <c r="F460"/>
      <c r="G460" s="1"/>
    </row>
    <row r="461" spans="5:7" x14ac:dyDescent="0.25">
      <c r="E461"/>
      <c r="F461"/>
      <c r="G461" s="1"/>
    </row>
    <row r="462" spans="5:7" x14ac:dyDescent="0.25">
      <c r="E462"/>
      <c r="F462"/>
      <c r="G462" s="1"/>
    </row>
    <row r="463" spans="5:7" x14ac:dyDescent="0.25">
      <c r="E463"/>
      <c r="F463"/>
      <c r="G463" s="1"/>
    </row>
    <row r="464" spans="5:7" x14ac:dyDescent="0.25">
      <c r="E464"/>
      <c r="F464"/>
      <c r="G464" s="1"/>
    </row>
    <row r="465" spans="5:7" x14ac:dyDescent="0.25">
      <c r="E465"/>
      <c r="F465"/>
      <c r="G465" s="1"/>
    </row>
    <row r="466" spans="5:7" x14ac:dyDescent="0.25">
      <c r="E466"/>
      <c r="F466"/>
      <c r="G466" s="1"/>
    </row>
    <row r="467" spans="5:7" x14ac:dyDescent="0.25">
      <c r="E467"/>
      <c r="F467"/>
      <c r="G467" s="1"/>
    </row>
    <row r="468" spans="5:7" x14ac:dyDescent="0.25">
      <c r="E468"/>
      <c r="F468"/>
      <c r="G468" s="1"/>
    </row>
    <row r="469" spans="5:7" x14ac:dyDescent="0.25">
      <c r="E469"/>
      <c r="F469"/>
      <c r="G469" s="1"/>
    </row>
    <row r="470" spans="5:7" x14ac:dyDescent="0.25">
      <c r="E470"/>
      <c r="F470"/>
      <c r="G470" s="1"/>
    </row>
    <row r="471" spans="5:7" x14ac:dyDescent="0.25">
      <c r="E471"/>
      <c r="F471"/>
      <c r="G471" s="1"/>
    </row>
    <row r="472" spans="5:7" x14ac:dyDescent="0.25">
      <c r="E472"/>
      <c r="F472"/>
      <c r="G472" s="1"/>
    </row>
    <row r="473" spans="5:7" x14ac:dyDescent="0.25">
      <c r="E473"/>
      <c r="F473"/>
      <c r="G473" s="1"/>
    </row>
    <row r="474" spans="5:7" x14ac:dyDescent="0.25">
      <c r="E474"/>
      <c r="F474"/>
      <c r="G474" s="1"/>
    </row>
    <row r="475" spans="5:7" x14ac:dyDescent="0.25">
      <c r="E475"/>
      <c r="F475"/>
      <c r="G475" s="1"/>
    </row>
    <row r="476" spans="5:7" x14ac:dyDescent="0.25">
      <c r="E476"/>
      <c r="F476"/>
      <c r="G476" s="1"/>
    </row>
    <row r="477" spans="5:7" x14ac:dyDescent="0.25">
      <c r="E477"/>
      <c r="F477"/>
      <c r="G477" s="1"/>
    </row>
    <row r="478" spans="5:7" x14ac:dyDescent="0.25">
      <c r="E478"/>
      <c r="F478"/>
      <c r="G478" s="1"/>
    </row>
    <row r="479" spans="5:7" x14ac:dyDescent="0.25">
      <c r="E479"/>
      <c r="F479"/>
      <c r="G479" s="1"/>
    </row>
    <row r="480" spans="5:7" x14ac:dyDescent="0.25">
      <c r="E480"/>
      <c r="F480"/>
      <c r="G480" s="1"/>
    </row>
    <row r="481" spans="5:7" x14ac:dyDescent="0.25">
      <c r="E481"/>
      <c r="F481"/>
      <c r="G481" s="1"/>
    </row>
    <row r="482" spans="5:7" x14ac:dyDescent="0.25">
      <c r="E482"/>
      <c r="F482"/>
      <c r="G482" s="1"/>
    </row>
    <row r="483" spans="5:7" x14ac:dyDescent="0.25">
      <c r="E483"/>
      <c r="F483"/>
      <c r="G483" s="1"/>
    </row>
    <row r="484" spans="5:7" x14ac:dyDescent="0.25">
      <c r="E484"/>
      <c r="F484"/>
      <c r="G484" s="1"/>
    </row>
    <row r="485" spans="5:7" x14ac:dyDescent="0.25">
      <c r="E485"/>
      <c r="F485"/>
      <c r="G485" s="1"/>
    </row>
    <row r="486" spans="5:7" x14ac:dyDescent="0.25">
      <c r="E486"/>
      <c r="F486"/>
      <c r="G486" s="1"/>
    </row>
    <row r="487" spans="5:7" x14ac:dyDescent="0.25">
      <c r="E487"/>
      <c r="F487"/>
      <c r="G487" s="1"/>
    </row>
    <row r="488" spans="5:7" x14ac:dyDescent="0.25">
      <c r="E488"/>
      <c r="F488"/>
      <c r="G488" s="1"/>
    </row>
    <row r="489" spans="5:7" x14ac:dyDescent="0.25">
      <c r="E489"/>
      <c r="F489"/>
      <c r="G489" s="1"/>
    </row>
    <row r="490" spans="5:7" x14ac:dyDescent="0.25">
      <c r="E490"/>
      <c r="F490"/>
      <c r="G490" s="1"/>
    </row>
    <row r="491" spans="5:7" x14ac:dyDescent="0.25">
      <c r="E491"/>
      <c r="F491"/>
      <c r="G491" s="1"/>
    </row>
    <row r="492" spans="5:7" x14ac:dyDescent="0.25">
      <c r="E492"/>
      <c r="F492"/>
      <c r="G492" s="1"/>
    </row>
    <row r="493" spans="5:7" x14ac:dyDescent="0.25">
      <c r="E493"/>
      <c r="F493"/>
      <c r="G493" s="1"/>
    </row>
    <row r="494" spans="5:7" x14ac:dyDescent="0.25">
      <c r="E494"/>
      <c r="F494"/>
      <c r="G494" s="1"/>
    </row>
    <row r="495" spans="5:7" x14ac:dyDescent="0.25">
      <c r="E495"/>
      <c r="F495"/>
      <c r="G495" s="1"/>
    </row>
    <row r="496" spans="5:7" x14ac:dyDescent="0.25">
      <c r="E496"/>
      <c r="F496"/>
      <c r="G496" s="1"/>
    </row>
    <row r="497" spans="5:7" x14ac:dyDescent="0.25">
      <c r="E497"/>
      <c r="F497"/>
      <c r="G497" s="1"/>
    </row>
    <row r="498" spans="5:7" x14ac:dyDescent="0.25">
      <c r="E498"/>
      <c r="F498"/>
      <c r="G498" s="1"/>
    </row>
    <row r="499" spans="5:7" x14ac:dyDescent="0.25">
      <c r="E499"/>
      <c r="F499"/>
      <c r="G499" s="1"/>
    </row>
    <row r="500" spans="5:7" x14ac:dyDescent="0.25">
      <c r="E500"/>
      <c r="F500"/>
      <c r="G500" s="1"/>
    </row>
    <row r="501" spans="5:7" x14ac:dyDescent="0.25">
      <c r="E501"/>
      <c r="F501"/>
      <c r="G501" s="1"/>
    </row>
    <row r="502" spans="5:7" x14ac:dyDescent="0.25">
      <c r="E502"/>
      <c r="F502"/>
      <c r="G502" s="1"/>
    </row>
    <row r="503" spans="5:7" x14ac:dyDescent="0.25">
      <c r="E503"/>
      <c r="F503"/>
      <c r="G503" s="1"/>
    </row>
    <row r="504" spans="5:7" x14ac:dyDescent="0.25">
      <c r="E504"/>
      <c r="F504"/>
      <c r="G504" s="1"/>
    </row>
    <row r="505" spans="5:7" x14ac:dyDescent="0.25">
      <c r="E505"/>
      <c r="F505"/>
      <c r="G505" s="1"/>
    </row>
    <row r="506" spans="5:7" x14ac:dyDescent="0.25">
      <c r="E506"/>
      <c r="F506"/>
      <c r="G506" s="1"/>
    </row>
    <row r="507" spans="5:7" x14ac:dyDescent="0.25">
      <c r="E507"/>
      <c r="F507"/>
      <c r="G507" s="1"/>
    </row>
    <row r="508" spans="5:7" x14ac:dyDescent="0.25">
      <c r="E508"/>
      <c r="F508"/>
      <c r="G508" s="1"/>
    </row>
    <row r="509" spans="5:7" x14ac:dyDescent="0.25">
      <c r="E509"/>
      <c r="F509"/>
      <c r="G509" s="1"/>
    </row>
    <row r="510" spans="5:7" x14ac:dyDescent="0.25">
      <c r="E510"/>
      <c r="F510"/>
      <c r="G510" s="1"/>
    </row>
    <row r="511" spans="5:7" x14ac:dyDescent="0.25">
      <c r="E511"/>
      <c r="F511"/>
      <c r="G511" s="1"/>
    </row>
    <row r="512" spans="5:7" x14ac:dyDescent="0.25">
      <c r="E512"/>
      <c r="F512"/>
      <c r="G512" s="1"/>
    </row>
    <row r="513" spans="5:7" x14ac:dyDescent="0.25">
      <c r="E513"/>
      <c r="F513"/>
      <c r="G513" s="1"/>
    </row>
    <row r="514" spans="5:7" x14ac:dyDescent="0.25">
      <c r="E514"/>
      <c r="F514"/>
      <c r="G514" s="1"/>
    </row>
    <row r="515" spans="5:7" x14ac:dyDescent="0.25">
      <c r="E515"/>
      <c r="F515"/>
      <c r="G515" s="1"/>
    </row>
    <row r="516" spans="5:7" x14ac:dyDescent="0.25">
      <c r="E516"/>
      <c r="F516"/>
      <c r="G516" s="1"/>
    </row>
    <row r="517" spans="5:7" x14ac:dyDescent="0.25">
      <c r="E517"/>
      <c r="F517"/>
      <c r="G517" s="1"/>
    </row>
    <row r="518" spans="5:7" x14ac:dyDescent="0.25">
      <c r="E518"/>
      <c r="F518"/>
      <c r="G518" s="1"/>
    </row>
    <row r="519" spans="5:7" x14ac:dyDescent="0.25">
      <c r="E519"/>
      <c r="F519"/>
      <c r="G519" s="1"/>
    </row>
    <row r="520" spans="5:7" x14ac:dyDescent="0.25">
      <c r="E520"/>
      <c r="F520"/>
      <c r="G520" s="1"/>
    </row>
    <row r="521" spans="5:7" x14ac:dyDescent="0.25">
      <c r="E521"/>
      <c r="F521"/>
      <c r="G521" s="1"/>
    </row>
    <row r="522" spans="5:7" x14ac:dyDescent="0.25">
      <c r="E522"/>
      <c r="F522"/>
      <c r="G522" s="1"/>
    </row>
    <row r="523" spans="5:7" x14ac:dyDescent="0.25">
      <c r="E523"/>
      <c r="F523"/>
      <c r="G523" s="1"/>
    </row>
    <row r="524" spans="5:7" x14ac:dyDescent="0.25">
      <c r="E524"/>
      <c r="F524"/>
      <c r="G524" s="1"/>
    </row>
    <row r="525" spans="5:7" x14ac:dyDescent="0.25">
      <c r="E525"/>
      <c r="F525"/>
      <c r="G525" s="1"/>
    </row>
    <row r="526" spans="5:7" x14ac:dyDescent="0.25">
      <c r="E526"/>
      <c r="F526"/>
      <c r="G526" s="1"/>
    </row>
    <row r="527" spans="5:7" x14ac:dyDescent="0.25">
      <c r="E527"/>
      <c r="F527"/>
      <c r="G527" s="1"/>
    </row>
    <row r="528" spans="5:7" x14ac:dyDescent="0.25">
      <c r="E528"/>
      <c r="F528"/>
      <c r="G528" s="1"/>
    </row>
    <row r="529" spans="5:7" x14ac:dyDescent="0.25">
      <c r="E529"/>
      <c r="F529"/>
      <c r="G529" s="1"/>
    </row>
    <row r="530" spans="5:7" x14ac:dyDescent="0.25">
      <c r="E530"/>
      <c r="F530"/>
      <c r="G530" s="1"/>
    </row>
    <row r="531" spans="5:7" x14ac:dyDescent="0.25">
      <c r="E531"/>
      <c r="F531"/>
      <c r="G531" s="1"/>
    </row>
    <row r="532" spans="5:7" x14ac:dyDescent="0.25">
      <c r="E532"/>
      <c r="F532"/>
      <c r="G532" s="1"/>
    </row>
    <row r="533" spans="5:7" x14ac:dyDescent="0.25">
      <c r="E533"/>
      <c r="F533"/>
      <c r="G533" s="1"/>
    </row>
    <row r="534" spans="5:7" x14ac:dyDescent="0.25">
      <c r="E534"/>
      <c r="F534"/>
      <c r="G534" s="1"/>
    </row>
    <row r="535" spans="5:7" x14ac:dyDescent="0.25">
      <c r="E535"/>
      <c r="F535"/>
      <c r="G535" s="1"/>
    </row>
    <row r="536" spans="5:7" x14ac:dyDescent="0.25">
      <c r="E536"/>
      <c r="F536"/>
      <c r="G536" s="1"/>
    </row>
    <row r="537" spans="5:7" x14ac:dyDescent="0.25">
      <c r="E537"/>
      <c r="F537"/>
      <c r="G537" s="1"/>
    </row>
    <row r="538" spans="5:7" x14ac:dyDescent="0.25">
      <c r="E538"/>
      <c r="F538"/>
      <c r="G538" s="1"/>
    </row>
    <row r="539" spans="5:7" x14ac:dyDescent="0.25">
      <c r="E539"/>
      <c r="F539"/>
      <c r="G539" s="1"/>
    </row>
    <row r="540" spans="5:7" x14ac:dyDescent="0.25">
      <c r="E540"/>
      <c r="F540"/>
      <c r="G540" s="1"/>
    </row>
    <row r="541" spans="5:7" x14ac:dyDescent="0.25">
      <c r="E541"/>
      <c r="F541"/>
      <c r="G541" s="1"/>
    </row>
    <row r="542" spans="5:7" x14ac:dyDescent="0.25">
      <c r="E542"/>
      <c r="F542"/>
      <c r="G542" s="1"/>
    </row>
    <row r="543" spans="5:7" x14ac:dyDescent="0.25">
      <c r="E543"/>
      <c r="F543"/>
      <c r="G543" s="1"/>
    </row>
    <row r="544" spans="5:7" x14ac:dyDescent="0.25">
      <c r="E544"/>
      <c r="F544"/>
      <c r="G544" s="1"/>
    </row>
    <row r="545" spans="5:7" x14ac:dyDescent="0.25">
      <c r="E545"/>
      <c r="F545"/>
      <c r="G545" s="1"/>
    </row>
    <row r="546" spans="5:7" x14ac:dyDescent="0.25">
      <c r="E546"/>
      <c r="F546"/>
      <c r="G546" s="1"/>
    </row>
    <row r="547" spans="5:7" x14ac:dyDescent="0.25">
      <c r="E547"/>
      <c r="F547"/>
      <c r="G547" s="1"/>
    </row>
    <row r="548" spans="5:7" x14ac:dyDescent="0.25">
      <c r="E548"/>
      <c r="F548"/>
      <c r="G548" s="1"/>
    </row>
    <row r="549" spans="5:7" x14ac:dyDescent="0.25">
      <c r="E549"/>
      <c r="F549"/>
      <c r="G549" s="1"/>
    </row>
    <row r="550" spans="5:7" x14ac:dyDescent="0.25">
      <c r="E550"/>
      <c r="F550"/>
      <c r="G550" s="1"/>
    </row>
    <row r="551" spans="5:7" x14ac:dyDescent="0.25">
      <c r="E551"/>
      <c r="F551"/>
      <c r="G551" s="1"/>
    </row>
    <row r="552" spans="5:7" x14ac:dyDescent="0.25">
      <c r="E552"/>
      <c r="F552"/>
      <c r="G552" s="1"/>
    </row>
    <row r="553" spans="5:7" x14ac:dyDescent="0.25">
      <c r="E553"/>
      <c r="F553"/>
      <c r="G553" s="1"/>
    </row>
    <row r="554" spans="5:7" x14ac:dyDescent="0.25">
      <c r="E554"/>
      <c r="F554"/>
      <c r="G554" s="1"/>
    </row>
    <row r="555" spans="5:7" x14ac:dyDescent="0.25">
      <c r="E555"/>
      <c r="F555"/>
      <c r="G555" s="1"/>
    </row>
    <row r="556" spans="5:7" x14ac:dyDescent="0.25">
      <c r="E556"/>
      <c r="F556"/>
      <c r="G556" s="1"/>
    </row>
    <row r="557" spans="5:7" x14ac:dyDescent="0.25">
      <c r="E557"/>
      <c r="F557"/>
      <c r="G557" s="1"/>
    </row>
    <row r="558" spans="5:7" x14ac:dyDescent="0.25">
      <c r="E558"/>
      <c r="F558"/>
      <c r="G558" s="1"/>
    </row>
    <row r="559" spans="5:7" x14ac:dyDescent="0.25">
      <c r="E559"/>
      <c r="F559"/>
      <c r="G559" s="1"/>
    </row>
    <row r="560" spans="5:7" x14ac:dyDescent="0.25">
      <c r="E560"/>
      <c r="F560"/>
      <c r="G560" s="1"/>
    </row>
    <row r="561" spans="5:7" x14ac:dyDescent="0.25">
      <c r="E561"/>
      <c r="F561"/>
      <c r="G561" s="1"/>
    </row>
    <row r="562" spans="5:7" x14ac:dyDescent="0.25">
      <c r="E562"/>
      <c r="F562"/>
      <c r="G562" s="1"/>
    </row>
    <row r="563" spans="5:7" x14ac:dyDescent="0.25">
      <c r="E563"/>
      <c r="F563"/>
      <c r="G563" s="1"/>
    </row>
    <row r="564" spans="5:7" x14ac:dyDescent="0.25">
      <c r="E564"/>
      <c r="F564"/>
      <c r="G564" s="1"/>
    </row>
    <row r="565" spans="5:7" x14ac:dyDescent="0.25">
      <c r="E565"/>
      <c r="F565"/>
      <c r="G565" s="1"/>
    </row>
    <row r="566" spans="5:7" x14ac:dyDescent="0.25">
      <c r="E566"/>
      <c r="F566"/>
      <c r="G566" s="1"/>
    </row>
    <row r="567" spans="5:7" x14ac:dyDescent="0.25">
      <c r="E567"/>
      <c r="F567"/>
      <c r="G567" s="1"/>
    </row>
    <row r="568" spans="5:7" x14ac:dyDescent="0.25">
      <c r="E568"/>
      <c r="F568"/>
      <c r="G568" s="1"/>
    </row>
    <row r="569" spans="5:7" x14ac:dyDescent="0.25">
      <c r="E569"/>
      <c r="F569"/>
      <c r="G569" s="1"/>
    </row>
    <row r="570" spans="5:7" x14ac:dyDescent="0.25">
      <c r="E570"/>
      <c r="F570"/>
      <c r="G570" s="1"/>
    </row>
    <row r="571" spans="5:7" x14ac:dyDescent="0.25">
      <c r="E571"/>
      <c r="F571"/>
      <c r="G571" s="1"/>
    </row>
    <row r="572" spans="5:7" x14ac:dyDescent="0.25">
      <c r="E572"/>
      <c r="F572"/>
      <c r="G572" s="1"/>
    </row>
    <row r="573" spans="5:7" x14ac:dyDescent="0.25">
      <c r="E573"/>
      <c r="F573"/>
      <c r="G573" s="1"/>
    </row>
    <row r="574" spans="5:7" x14ac:dyDescent="0.25">
      <c r="E574"/>
      <c r="F574"/>
      <c r="G574" s="1"/>
    </row>
    <row r="575" spans="5:7" x14ac:dyDescent="0.25">
      <c r="E575"/>
      <c r="F575"/>
      <c r="G575" s="1"/>
    </row>
    <row r="576" spans="5:7" x14ac:dyDescent="0.25">
      <c r="E576"/>
      <c r="F576"/>
      <c r="G576" s="1"/>
    </row>
    <row r="577" spans="5:7" x14ac:dyDescent="0.25">
      <c r="E577"/>
      <c r="F577"/>
      <c r="G577" s="1"/>
    </row>
    <row r="578" spans="5:7" x14ac:dyDescent="0.25">
      <c r="E578"/>
      <c r="F578"/>
      <c r="G578" s="1"/>
    </row>
    <row r="579" spans="5:7" x14ac:dyDescent="0.25">
      <c r="E579"/>
      <c r="F579"/>
      <c r="G579" s="1"/>
    </row>
    <row r="580" spans="5:7" x14ac:dyDescent="0.25">
      <c r="E580"/>
      <c r="F580"/>
      <c r="G580" s="1"/>
    </row>
    <row r="581" spans="5:7" x14ac:dyDescent="0.25">
      <c r="E581"/>
      <c r="F581"/>
      <c r="G581" s="1"/>
    </row>
    <row r="582" spans="5:7" x14ac:dyDescent="0.25">
      <c r="E582"/>
      <c r="F582"/>
      <c r="G582" s="1"/>
    </row>
    <row r="583" spans="5:7" x14ac:dyDescent="0.25">
      <c r="E583"/>
      <c r="F583"/>
      <c r="G583" s="1"/>
    </row>
    <row r="584" spans="5:7" x14ac:dyDescent="0.25">
      <c r="E584"/>
      <c r="F584"/>
      <c r="G584" s="1"/>
    </row>
    <row r="585" spans="5:7" x14ac:dyDescent="0.25">
      <c r="E585"/>
      <c r="F585"/>
      <c r="G585" s="1"/>
    </row>
  </sheetData>
  <mergeCells count="6">
    <mergeCell ref="O11:R11"/>
    <mergeCell ref="G5:I5"/>
    <mergeCell ref="A2:B2"/>
    <mergeCell ref="E11:H11"/>
    <mergeCell ref="I11:K11"/>
    <mergeCell ref="L11:N11"/>
  </mergeCells>
  <conditionalFormatting sqref="K2:K1048576 N1:N1048576">
    <cfRule type="cellIs" dxfId="10" priority="13" operator="equal">
      <formula>"Not Ok"</formula>
    </cfRule>
  </conditionalFormatting>
  <conditionalFormatting sqref="H1:H6 H8:H1048576">
    <cfRule type="cellIs" dxfId="9" priority="11" operator="equal">
      <formula>"Fara E"</formula>
    </cfRule>
  </conditionalFormatting>
  <conditionalFormatting sqref="J3:J5">
    <cfRule type="cellIs" dxfId="8" priority="8" operator="equal">
      <formula>"Not Ok"</formula>
    </cfRule>
    <cfRule type="cellIs" dxfId="7" priority="9" operator="equal">
      <formula>"Es2 Necesar"</formula>
    </cfRule>
    <cfRule type="cellIs" dxfId="6" priority="10" operator="equal">
      <formula>"Ok"</formula>
    </cfRule>
  </conditionalFormatting>
  <conditionalFormatting sqref="G4:I4">
    <cfRule type="cellIs" dxfId="5" priority="6" operator="notEqual">
      <formula>""</formula>
    </cfRule>
  </conditionalFormatting>
  <conditionalFormatting sqref="A2:B2">
    <cfRule type="cellIs" dxfId="4" priority="4" operator="equal">
      <formula>"Lot Acceptat"</formula>
    </cfRule>
    <cfRule type="cellIs" dxfId="3" priority="5" operator="equal">
      <formula>"Lot Respins"</formula>
    </cfRule>
  </conditionalFormatting>
  <conditionalFormatting sqref="B13:B15">
    <cfRule type="cellIs" dxfId="2" priority="1" operator="equal">
      <formula>"Es2 Necesar"</formula>
    </cfRule>
    <cfRule type="cellIs" dxfId="1" priority="2" operator="equal">
      <formula>"Not Ok"</formula>
    </cfRule>
    <cfRule type="cellIs" dxfId="0" priority="3" operator="equal">
      <formula>"OK"</formula>
    </cfRule>
  </conditionalFormatting>
  <pageMargins left="0.25" right="0.25" top="0.75" bottom="0.75" header="0.3" footer="0.3"/>
  <pageSetup paperSize="9" scale="90" orientation="landscape" horizontalDpi="300" verticalDpi="300" r:id="rId1"/>
  <colBreaks count="2" manualBreakCount="2">
    <brk id="4" max="1048575" man="1"/>
    <brk id="19" max="1048575" man="1"/>
  </colBreaks>
  <drawing r:id="rId2"/>
  <legacyDrawing r:id="rId3"/>
  <controls>
    <mc:AlternateContent xmlns:mc="http://schemas.openxmlformats.org/markup-compatibility/2006">
      <mc:Choice Requires="x14">
        <control shapeId="2050" r:id="rId4" name="cbFileSelect">
          <controlPr autoLine="0" linkedCell="#REF!" r:id="rId5">
            <anchor moveWithCells="1">
              <from>
                <xdr:col>0</xdr:col>
                <xdr:colOff>28575</xdr:colOff>
                <xdr:row>0</xdr:row>
                <xdr:rowOff>38100</xdr:rowOff>
              </from>
              <to>
                <xdr:col>2</xdr:col>
                <xdr:colOff>0</xdr:colOff>
                <xdr:row>0</xdr:row>
                <xdr:rowOff>285750</xdr:rowOff>
              </to>
            </anchor>
          </controlPr>
        </control>
      </mc:Choice>
      <mc:Fallback>
        <control shapeId="2050" r:id="rId4" name="cbFileSelect"/>
      </mc:Fallback>
    </mc:AlternateContent>
    <mc:AlternateContent xmlns:mc="http://schemas.openxmlformats.org/markup-compatibility/2006">
      <mc:Choice Requires="x14">
        <control shapeId="2049" r:id="rId6" name="Button 1">
          <controlPr defaultSize="0" print="0" autoFill="0" autoPict="0" macro="[0]!Refresh_Click">
            <anchor moveWithCells="1">
              <from>
                <xdr:col>4</xdr:col>
                <xdr:colOff>76200</xdr:colOff>
                <xdr:row>0</xdr:row>
                <xdr:rowOff>38100</xdr:rowOff>
              </from>
              <to>
                <xdr:col>7</xdr:col>
                <xdr:colOff>161925</xdr:colOff>
                <xdr:row>0</xdr:row>
                <xdr:rowOff>276225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1030"/>
  <sheetViews>
    <sheetView workbookViewId="0">
      <selection activeCell="B2" sqref="B2"/>
    </sheetView>
  </sheetViews>
  <sheetFormatPr defaultRowHeight="15" x14ac:dyDescent="0.25"/>
  <cols>
    <col min="1" max="1" width="4" customWidth="1"/>
    <col min="2" max="2" width="22.85546875" customWidth="1"/>
    <col min="3" max="3" width="7.140625" customWidth="1"/>
    <col min="4" max="4" width="7" customWidth="1"/>
    <col min="5" max="5" width="47.42578125" customWidth="1"/>
    <col min="6" max="6" width="16.42578125" customWidth="1"/>
    <col min="7" max="7" width="5.140625" style="4" customWidth="1"/>
    <col min="8" max="8" width="6.7109375" customWidth="1"/>
    <col min="9" max="9" width="10.7109375" customWidth="1"/>
    <col min="10" max="10" width="5.140625" customWidth="1"/>
    <col min="11" max="11" width="10.140625" customWidth="1"/>
    <col min="12" max="14" width="9.140625" customWidth="1"/>
  </cols>
  <sheetData>
    <row r="1" spans="1:17" x14ac:dyDescent="0.25">
      <c r="A1" t="s">
        <v>48</v>
      </c>
      <c r="B1" t="s">
        <v>49</v>
      </c>
      <c r="C1" t="s">
        <v>50</v>
      </c>
      <c r="D1">
        <v>100303</v>
      </c>
      <c r="E1" t="s">
        <v>89</v>
      </c>
      <c r="F1" t="s">
        <v>91</v>
      </c>
      <c r="G1" t="s">
        <v>90</v>
      </c>
      <c r="H1" t="s">
        <v>92</v>
      </c>
      <c r="I1" s="29">
        <v>43396</v>
      </c>
      <c r="N1" s="33"/>
      <c r="O1" s="33"/>
      <c r="P1" s="33"/>
      <c r="Q1" s="33"/>
    </row>
    <row r="2" spans="1:17" x14ac:dyDescent="0.25">
      <c r="A2">
        <v>1</v>
      </c>
      <c r="B2">
        <v>10060</v>
      </c>
      <c r="C2" s="1">
        <v>0.23932870370370371</v>
      </c>
      <c r="G2"/>
    </row>
    <row r="3" spans="1:17" x14ac:dyDescent="0.25">
      <c r="A3">
        <v>2</v>
      </c>
      <c r="B3">
        <v>10040</v>
      </c>
      <c r="C3" s="1">
        <v>0.23984953703703704</v>
      </c>
      <c r="G3"/>
    </row>
    <row r="4" spans="1:17" x14ac:dyDescent="0.25">
      <c r="A4">
        <v>3</v>
      </c>
      <c r="B4">
        <v>10040</v>
      </c>
      <c r="C4" s="1">
        <v>0.24035879629629631</v>
      </c>
      <c r="G4"/>
    </row>
    <row r="5" spans="1:17" x14ac:dyDescent="0.25">
      <c r="A5">
        <v>4</v>
      </c>
      <c r="B5">
        <v>10040</v>
      </c>
      <c r="C5" s="1">
        <v>0.24077546296296296</v>
      </c>
      <c r="G5"/>
    </row>
    <row r="6" spans="1:17" x14ac:dyDescent="0.25">
      <c r="A6">
        <v>5</v>
      </c>
      <c r="B6">
        <v>10020</v>
      </c>
      <c r="C6" s="1">
        <v>0.24106481481481482</v>
      </c>
      <c r="G6"/>
    </row>
    <row r="7" spans="1:17" x14ac:dyDescent="0.25">
      <c r="A7">
        <v>6</v>
      </c>
      <c r="B7">
        <v>10020</v>
      </c>
      <c r="C7" s="1">
        <v>0.2414699074074074</v>
      </c>
      <c r="G7"/>
    </row>
    <row r="8" spans="1:17" x14ac:dyDescent="0.25">
      <c r="A8">
        <v>7</v>
      </c>
      <c r="B8">
        <v>10040</v>
      </c>
      <c r="C8" s="1">
        <v>0.24184027777777781</v>
      </c>
      <c r="G8"/>
    </row>
    <row r="9" spans="1:17" x14ac:dyDescent="0.25">
      <c r="A9">
        <v>8</v>
      </c>
      <c r="B9">
        <v>10060</v>
      </c>
      <c r="C9" s="1">
        <v>0.24223379629629629</v>
      </c>
      <c r="G9"/>
    </row>
    <row r="10" spans="1:17" x14ac:dyDescent="0.25">
      <c r="A10">
        <v>9</v>
      </c>
      <c r="B10">
        <v>10020</v>
      </c>
      <c r="C10" s="1">
        <v>0.24266203703703704</v>
      </c>
      <c r="G10"/>
    </row>
    <row r="11" spans="1:17" x14ac:dyDescent="0.25">
      <c r="A11">
        <v>10</v>
      </c>
      <c r="B11">
        <v>10040</v>
      </c>
      <c r="C11" s="1">
        <v>0.24306712962962962</v>
      </c>
      <c r="G11"/>
    </row>
    <row r="12" spans="1:17" x14ac:dyDescent="0.25">
      <c r="A12">
        <v>11</v>
      </c>
      <c r="B12">
        <v>10000</v>
      </c>
      <c r="C12" s="1">
        <v>0.24349537037037039</v>
      </c>
      <c r="G12"/>
    </row>
    <row r="13" spans="1:17" x14ac:dyDescent="0.25">
      <c r="A13">
        <v>12</v>
      </c>
      <c r="B13">
        <v>10020</v>
      </c>
      <c r="C13" s="1">
        <v>0.24388888888888891</v>
      </c>
      <c r="G13"/>
    </row>
    <row r="14" spans="1:17" x14ac:dyDescent="0.25">
      <c r="A14">
        <v>13</v>
      </c>
      <c r="B14">
        <v>10020</v>
      </c>
      <c r="C14" s="1">
        <v>0.24429398148148149</v>
      </c>
      <c r="G14"/>
    </row>
    <row r="15" spans="1:17" x14ac:dyDescent="0.25">
      <c r="A15">
        <v>14</v>
      </c>
      <c r="B15">
        <v>10040</v>
      </c>
      <c r="C15" s="1">
        <v>0.24467592592592591</v>
      </c>
      <c r="G15"/>
    </row>
    <row r="16" spans="1:17" x14ac:dyDescent="0.25">
      <c r="A16">
        <v>15</v>
      </c>
      <c r="B16">
        <v>10020</v>
      </c>
      <c r="C16" s="1">
        <v>0.24506944444444445</v>
      </c>
      <c r="G16"/>
    </row>
    <row r="17" spans="1:7" x14ac:dyDescent="0.25">
      <c r="A17">
        <v>16</v>
      </c>
      <c r="B17">
        <v>10020</v>
      </c>
      <c r="C17" s="1">
        <v>0.24545138888888887</v>
      </c>
      <c r="G17"/>
    </row>
    <row r="18" spans="1:7" x14ac:dyDescent="0.25">
      <c r="A18">
        <v>17</v>
      </c>
      <c r="B18">
        <v>10000</v>
      </c>
      <c r="C18" s="1">
        <v>0.24585648148148151</v>
      </c>
      <c r="G18"/>
    </row>
    <row r="19" spans="1:7" x14ac:dyDescent="0.25">
      <c r="A19">
        <v>18</v>
      </c>
      <c r="B19">
        <v>10020</v>
      </c>
      <c r="C19" s="1">
        <v>0.24628472222222222</v>
      </c>
      <c r="G19"/>
    </row>
    <row r="20" spans="1:7" x14ac:dyDescent="0.25">
      <c r="A20">
        <v>19</v>
      </c>
      <c r="B20">
        <v>10020</v>
      </c>
      <c r="C20" s="1">
        <v>0.24672453703703703</v>
      </c>
      <c r="G20"/>
    </row>
    <row r="21" spans="1:7" x14ac:dyDescent="0.25">
      <c r="A21">
        <v>20</v>
      </c>
      <c r="B21">
        <v>10040</v>
      </c>
      <c r="C21" s="1">
        <v>0.24712962962962962</v>
      </c>
      <c r="G21"/>
    </row>
    <row r="22" spans="1:7" x14ac:dyDescent="0.25">
      <c r="A22">
        <v>21</v>
      </c>
      <c r="B22">
        <v>10040</v>
      </c>
      <c r="C22" s="1">
        <v>0.24762731481481481</v>
      </c>
      <c r="G22"/>
    </row>
    <row r="23" spans="1:7" x14ac:dyDescent="0.25">
      <c r="A23">
        <v>22</v>
      </c>
      <c r="B23">
        <v>10040</v>
      </c>
      <c r="C23" s="1">
        <v>0.24800925925925923</v>
      </c>
      <c r="G23"/>
    </row>
    <row r="24" spans="1:7" x14ac:dyDescent="0.25">
      <c r="A24">
        <v>23</v>
      </c>
      <c r="B24">
        <v>10020</v>
      </c>
      <c r="C24" s="1">
        <v>0.2487384259259259</v>
      </c>
      <c r="G24"/>
    </row>
    <row r="25" spans="1:7" x14ac:dyDescent="0.25">
      <c r="A25">
        <v>24</v>
      </c>
      <c r="B25">
        <v>10040</v>
      </c>
      <c r="C25" s="1">
        <v>0.24913194444444445</v>
      </c>
      <c r="G25"/>
    </row>
    <row r="26" spans="1:7" x14ac:dyDescent="0.25">
      <c r="A26">
        <v>25</v>
      </c>
      <c r="B26">
        <v>10020</v>
      </c>
      <c r="C26" s="1">
        <v>0.24953703703703703</v>
      </c>
      <c r="G26"/>
    </row>
    <row r="27" spans="1:7" x14ac:dyDescent="0.25">
      <c r="A27">
        <v>26</v>
      </c>
      <c r="B27">
        <v>10040</v>
      </c>
      <c r="C27" s="1">
        <v>0.25003472222222223</v>
      </c>
      <c r="G27"/>
    </row>
    <row r="28" spans="1:7" x14ac:dyDescent="0.25">
      <c r="A28">
        <v>27</v>
      </c>
      <c r="B28">
        <v>10020</v>
      </c>
      <c r="C28" s="1">
        <v>0.2504513888888889</v>
      </c>
      <c r="G28"/>
    </row>
    <row r="29" spans="1:7" x14ac:dyDescent="0.25">
      <c r="A29">
        <v>28</v>
      </c>
      <c r="B29">
        <v>10040</v>
      </c>
      <c r="C29" s="1">
        <v>0.25085648148148149</v>
      </c>
      <c r="G29"/>
    </row>
    <row r="30" spans="1:7" x14ac:dyDescent="0.25">
      <c r="A30">
        <v>29</v>
      </c>
      <c r="B30">
        <v>10000</v>
      </c>
      <c r="C30" s="1">
        <v>0.25116898148148148</v>
      </c>
      <c r="G30"/>
    </row>
    <row r="31" spans="1:7" x14ac:dyDescent="0.25">
      <c r="A31">
        <v>30</v>
      </c>
      <c r="B31">
        <v>10040</v>
      </c>
      <c r="C31" s="1">
        <v>0.25158564814814816</v>
      </c>
      <c r="G31"/>
    </row>
    <row r="32" spans="1:7" x14ac:dyDescent="0.25">
      <c r="A32">
        <v>31</v>
      </c>
      <c r="B32">
        <v>10040</v>
      </c>
      <c r="C32" s="1">
        <v>0.25194444444444447</v>
      </c>
      <c r="G32"/>
    </row>
    <row r="33" spans="1:7" x14ac:dyDescent="0.25">
      <c r="A33">
        <v>32</v>
      </c>
      <c r="B33">
        <v>10040</v>
      </c>
      <c r="C33" s="1">
        <v>0.25231481481481483</v>
      </c>
      <c r="G33"/>
    </row>
    <row r="34" spans="1:7" x14ac:dyDescent="0.25">
      <c r="A34">
        <v>33</v>
      </c>
      <c r="B34">
        <v>10040</v>
      </c>
      <c r="C34" s="1">
        <v>0.25269675925925927</v>
      </c>
      <c r="G34"/>
    </row>
    <row r="35" spans="1:7" x14ac:dyDescent="0.25">
      <c r="A35">
        <v>34</v>
      </c>
      <c r="B35">
        <v>10000</v>
      </c>
      <c r="C35" s="1">
        <v>0.25318287037037041</v>
      </c>
      <c r="G35"/>
    </row>
    <row r="36" spans="1:7" x14ac:dyDescent="0.25">
      <c r="A36">
        <v>35</v>
      </c>
      <c r="B36">
        <v>10020</v>
      </c>
      <c r="C36" s="1">
        <v>0.25359953703703703</v>
      </c>
      <c r="G36"/>
    </row>
    <row r="37" spans="1:7" x14ac:dyDescent="0.25">
      <c r="A37">
        <v>36</v>
      </c>
      <c r="B37">
        <v>10060</v>
      </c>
      <c r="C37" s="1">
        <v>0.25398148148148147</v>
      </c>
      <c r="G37"/>
    </row>
    <row r="38" spans="1:7" x14ac:dyDescent="0.25">
      <c r="A38">
        <v>37</v>
      </c>
      <c r="B38">
        <v>10040</v>
      </c>
      <c r="C38" s="1">
        <v>0.25437500000000002</v>
      </c>
      <c r="G38"/>
    </row>
    <row r="39" spans="1:7" x14ac:dyDescent="0.25">
      <c r="A39">
        <v>38</v>
      </c>
      <c r="B39">
        <v>10020</v>
      </c>
      <c r="C39" s="1">
        <v>0.25476851851851851</v>
      </c>
      <c r="G39"/>
    </row>
    <row r="40" spans="1:7" x14ac:dyDescent="0.25">
      <c r="A40">
        <v>39</v>
      </c>
      <c r="B40">
        <v>10020</v>
      </c>
      <c r="C40" s="1">
        <v>0.25516203703703705</v>
      </c>
      <c r="G40"/>
    </row>
    <row r="41" spans="1:7" x14ac:dyDescent="0.25">
      <c r="A41">
        <v>40</v>
      </c>
      <c r="B41">
        <v>10040</v>
      </c>
      <c r="C41" s="1">
        <v>0.25557870370370367</v>
      </c>
      <c r="G41"/>
    </row>
    <row r="42" spans="1:7" x14ac:dyDescent="0.25">
      <c r="A42">
        <v>41</v>
      </c>
      <c r="B42">
        <v>10040</v>
      </c>
      <c r="C42" s="1">
        <v>0.2559953703703704</v>
      </c>
      <c r="G42"/>
    </row>
    <row r="43" spans="1:7" x14ac:dyDescent="0.25">
      <c r="A43">
        <v>42</v>
      </c>
      <c r="B43">
        <v>9980</v>
      </c>
      <c r="C43" s="1">
        <v>0.25642361111111112</v>
      </c>
      <c r="G43"/>
    </row>
    <row r="44" spans="1:7" x14ac:dyDescent="0.25">
      <c r="A44">
        <v>43</v>
      </c>
      <c r="B44">
        <v>10040</v>
      </c>
      <c r="C44" s="1">
        <v>0.2568171296296296</v>
      </c>
      <c r="G44"/>
    </row>
    <row r="45" spans="1:7" x14ac:dyDescent="0.25">
      <c r="A45">
        <v>44</v>
      </c>
      <c r="B45">
        <v>10020</v>
      </c>
      <c r="C45" s="1">
        <v>0.25723379629629628</v>
      </c>
      <c r="G45"/>
    </row>
    <row r="46" spans="1:7" x14ac:dyDescent="0.25">
      <c r="A46">
        <v>45</v>
      </c>
      <c r="B46">
        <v>10000</v>
      </c>
      <c r="C46" s="1">
        <v>0.25765046296296296</v>
      </c>
      <c r="G46"/>
    </row>
    <row r="47" spans="1:7" x14ac:dyDescent="0.25">
      <c r="A47">
        <v>46</v>
      </c>
      <c r="B47">
        <v>10020</v>
      </c>
      <c r="C47" s="1">
        <v>0.25805555555555554</v>
      </c>
      <c r="G47"/>
    </row>
    <row r="48" spans="1:7" x14ac:dyDescent="0.25">
      <c r="A48">
        <v>47</v>
      </c>
      <c r="B48">
        <v>10020</v>
      </c>
      <c r="C48" s="1">
        <v>0.25844907407407408</v>
      </c>
      <c r="G48"/>
    </row>
    <row r="49" spans="1:7" x14ac:dyDescent="0.25">
      <c r="A49">
        <v>48</v>
      </c>
      <c r="B49">
        <v>10040</v>
      </c>
      <c r="C49" s="1">
        <v>0.25885416666666666</v>
      </c>
      <c r="G49"/>
    </row>
    <row r="50" spans="1:7" x14ac:dyDescent="0.25">
      <c r="A50">
        <v>49</v>
      </c>
      <c r="B50">
        <v>10020</v>
      </c>
      <c r="C50" s="1">
        <v>0.25925925925925924</v>
      </c>
      <c r="G50"/>
    </row>
    <row r="51" spans="1:7" x14ac:dyDescent="0.25">
      <c r="A51">
        <v>50</v>
      </c>
      <c r="B51">
        <v>10040</v>
      </c>
      <c r="C51" s="1">
        <v>0.25966435185185183</v>
      </c>
      <c r="G51"/>
    </row>
    <row r="52" spans="1:7" x14ac:dyDescent="0.25">
      <c r="A52">
        <v>51</v>
      </c>
      <c r="B52">
        <v>10000</v>
      </c>
      <c r="C52" s="1">
        <v>0.26005787037037037</v>
      </c>
      <c r="G52"/>
    </row>
    <row r="53" spans="1:7" x14ac:dyDescent="0.25">
      <c r="A53">
        <v>52</v>
      </c>
      <c r="B53">
        <v>10020</v>
      </c>
      <c r="C53" s="1">
        <v>0.26045138888888891</v>
      </c>
      <c r="G53"/>
    </row>
    <row r="54" spans="1:7" x14ac:dyDescent="0.25">
      <c r="A54">
        <v>53</v>
      </c>
      <c r="B54">
        <v>9980</v>
      </c>
      <c r="C54" s="1">
        <v>0.26086805555555553</v>
      </c>
      <c r="G54"/>
    </row>
    <row r="55" spans="1:7" x14ac:dyDescent="0.25">
      <c r="A55">
        <v>54</v>
      </c>
      <c r="B55">
        <v>10000</v>
      </c>
      <c r="C55" s="1">
        <v>0.26128472222222221</v>
      </c>
      <c r="G55"/>
    </row>
    <row r="56" spans="1:7" x14ac:dyDescent="0.25">
      <c r="A56">
        <v>55</v>
      </c>
      <c r="B56">
        <v>10020</v>
      </c>
      <c r="C56" s="1">
        <v>0.26167824074074075</v>
      </c>
      <c r="G56"/>
    </row>
    <row r="57" spans="1:7" x14ac:dyDescent="0.25">
      <c r="A57">
        <v>56</v>
      </c>
      <c r="B57">
        <v>10020</v>
      </c>
      <c r="C57" s="1">
        <v>0.26208333333333333</v>
      </c>
      <c r="G57"/>
    </row>
    <row r="58" spans="1:7" x14ac:dyDescent="0.25">
      <c r="A58">
        <v>57</v>
      </c>
      <c r="B58">
        <v>10040</v>
      </c>
      <c r="C58" s="1">
        <v>0.26247685185185182</v>
      </c>
      <c r="G58"/>
    </row>
    <row r="59" spans="1:7" x14ac:dyDescent="0.25">
      <c r="A59">
        <v>58</v>
      </c>
      <c r="B59">
        <v>10040</v>
      </c>
      <c r="C59" s="1">
        <v>0.26287037037037037</v>
      </c>
      <c r="G59"/>
    </row>
    <row r="60" spans="1:7" x14ac:dyDescent="0.25">
      <c r="A60">
        <v>59</v>
      </c>
      <c r="B60">
        <v>10000</v>
      </c>
      <c r="C60" s="1">
        <v>0.26326388888888891</v>
      </c>
      <c r="G60"/>
    </row>
    <row r="61" spans="1:7" x14ac:dyDescent="0.25">
      <c r="A61">
        <v>60</v>
      </c>
      <c r="B61">
        <v>10040</v>
      </c>
      <c r="C61" s="1">
        <v>0.26366898148148149</v>
      </c>
      <c r="G61"/>
    </row>
    <row r="62" spans="1:7" x14ac:dyDescent="0.25">
      <c r="A62">
        <v>61</v>
      </c>
      <c r="B62">
        <v>9980</v>
      </c>
      <c r="C62" s="1">
        <v>0.26409722222222221</v>
      </c>
      <c r="G62"/>
    </row>
    <row r="63" spans="1:7" x14ac:dyDescent="0.25">
      <c r="A63">
        <v>62</v>
      </c>
      <c r="B63">
        <v>10040</v>
      </c>
      <c r="C63" s="1">
        <v>0.26450231481481484</v>
      </c>
      <c r="G63"/>
    </row>
    <row r="64" spans="1:7" x14ac:dyDescent="0.25">
      <c r="A64">
        <v>63</v>
      </c>
      <c r="B64">
        <v>10000</v>
      </c>
      <c r="C64" s="1">
        <v>0.26489583333333333</v>
      </c>
      <c r="G64"/>
    </row>
    <row r="65" spans="1:7" x14ac:dyDescent="0.25">
      <c r="A65">
        <v>64</v>
      </c>
      <c r="B65">
        <v>10000</v>
      </c>
      <c r="C65" s="1">
        <v>0.26528935185185182</v>
      </c>
      <c r="G65"/>
    </row>
    <row r="66" spans="1:7" x14ac:dyDescent="0.25">
      <c r="A66">
        <v>65</v>
      </c>
      <c r="B66">
        <v>10040</v>
      </c>
      <c r="C66" s="1">
        <v>0.26568287037037036</v>
      </c>
      <c r="G66"/>
    </row>
    <row r="67" spans="1:7" x14ac:dyDescent="0.25">
      <c r="A67">
        <v>66</v>
      </c>
      <c r="B67">
        <v>10020</v>
      </c>
      <c r="C67" s="1">
        <v>0.26609953703703704</v>
      </c>
      <c r="G67"/>
    </row>
    <row r="68" spans="1:7" x14ac:dyDescent="0.25">
      <c r="A68">
        <v>67</v>
      </c>
      <c r="B68">
        <v>10020</v>
      </c>
      <c r="C68" s="1">
        <v>0.26650462962962962</v>
      </c>
      <c r="G68"/>
    </row>
    <row r="69" spans="1:7" x14ac:dyDescent="0.25">
      <c r="A69">
        <v>68</v>
      </c>
      <c r="B69">
        <v>10020</v>
      </c>
      <c r="C69" s="1">
        <v>0.2669212962962963</v>
      </c>
      <c r="G69"/>
    </row>
    <row r="70" spans="1:7" x14ac:dyDescent="0.25">
      <c r="A70">
        <v>69</v>
      </c>
      <c r="B70">
        <v>10020</v>
      </c>
      <c r="C70" s="1">
        <v>0.26732638888888888</v>
      </c>
      <c r="G70"/>
    </row>
    <row r="71" spans="1:7" x14ac:dyDescent="0.25">
      <c r="A71">
        <v>70</v>
      </c>
      <c r="B71">
        <v>10000</v>
      </c>
      <c r="C71" s="1">
        <v>0.26773148148148146</v>
      </c>
      <c r="G71"/>
    </row>
    <row r="72" spans="1:7" x14ac:dyDescent="0.25">
      <c r="A72">
        <v>71</v>
      </c>
      <c r="B72">
        <v>10000</v>
      </c>
      <c r="C72" s="1">
        <v>0.268125</v>
      </c>
      <c r="G72"/>
    </row>
    <row r="73" spans="1:7" x14ac:dyDescent="0.25">
      <c r="A73">
        <v>72</v>
      </c>
      <c r="B73">
        <v>10020</v>
      </c>
      <c r="C73" s="1">
        <v>0.26851851851851855</v>
      </c>
      <c r="G73"/>
    </row>
    <row r="74" spans="1:7" x14ac:dyDescent="0.25">
      <c r="A74">
        <v>73</v>
      </c>
      <c r="B74">
        <v>10000</v>
      </c>
      <c r="C74" s="1">
        <v>0.26892361111111113</v>
      </c>
      <c r="G74"/>
    </row>
    <row r="75" spans="1:7" x14ac:dyDescent="0.25">
      <c r="A75">
        <v>74</v>
      </c>
      <c r="B75">
        <v>10020</v>
      </c>
      <c r="C75" s="1">
        <v>0.26937499999999998</v>
      </c>
      <c r="G75"/>
    </row>
    <row r="76" spans="1:7" x14ac:dyDescent="0.25">
      <c r="A76">
        <v>75</v>
      </c>
      <c r="B76">
        <v>9980</v>
      </c>
      <c r="C76" s="1">
        <v>0.26978009259259256</v>
      </c>
      <c r="G76"/>
    </row>
    <row r="77" spans="1:7" x14ac:dyDescent="0.25">
      <c r="A77">
        <v>76</v>
      </c>
      <c r="B77">
        <v>10020</v>
      </c>
      <c r="C77" s="1">
        <v>0.2701736111111111</v>
      </c>
      <c r="G77"/>
    </row>
    <row r="78" spans="1:7" x14ac:dyDescent="0.25">
      <c r="A78">
        <v>77</v>
      </c>
      <c r="B78">
        <v>10060</v>
      </c>
      <c r="C78" s="1">
        <v>0.27053240740740742</v>
      </c>
      <c r="G78"/>
    </row>
    <row r="79" spans="1:7" x14ac:dyDescent="0.25">
      <c r="A79">
        <v>78</v>
      </c>
      <c r="B79">
        <v>10020</v>
      </c>
      <c r="C79" s="1">
        <v>0.27094907407407409</v>
      </c>
      <c r="G79"/>
    </row>
    <row r="80" spans="1:7" x14ac:dyDescent="0.25">
      <c r="A80">
        <v>79</v>
      </c>
      <c r="B80">
        <v>10000</v>
      </c>
      <c r="C80" s="1">
        <v>0.27135416666666667</v>
      </c>
      <c r="G80"/>
    </row>
    <row r="81" spans="1:7" x14ac:dyDescent="0.25">
      <c r="A81">
        <v>80</v>
      </c>
      <c r="B81">
        <v>10040</v>
      </c>
      <c r="C81" s="1">
        <v>0.27175925925925926</v>
      </c>
      <c r="G81"/>
    </row>
    <row r="82" spans="1:7" x14ac:dyDescent="0.25">
      <c r="A82">
        <v>81</v>
      </c>
      <c r="B82">
        <v>10060</v>
      </c>
      <c r="C82" s="1">
        <v>0.27215277777777774</v>
      </c>
      <c r="G82"/>
    </row>
    <row r="83" spans="1:7" x14ac:dyDescent="0.25">
      <c r="A83">
        <v>82</v>
      </c>
      <c r="B83">
        <v>9980</v>
      </c>
      <c r="C83" s="1">
        <v>0.27256944444444448</v>
      </c>
      <c r="G83"/>
    </row>
    <row r="84" spans="1:7" x14ac:dyDescent="0.25">
      <c r="A84">
        <v>83</v>
      </c>
      <c r="B84">
        <v>10000</v>
      </c>
      <c r="C84" s="1">
        <v>0.2729861111111111</v>
      </c>
      <c r="G84"/>
    </row>
    <row r="85" spans="1:7" x14ac:dyDescent="0.25">
      <c r="A85">
        <v>84</v>
      </c>
      <c r="B85">
        <v>10020</v>
      </c>
      <c r="C85" s="1">
        <v>0.27340277777777777</v>
      </c>
      <c r="G85"/>
    </row>
    <row r="86" spans="1:7" x14ac:dyDescent="0.25">
      <c r="A86">
        <v>85</v>
      </c>
      <c r="B86">
        <v>10020</v>
      </c>
      <c r="C86" s="1">
        <v>0.27381944444444445</v>
      </c>
      <c r="G86"/>
    </row>
    <row r="87" spans="1:7" x14ac:dyDescent="0.25">
      <c r="A87">
        <v>86</v>
      </c>
      <c r="B87">
        <v>10040</v>
      </c>
      <c r="C87" s="1">
        <v>0.27422453703703703</v>
      </c>
      <c r="G87"/>
    </row>
    <row r="88" spans="1:7" x14ac:dyDescent="0.25">
      <c r="A88">
        <v>87</v>
      </c>
      <c r="B88">
        <v>10020</v>
      </c>
      <c r="C88" s="1">
        <v>0.27460648148148148</v>
      </c>
      <c r="G88"/>
    </row>
    <row r="89" spans="1:7" x14ac:dyDescent="0.25">
      <c r="A89">
        <v>88</v>
      </c>
      <c r="B89">
        <v>10020</v>
      </c>
      <c r="C89" s="1">
        <v>0.27497685185185183</v>
      </c>
      <c r="G89"/>
    </row>
    <row r="90" spans="1:7" x14ac:dyDescent="0.25">
      <c r="A90">
        <v>89</v>
      </c>
      <c r="B90">
        <v>10040</v>
      </c>
      <c r="C90" s="1">
        <v>0.27538194444444447</v>
      </c>
      <c r="G90"/>
    </row>
    <row r="91" spans="1:7" x14ac:dyDescent="0.25">
      <c r="A91">
        <v>90</v>
      </c>
      <c r="B91">
        <v>10000</v>
      </c>
      <c r="C91" s="1">
        <v>0.27578703703703705</v>
      </c>
      <c r="G91"/>
    </row>
    <row r="92" spans="1:7" x14ac:dyDescent="0.25">
      <c r="A92">
        <v>91</v>
      </c>
      <c r="B92">
        <v>10000</v>
      </c>
      <c r="C92" s="1">
        <v>0.27619212962962963</v>
      </c>
      <c r="G92"/>
    </row>
    <row r="93" spans="1:7" x14ac:dyDescent="0.25">
      <c r="A93">
        <v>92</v>
      </c>
      <c r="B93">
        <v>10020</v>
      </c>
      <c r="C93" s="1">
        <v>0.27658564814814818</v>
      </c>
      <c r="G93"/>
    </row>
    <row r="94" spans="1:7" x14ac:dyDescent="0.25">
      <c r="A94">
        <v>93</v>
      </c>
      <c r="B94">
        <v>10040</v>
      </c>
      <c r="C94" s="1">
        <v>0.27699074074074076</v>
      </c>
      <c r="G94"/>
    </row>
    <row r="95" spans="1:7" x14ac:dyDescent="0.25">
      <c r="A95">
        <v>94</v>
      </c>
      <c r="B95">
        <v>10020</v>
      </c>
      <c r="C95" s="1">
        <v>0.27739583333333334</v>
      </c>
      <c r="G95"/>
    </row>
    <row r="96" spans="1:7" x14ac:dyDescent="0.25">
      <c r="A96">
        <v>95</v>
      </c>
      <c r="B96">
        <v>10020</v>
      </c>
      <c r="C96" s="1">
        <v>0.27780092592592592</v>
      </c>
      <c r="G96"/>
    </row>
    <row r="97" spans="1:7" x14ac:dyDescent="0.25">
      <c r="A97">
        <v>96</v>
      </c>
      <c r="B97">
        <v>10020</v>
      </c>
      <c r="C97" s="1">
        <v>0.27820601851851851</v>
      </c>
      <c r="G97"/>
    </row>
    <row r="98" spans="1:7" x14ac:dyDescent="0.25">
      <c r="A98">
        <v>97</v>
      </c>
      <c r="B98">
        <v>10040</v>
      </c>
      <c r="C98" s="1">
        <v>0.27862268518518518</v>
      </c>
      <c r="G98"/>
    </row>
    <row r="99" spans="1:7" x14ac:dyDescent="0.25">
      <c r="A99">
        <v>98</v>
      </c>
      <c r="B99">
        <v>10020</v>
      </c>
      <c r="C99" s="1">
        <v>0.27902777777777776</v>
      </c>
      <c r="G99"/>
    </row>
    <row r="100" spans="1:7" x14ac:dyDescent="0.25">
      <c r="A100">
        <v>99</v>
      </c>
      <c r="B100">
        <v>10000</v>
      </c>
      <c r="C100" s="1">
        <v>0.2794328703703704</v>
      </c>
      <c r="G100"/>
    </row>
    <row r="101" spans="1:7" x14ac:dyDescent="0.25">
      <c r="A101">
        <v>100</v>
      </c>
      <c r="B101">
        <v>10040</v>
      </c>
      <c r="C101" s="1">
        <v>0.27983796296296298</v>
      </c>
      <c r="G101"/>
    </row>
    <row r="102" spans="1:7" x14ac:dyDescent="0.25">
      <c r="A102">
        <v>101</v>
      </c>
      <c r="B102">
        <v>10020</v>
      </c>
      <c r="C102" s="1">
        <v>0.28024305555555556</v>
      </c>
      <c r="G102"/>
    </row>
    <row r="103" spans="1:7" x14ac:dyDescent="0.25">
      <c r="A103">
        <v>102</v>
      </c>
      <c r="B103">
        <v>10000</v>
      </c>
      <c r="C103" s="1">
        <v>0.28063657407407411</v>
      </c>
      <c r="G103"/>
    </row>
    <row r="104" spans="1:7" x14ac:dyDescent="0.25">
      <c r="A104">
        <v>103</v>
      </c>
      <c r="B104">
        <v>10020</v>
      </c>
      <c r="C104" s="1">
        <v>0.28104166666666669</v>
      </c>
      <c r="G104"/>
    </row>
    <row r="105" spans="1:7" x14ac:dyDescent="0.25">
      <c r="A105">
        <v>104</v>
      </c>
      <c r="B105">
        <v>10000</v>
      </c>
      <c r="C105" s="1">
        <v>0.2814699074074074</v>
      </c>
      <c r="G105"/>
    </row>
    <row r="106" spans="1:7" x14ac:dyDescent="0.25">
      <c r="A106">
        <v>105</v>
      </c>
      <c r="B106">
        <v>10000</v>
      </c>
      <c r="C106" s="1">
        <v>0.28186342592592589</v>
      </c>
      <c r="G106"/>
    </row>
    <row r="107" spans="1:7" x14ac:dyDescent="0.25">
      <c r="A107">
        <v>106</v>
      </c>
      <c r="B107">
        <v>10040</v>
      </c>
      <c r="C107" s="1">
        <v>0.2822453703703704</v>
      </c>
      <c r="G107"/>
    </row>
    <row r="108" spans="1:7" x14ac:dyDescent="0.25">
      <c r="A108">
        <v>107</v>
      </c>
      <c r="B108">
        <v>10020</v>
      </c>
      <c r="C108" s="1">
        <v>0.28263888888888888</v>
      </c>
      <c r="G108"/>
    </row>
    <row r="109" spans="1:7" x14ac:dyDescent="0.25">
      <c r="A109">
        <v>108</v>
      </c>
      <c r="B109">
        <v>10020</v>
      </c>
      <c r="C109" s="1">
        <v>0.28304398148148152</v>
      </c>
      <c r="G109"/>
    </row>
    <row r="110" spans="1:7" x14ac:dyDescent="0.25">
      <c r="A110">
        <v>109</v>
      </c>
      <c r="B110">
        <v>10020</v>
      </c>
      <c r="C110" s="1">
        <v>0.28347222222222224</v>
      </c>
      <c r="G110"/>
    </row>
    <row r="111" spans="1:7" x14ac:dyDescent="0.25">
      <c r="A111">
        <v>110</v>
      </c>
      <c r="B111">
        <v>10020</v>
      </c>
      <c r="C111" s="1">
        <v>0.28386574074074072</v>
      </c>
      <c r="G111"/>
    </row>
    <row r="112" spans="1:7" x14ac:dyDescent="0.25">
      <c r="A112">
        <v>111</v>
      </c>
      <c r="B112">
        <v>10040</v>
      </c>
      <c r="C112" s="1">
        <v>0.2842824074074074</v>
      </c>
      <c r="G112"/>
    </row>
    <row r="113" spans="1:7" x14ac:dyDescent="0.25">
      <c r="A113">
        <v>112</v>
      </c>
      <c r="B113">
        <v>10020</v>
      </c>
      <c r="C113" s="1">
        <v>0.28466435185185185</v>
      </c>
      <c r="G113"/>
    </row>
    <row r="114" spans="1:7" x14ac:dyDescent="0.25">
      <c r="A114">
        <v>113</v>
      </c>
      <c r="B114">
        <v>10020</v>
      </c>
      <c r="C114" s="1">
        <v>0.28506944444444443</v>
      </c>
      <c r="G114"/>
    </row>
    <row r="115" spans="1:7" x14ac:dyDescent="0.25">
      <c r="A115">
        <v>114</v>
      </c>
      <c r="B115">
        <v>10020</v>
      </c>
      <c r="C115" s="1">
        <v>0.28547453703703701</v>
      </c>
      <c r="G115"/>
    </row>
    <row r="116" spans="1:7" x14ac:dyDescent="0.25">
      <c r="A116">
        <v>115</v>
      </c>
      <c r="B116">
        <v>10040</v>
      </c>
      <c r="C116" s="1">
        <v>0.28587962962962959</v>
      </c>
      <c r="G116"/>
    </row>
    <row r="117" spans="1:7" x14ac:dyDescent="0.25">
      <c r="A117">
        <v>116</v>
      </c>
      <c r="B117">
        <v>10020</v>
      </c>
      <c r="C117" s="1">
        <v>0.28628472222222223</v>
      </c>
      <c r="G117"/>
    </row>
    <row r="118" spans="1:7" x14ac:dyDescent="0.25">
      <c r="A118">
        <v>117</v>
      </c>
      <c r="B118">
        <v>10020</v>
      </c>
      <c r="C118" s="1">
        <v>0.28668981481481481</v>
      </c>
      <c r="G118"/>
    </row>
    <row r="119" spans="1:7" x14ac:dyDescent="0.25">
      <c r="A119">
        <v>118</v>
      </c>
      <c r="B119">
        <v>10040</v>
      </c>
      <c r="C119" s="1">
        <v>0.2870833333333333</v>
      </c>
      <c r="G119"/>
    </row>
    <row r="120" spans="1:7" x14ac:dyDescent="0.25">
      <c r="A120">
        <v>119</v>
      </c>
      <c r="B120">
        <v>10020</v>
      </c>
      <c r="C120" s="1">
        <v>0.28748842592592594</v>
      </c>
      <c r="G120"/>
    </row>
    <row r="121" spans="1:7" x14ac:dyDescent="0.25">
      <c r="A121">
        <v>120</v>
      </c>
      <c r="B121">
        <v>10020</v>
      </c>
      <c r="C121" s="1">
        <v>0.28790509259259262</v>
      </c>
      <c r="G121"/>
    </row>
    <row r="122" spans="1:7" x14ac:dyDescent="0.25">
      <c r="A122">
        <v>121</v>
      </c>
      <c r="B122">
        <v>10000</v>
      </c>
      <c r="C122" s="1">
        <v>0.28832175925925924</v>
      </c>
      <c r="G122"/>
    </row>
    <row r="123" spans="1:7" x14ac:dyDescent="0.25">
      <c r="A123">
        <v>122</v>
      </c>
      <c r="B123">
        <v>10000</v>
      </c>
      <c r="C123" s="1">
        <v>0.28873842592592591</v>
      </c>
      <c r="G123"/>
    </row>
    <row r="124" spans="1:7" x14ac:dyDescent="0.25">
      <c r="A124">
        <v>123</v>
      </c>
      <c r="B124">
        <v>10040</v>
      </c>
      <c r="C124" s="1">
        <v>0.28914351851851855</v>
      </c>
      <c r="G124"/>
    </row>
    <row r="125" spans="1:7" x14ac:dyDescent="0.25">
      <c r="A125">
        <v>124</v>
      </c>
      <c r="B125">
        <v>10020</v>
      </c>
      <c r="C125" s="1">
        <v>0.28956018518518517</v>
      </c>
      <c r="G125"/>
    </row>
    <row r="126" spans="1:7" x14ac:dyDescent="0.25">
      <c r="A126">
        <v>125</v>
      </c>
      <c r="B126">
        <v>9980</v>
      </c>
      <c r="C126" s="1">
        <v>0.29001157407407407</v>
      </c>
      <c r="G126"/>
    </row>
    <row r="127" spans="1:7" x14ac:dyDescent="0.25">
      <c r="A127">
        <v>126</v>
      </c>
      <c r="B127">
        <v>10020</v>
      </c>
      <c r="C127" s="1">
        <v>0.29040509259259256</v>
      </c>
      <c r="G127"/>
    </row>
    <row r="128" spans="1:7" x14ac:dyDescent="0.25">
      <c r="A128">
        <v>127</v>
      </c>
      <c r="B128">
        <v>10020</v>
      </c>
      <c r="C128" s="1">
        <v>0.2908101851851852</v>
      </c>
      <c r="G128"/>
    </row>
    <row r="129" spans="1:7" x14ac:dyDescent="0.25">
      <c r="A129">
        <v>128</v>
      </c>
      <c r="B129">
        <v>10020</v>
      </c>
      <c r="C129" s="1">
        <v>0.29118055555555555</v>
      </c>
      <c r="G129"/>
    </row>
    <row r="130" spans="1:7" x14ac:dyDescent="0.25">
      <c r="A130">
        <v>129</v>
      </c>
      <c r="B130">
        <v>10020</v>
      </c>
      <c r="C130" s="1">
        <v>0.29199074074074077</v>
      </c>
      <c r="G130"/>
    </row>
    <row r="131" spans="1:7" x14ac:dyDescent="0.25">
      <c r="A131">
        <v>130</v>
      </c>
      <c r="B131">
        <v>10040</v>
      </c>
      <c r="C131" s="1">
        <v>0.29237268518518517</v>
      </c>
      <c r="G131"/>
    </row>
    <row r="132" spans="1:7" x14ac:dyDescent="0.25">
      <c r="A132">
        <v>131</v>
      </c>
      <c r="B132">
        <v>10040</v>
      </c>
      <c r="C132" s="1">
        <v>0.29277777777777775</v>
      </c>
      <c r="G132"/>
    </row>
    <row r="133" spans="1:7" x14ac:dyDescent="0.25">
      <c r="A133">
        <v>132</v>
      </c>
      <c r="B133">
        <v>10040</v>
      </c>
      <c r="C133" s="1">
        <v>0.29319444444444448</v>
      </c>
      <c r="G133"/>
    </row>
    <row r="134" spans="1:7" x14ac:dyDescent="0.25">
      <c r="A134">
        <v>133</v>
      </c>
      <c r="B134">
        <v>10020</v>
      </c>
      <c r="C134" s="1">
        <v>0.29358796296296297</v>
      </c>
      <c r="G134"/>
    </row>
    <row r="135" spans="1:7" x14ac:dyDescent="0.25">
      <c r="A135">
        <v>134</v>
      </c>
      <c r="B135">
        <v>10020</v>
      </c>
      <c r="C135" s="1">
        <v>0.29399305555555555</v>
      </c>
      <c r="G135"/>
    </row>
    <row r="136" spans="1:7" x14ac:dyDescent="0.25">
      <c r="A136">
        <v>135</v>
      </c>
      <c r="B136">
        <v>10020</v>
      </c>
      <c r="C136" s="1">
        <v>0.29479166666666667</v>
      </c>
      <c r="G136"/>
    </row>
    <row r="137" spans="1:7" x14ac:dyDescent="0.25">
      <c r="A137">
        <v>136</v>
      </c>
      <c r="B137">
        <v>10000</v>
      </c>
      <c r="C137" s="1">
        <v>0.29520833333333335</v>
      </c>
      <c r="G137"/>
    </row>
    <row r="138" spans="1:7" x14ac:dyDescent="0.25">
      <c r="A138">
        <v>137</v>
      </c>
      <c r="B138">
        <v>9980</v>
      </c>
      <c r="C138" s="1">
        <v>0.29562499999999997</v>
      </c>
      <c r="G138"/>
    </row>
    <row r="139" spans="1:7" x14ac:dyDescent="0.25">
      <c r="A139">
        <v>138</v>
      </c>
      <c r="B139">
        <v>10020</v>
      </c>
      <c r="C139" s="1">
        <v>0.29603009259259261</v>
      </c>
      <c r="G139"/>
    </row>
    <row r="140" spans="1:7" x14ac:dyDescent="0.25">
      <c r="A140">
        <v>139</v>
      </c>
      <c r="B140">
        <v>10020</v>
      </c>
      <c r="C140" s="1">
        <v>0.29643518518518519</v>
      </c>
      <c r="G140"/>
    </row>
    <row r="141" spans="1:7" x14ac:dyDescent="0.25">
      <c r="A141">
        <v>140</v>
      </c>
      <c r="B141">
        <v>10040</v>
      </c>
      <c r="C141" s="1">
        <v>0.29684027777777777</v>
      </c>
      <c r="G141"/>
    </row>
    <row r="142" spans="1:7" x14ac:dyDescent="0.25">
      <c r="A142">
        <v>141</v>
      </c>
      <c r="B142">
        <v>10020</v>
      </c>
      <c r="C142" s="1">
        <v>0.29724537037037035</v>
      </c>
      <c r="G142"/>
    </row>
    <row r="143" spans="1:7" x14ac:dyDescent="0.25">
      <c r="A143">
        <v>142</v>
      </c>
      <c r="B143">
        <v>10040</v>
      </c>
      <c r="C143" s="1">
        <v>0.2976388888888889</v>
      </c>
      <c r="G143"/>
    </row>
    <row r="144" spans="1:7" x14ac:dyDescent="0.25">
      <c r="A144">
        <v>143</v>
      </c>
      <c r="B144">
        <v>10040</v>
      </c>
      <c r="C144" s="1">
        <v>0.29803240740740738</v>
      </c>
      <c r="G144"/>
    </row>
    <row r="145" spans="1:7" x14ac:dyDescent="0.25">
      <c r="A145">
        <v>144</v>
      </c>
      <c r="B145">
        <v>10000</v>
      </c>
      <c r="C145" s="1">
        <v>0.29843749999999997</v>
      </c>
      <c r="G145"/>
    </row>
    <row r="146" spans="1:7" x14ac:dyDescent="0.25">
      <c r="A146">
        <v>145</v>
      </c>
      <c r="B146">
        <v>10040</v>
      </c>
      <c r="C146" s="1">
        <v>0.29886574074074074</v>
      </c>
      <c r="G146"/>
    </row>
    <row r="147" spans="1:7" x14ac:dyDescent="0.25">
      <c r="A147">
        <v>146</v>
      </c>
      <c r="B147">
        <v>10020</v>
      </c>
      <c r="C147" s="1">
        <v>0.29927083333333332</v>
      </c>
      <c r="G147"/>
    </row>
    <row r="148" spans="1:7" x14ac:dyDescent="0.25">
      <c r="A148">
        <v>147</v>
      </c>
      <c r="B148">
        <v>10040</v>
      </c>
      <c r="C148" s="1">
        <v>0.30006944444444444</v>
      </c>
      <c r="G148"/>
    </row>
    <row r="149" spans="1:7" x14ac:dyDescent="0.25">
      <c r="A149">
        <v>148</v>
      </c>
      <c r="B149">
        <v>10040</v>
      </c>
      <c r="C149" s="1">
        <v>0.30048611111111112</v>
      </c>
      <c r="G149"/>
    </row>
    <row r="150" spans="1:7" x14ac:dyDescent="0.25">
      <c r="A150">
        <v>149</v>
      </c>
      <c r="B150">
        <v>10020</v>
      </c>
      <c r="C150" s="1">
        <v>0.3008912037037037</v>
      </c>
      <c r="G150"/>
    </row>
    <row r="151" spans="1:7" x14ac:dyDescent="0.25">
      <c r="A151">
        <v>150</v>
      </c>
      <c r="B151">
        <v>10000</v>
      </c>
      <c r="C151" s="1">
        <v>0.30127314814814815</v>
      </c>
      <c r="G151"/>
    </row>
    <row r="152" spans="1:7" x14ac:dyDescent="0.25">
      <c r="A152">
        <v>151</v>
      </c>
      <c r="B152">
        <v>10040</v>
      </c>
      <c r="C152" s="1">
        <v>0.30166666666666669</v>
      </c>
      <c r="G152"/>
    </row>
    <row r="153" spans="1:7" x14ac:dyDescent="0.25">
      <c r="A153">
        <v>152</v>
      </c>
      <c r="B153">
        <v>10000</v>
      </c>
      <c r="C153" s="1">
        <v>0.30207175925925928</v>
      </c>
      <c r="G153"/>
    </row>
    <row r="154" spans="1:7" x14ac:dyDescent="0.25">
      <c r="A154">
        <v>153</v>
      </c>
      <c r="B154">
        <v>10020</v>
      </c>
      <c r="C154" s="1">
        <v>0.30249999999999999</v>
      </c>
      <c r="G154"/>
    </row>
    <row r="155" spans="1:7" x14ac:dyDescent="0.25">
      <c r="A155">
        <v>154</v>
      </c>
      <c r="B155">
        <v>10020</v>
      </c>
      <c r="C155" s="1">
        <v>0.30289351851851853</v>
      </c>
      <c r="G155"/>
    </row>
    <row r="156" spans="1:7" x14ac:dyDescent="0.25">
      <c r="A156">
        <v>155</v>
      </c>
      <c r="B156">
        <v>10040</v>
      </c>
      <c r="C156" s="1">
        <v>0.30329861111111112</v>
      </c>
      <c r="G156"/>
    </row>
    <row r="157" spans="1:7" x14ac:dyDescent="0.25">
      <c r="A157">
        <v>156</v>
      </c>
      <c r="B157">
        <v>10020</v>
      </c>
      <c r="C157" s="1">
        <v>0.3037037037037037</v>
      </c>
      <c r="G157"/>
    </row>
    <row r="158" spans="1:7" x14ac:dyDescent="0.25">
      <c r="A158">
        <v>157</v>
      </c>
      <c r="B158">
        <v>10040</v>
      </c>
      <c r="C158" s="1">
        <v>0.30410879629629628</v>
      </c>
      <c r="G158"/>
    </row>
    <row r="159" spans="1:7" x14ac:dyDescent="0.25">
      <c r="A159">
        <v>158</v>
      </c>
      <c r="B159">
        <v>10020</v>
      </c>
      <c r="C159" s="1">
        <v>0.3049074074074074</v>
      </c>
      <c r="G159"/>
    </row>
    <row r="160" spans="1:7" x14ac:dyDescent="0.25">
      <c r="A160">
        <v>159</v>
      </c>
      <c r="B160">
        <v>10020</v>
      </c>
      <c r="C160" s="1">
        <v>0.30531249999999999</v>
      </c>
      <c r="G160"/>
    </row>
    <row r="161" spans="1:7" x14ac:dyDescent="0.25">
      <c r="A161">
        <v>160</v>
      </c>
      <c r="B161">
        <v>10020</v>
      </c>
      <c r="C161" s="1">
        <v>0.30571759259259262</v>
      </c>
      <c r="G161"/>
    </row>
    <row r="162" spans="1:7" x14ac:dyDescent="0.25">
      <c r="A162">
        <v>161</v>
      </c>
      <c r="B162">
        <v>10040</v>
      </c>
      <c r="C162" s="1">
        <v>0.30612268518518521</v>
      </c>
      <c r="G162"/>
    </row>
    <row r="163" spans="1:7" x14ac:dyDescent="0.25">
      <c r="A163">
        <v>162</v>
      </c>
      <c r="B163">
        <v>10040</v>
      </c>
      <c r="C163" s="1">
        <v>0.30652777777777779</v>
      </c>
      <c r="G163"/>
    </row>
    <row r="164" spans="1:7" x14ac:dyDescent="0.25">
      <c r="A164">
        <v>163</v>
      </c>
      <c r="B164">
        <v>10020</v>
      </c>
      <c r="C164" s="1">
        <v>0.30693287037037037</v>
      </c>
      <c r="G164"/>
    </row>
    <row r="165" spans="1:7" x14ac:dyDescent="0.25">
      <c r="A165">
        <v>164</v>
      </c>
      <c r="B165">
        <v>10020</v>
      </c>
      <c r="C165" s="1">
        <v>0.30734953703703705</v>
      </c>
      <c r="G165"/>
    </row>
    <row r="166" spans="1:7" x14ac:dyDescent="0.25">
      <c r="A166">
        <v>165</v>
      </c>
      <c r="B166">
        <v>10040</v>
      </c>
      <c r="C166" s="1">
        <v>0.30774305555555553</v>
      </c>
      <c r="G166"/>
    </row>
    <row r="167" spans="1:7" x14ac:dyDescent="0.25">
      <c r="A167">
        <v>166</v>
      </c>
      <c r="B167">
        <v>10000</v>
      </c>
      <c r="C167" s="1">
        <v>0.30826388888888889</v>
      </c>
      <c r="G167"/>
    </row>
    <row r="168" spans="1:7" x14ac:dyDescent="0.25">
      <c r="A168">
        <v>167</v>
      </c>
      <c r="B168">
        <v>10020</v>
      </c>
      <c r="C168" s="1">
        <v>0.3087152777777778</v>
      </c>
      <c r="G168"/>
    </row>
    <row r="169" spans="1:7" x14ac:dyDescent="0.25">
      <c r="G169"/>
    </row>
    <row r="170" spans="1:7" x14ac:dyDescent="0.25">
      <c r="G170"/>
    </row>
    <row r="171" spans="1:7" x14ac:dyDescent="0.25">
      <c r="G171"/>
    </row>
    <row r="172" spans="1:7" x14ac:dyDescent="0.25">
      <c r="G172"/>
    </row>
    <row r="173" spans="1:7" x14ac:dyDescent="0.25">
      <c r="G173"/>
    </row>
    <row r="174" spans="1:7" x14ac:dyDescent="0.25">
      <c r="G174"/>
    </row>
    <row r="175" spans="1:7" x14ac:dyDescent="0.25">
      <c r="G175"/>
    </row>
    <row r="176" spans="1:7" x14ac:dyDescent="0.25">
      <c r="G176"/>
    </row>
    <row r="177" spans="7:7" x14ac:dyDescent="0.25">
      <c r="G177"/>
    </row>
    <row r="178" spans="7:7" x14ac:dyDescent="0.25">
      <c r="G178"/>
    </row>
    <row r="179" spans="7:7" x14ac:dyDescent="0.25">
      <c r="G179"/>
    </row>
    <row r="180" spans="7:7" x14ac:dyDescent="0.25">
      <c r="G180"/>
    </row>
    <row r="181" spans="7:7" x14ac:dyDescent="0.25">
      <c r="G181"/>
    </row>
    <row r="182" spans="7:7" x14ac:dyDescent="0.25">
      <c r="G182"/>
    </row>
    <row r="183" spans="7:7" x14ac:dyDescent="0.25">
      <c r="G183"/>
    </row>
    <row r="184" spans="7:7" x14ac:dyDescent="0.25">
      <c r="G184"/>
    </row>
    <row r="185" spans="7:7" x14ac:dyDescent="0.25">
      <c r="G185"/>
    </row>
    <row r="186" spans="7:7" x14ac:dyDescent="0.25">
      <c r="G186"/>
    </row>
    <row r="187" spans="7:7" x14ac:dyDescent="0.25">
      <c r="G187"/>
    </row>
    <row r="188" spans="7:7" x14ac:dyDescent="0.25">
      <c r="G188"/>
    </row>
    <row r="189" spans="7:7" x14ac:dyDescent="0.25">
      <c r="G189"/>
    </row>
    <row r="190" spans="7:7" x14ac:dyDescent="0.25">
      <c r="G190"/>
    </row>
    <row r="191" spans="7:7" x14ac:dyDescent="0.25">
      <c r="G191"/>
    </row>
    <row r="192" spans="7:7" x14ac:dyDescent="0.25">
      <c r="G192"/>
    </row>
    <row r="193" spans="7:7" x14ac:dyDescent="0.25">
      <c r="G193"/>
    </row>
    <row r="194" spans="7:7" x14ac:dyDescent="0.25">
      <c r="G194"/>
    </row>
    <row r="195" spans="7:7" x14ac:dyDescent="0.25">
      <c r="G195"/>
    </row>
    <row r="196" spans="7:7" x14ac:dyDescent="0.25">
      <c r="G196"/>
    </row>
    <row r="197" spans="7:7" x14ac:dyDescent="0.25">
      <c r="G197"/>
    </row>
    <row r="198" spans="7:7" x14ac:dyDescent="0.25">
      <c r="G198"/>
    </row>
    <row r="199" spans="7:7" x14ac:dyDescent="0.25">
      <c r="G199"/>
    </row>
    <row r="200" spans="7:7" x14ac:dyDescent="0.25">
      <c r="G200"/>
    </row>
    <row r="201" spans="7:7" x14ac:dyDescent="0.25">
      <c r="G201"/>
    </row>
    <row r="202" spans="7:7" x14ac:dyDescent="0.25">
      <c r="G202"/>
    </row>
    <row r="203" spans="7:7" x14ac:dyDescent="0.25">
      <c r="G203"/>
    </row>
    <row r="204" spans="7:7" x14ac:dyDescent="0.25">
      <c r="G204"/>
    </row>
    <row r="205" spans="7:7" x14ac:dyDescent="0.25">
      <c r="G205"/>
    </row>
    <row r="206" spans="7:7" x14ac:dyDescent="0.25">
      <c r="G206"/>
    </row>
    <row r="207" spans="7:7" x14ac:dyDescent="0.25">
      <c r="G207"/>
    </row>
    <row r="208" spans="7:7" x14ac:dyDescent="0.25">
      <c r="G208"/>
    </row>
    <row r="209" spans="7:7" x14ac:dyDescent="0.25">
      <c r="G209"/>
    </row>
    <row r="210" spans="7:7" x14ac:dyDescent="0.25">
      <c r="G210"/>
    </row>
    <row r="211" spans="7:7" x14ac:dyDescent="0.25">
      <c r="G211"/>
    </row>
    <row r="212" spans="7:7" x14ac:dyDescent="0.25">
      <c r="G212"/>
    </row>
    <row r="213" spans="7:7" x14ac:dyDescent="0.25">
      <c r="G213"/>
    </row>
    <row r="214" spans="7:7" x14ac:dyDescent="0.25">
      <c r="G214"/>
    </row>
    <row r="215" spans="7:7" x14ac:dyDescent="0.25">
      <c r="G215"/>
    </row>
    <row r="216" spans="7:7" x14ac:dyDescent="0.25">
      <c r="G216"/>
    </row>
    <row r="217" spans="7:7" x14ac:dyDescent="0.25">
      <c r="G217"/>
    </row>
    <row r="218" spans="7:7" x14ac:dyDescent="0.25">
      <c r="G218"/>
    </row>
    <row r="219" spans="7:7" x14ac:dyDescent="0.25">
      <c r="G219"/>
    </row>
    <row r="220" spans="7:7" x14ac:dyDescent="0.25">
      <c r="G220"/>
    </row>
    <row r="221" spans="7:7" x14ac:dyDescent="0.25">
      <c r="G221"/>
    </row>
    <row r="222" spans="7:7" x14ac:dyDescent="0.25">
      <c r="G222"/>
    </row>
    <row r="223" spans="7:7" x14ac:dyDescent="0.25">
      <c r="G223"/>
    </row>
    <row r="224" spans="7:7" x14ac:dyDescent="0.25">
      <c r="G224"/>
    </row>
    <row r="225" spans="7:7" x14ac:dyDescent="0.25">
      <c r="G225"/>
    </row>
    <row r="226" spans="7:7" x14ac:dyDescent="0.25">
      <c r="G226"/>
    </row>
    <row r="227" spans="7:7" x14ac:dyDescent="0.25">
      <c r="G227"/>
    </row>
    <row r="228" spans="7:7" x14ac:dyDescent="0.25">
      <c r="G228"/>
    </row>
    <row r="229" spans="7:7" x14ac:dyDescent="0.25">
      <c r="G229"/>
    </row>
    <row r="230" spans="7:7" x14ac:dyDescent="0.25">
      <c r="G230"/>
    </row>
    <row r="231" spans="7:7" x14ac:dyDescent="0.25">
      <c r="G231"/>
    </row>
    <row r="232" spans="7:7" x14ac:dyDescent="0.25">
      <c r="G232"/>
    </row>
    <row r="233" spans="7:7" x14ac:dyDescent="0.25">
      <c r="G233"/>
    </row>
    <row r="234" spans="7:7" x14ac:dyDescent="0.25">
      <c r="G234"/>
    </row>
    <row r="235" spans="7:7" x14ac:dyDescent="0.25">
      <c r="G235"/>
    </row>
    <row r="236" spans="7:7" x14ac:dyDescent="0.25">
      <c r="G236"/>
    </row>
    <row r="237" spans="7:7" x14ac:dyDescent="0.25">
      <c r="G237"/>
    </row>
    <row r="238" spans="7:7" x14ac:dyDescent="0.25">
      <c r="G238"/>
    </row>
    <row r="239" spans="7:7" x14ac:dyDescent="0.25">
      <c r="G239"/>
    </row>
    <row r="240" spans="7:7" x14ac:dyDescent="0.25">
      <c r="G240"/>
    </row>
    <row r="241" spans="7:7" x14ac:dyDescent="0.25">
      <c r="G241"/>
    </row>
    <row r="242" spans="7:7" x14ac:dyDescent="0.25">
      <c r="G242"/>
    </row>
    <row r="243" spans="7:7" x14ac:dyDescent="0.25">
      <c r="G243"/>
    </row>
    <row r="244" spans="7:7" x14ac:dyDescent="0.25">
      <c r="G244"/>
    </row>
    <row r="245" spans="7:7" x14ac:dyDescent="0.25">
      <c r="G245"/>
    </row>
    <row r="246" spans="7:7" x14ac:dyDescent="0.25">
      <c r="G246"/>
    </row>
    <row r="247" spans="7:7" x14ac:dyDescent="0.25">
      <c r="G247"/>
    </row>
    <row r="248" spans="7:7" x14ac:dyDescent="0.25">
      <c r="G248"/>
    </row>
    <row r="249" spans="7:7" x14ac:dyDescent="0.25">
      <c r="G249"/>
    </row>
    <row r="250" spans="7:7" x14ac:dyDescent="0.25">
      <c r="G250"/>
    </row>
    <row r="251" spans="7:7" x14ac:dyDescent="0.25">
      <c r="G251"/>
    </row>
    <row r="252" spans="7:7" x14ac:dyDescent="0.25">
      <c r="G252"/>
    </row>
    <row r="253" spans="7:7" x14ac:dyDescent="0.25">
      <c r="G253"/>
    </row>
    <row r="254" spans="7:7" x14ac:dyDescent="0.25">
      <c r="G254"/>
    </row>
    <row r="255" spans="7:7" x14ac:dyDescent="0.25">
      <c r="G255"/>
    </row>
    <row r="256" spans="7:7" x14ac:dyDescent="0.25">
      <c r="G256"/>
    </row>
    <row r="257" spans="7:7" x14ac:dyDescent="0.25">
      <c r="G257"/>
    </row>
    <row r="258" spans="7:7" x14ac:dyDescent="0.25">
      <c r="G258"/>
    </row>
    <row r="259" spans="7:7" x14ac:dyDescent="0.25">
      <c r="G259"/>
    </row>
    <row r="260" spans="7:7" x14ac:dyDescent="0.25">
      <c r="G260"/>
    </row>
    <row r="261" spans="7:7" x14ac:dyDescent="0.25">
      <c r="G261"/>
    </row>
    <row r="262" spans="7:7" x14ac:dyDescent="0.25">
      <c r="G262"/>
    </row>
    <row r="263" spans="7:7" x14ac:dyDescent="0.25">
      <c r="G263"/>
    </row>
    <row r="264" spans="7:7" x14ac:dyDescent="0.25">
      <c r="G264"/>
    </row>
    <row r="265" spans="7:7" x14ac:dyDescent="0.25">
      <c r="G265"/>
    </row>
    <row r="266" spans="7:7" x14ac:dyDescent="0.25">
      <c r="G266"/>
    </row>
    <row r="267" spans="7:7" x14ac:dyDescent="0.25">
      <c r="G267"/>
    </row>
    <row r="268" spans="7:7" x14ac:dyDescent="0.25">
      <c r="G268"/>
    </row>
    <row r="269" spans="7:7" x14ac:dyDescent="0.25">
      <c r="G269"/>
    </row>
    <row r="270" spans="7:7" x14ac:dyDescent="0.25">
      <c r="G270"/>
    </row>
    <row r="271" spans="7:7" x14ac:dyDescent="0.25">
      <c r="G271"/>
    </row>
    <row r="272" spans="7:7" x14ac:dyDescent="0.25">
      <c r="G272"/>
    </row>
    <row r="273" spans="7:7" x14ac:dyDescent="0.25">
      <c r="G273"/>
    </row>
    <row r="274" spans="7:7" x14ac:dyDescent="0.25">
      <c r="G274"/>
    </row>
    <row r="275" spans="7:7" x14ac:dyDescent="0.25">
      <c r="G275"/>
    </row>
    <row r="276" spans="7:7" x14ac:dyDescent="0.25">
      <c r="G276"/>
    </row>
    <row r="277" spans="7:7" x14ac:dyDescent="0.25">
      <c r="G277"/>
    </row>
    <row r="278" spans="7:7" x14ac:dyDescent="0.25">
      <c r="G278"/>
    </row>
    <row r="279" spans="7:7" x14ac:dyDescent="0.25">
      <c r="G279"/>
    </row>
    <row r="280" spans="7:7" x14ac:dyDescent="0.25">
      <c r="G280"/>
    </row>
    <row r="281" spans="7:7" x14ac:dyDescent="0.25">
      <c r="G281"/>
    </row>
    <row r="282" spans="7:7" x14ac:dyDescent="0.25">
      <c r="G282"/>
    </row>
    <row r="283" spans="7:7" x14ac:dyDescent="0.25">
      <c r="G283"/>
    </row>
    <row r="284" spans="7:7" x14ac:dyDescent="0.25">
      <c r="G284"/>
    </row>
    <row r="285" spans="7:7" x14ac:dyDescent="0.25">
      <c r="G285"/>
    </row>
    <row r="286" spans="7:7" x14ac:dyDescent="0.25">
      <c r="G286"/>
    </row>
    <row r="287" spans="7:7" x14ac:dyDescent="0.25">
      <c r="G287"/>
    </row>
    <row r="288" spans="7:7" x14ac:dyDescent="0.25">
      <c r="G288"/>
    </row>
    <row r="289" spans="7:7" x14ac:dyDescent="0.25">
      <c r="G289"/>
    </row>
    <row r="290" spans="7:7" x14ac:dyDescent="0.25">
      <c r="G290"/>
    </row>
    <row r="291" spans="7:7" x14ac:dyDescent="0.25">
      <c r="G291"/>
    </row>
    <row r="292" spans="7:7" x14ac:dyDescent="0.25">
      <c r="G292"/>
    </row>
    <row r="293" spans="7:7" x14ac:dyDescent="0.25">
      <c r="G293"/>
    </row>
    <row r="294" spans="7:7" x14ac:dyDescent="0.25">
      <c r="G294"/>
    </row>
    <row r="295" spans="7:7" x14ac:dyDescent="0.25">
      <c r="G295"/>
    </row>
    <row r="296" spans="7:7" x14ac:dyDescent="0.25">
      <c r="G296"/>
    </row>
    <row r="297" spans="7:7" x14ac:dyDescent="0.25">
      <c r="G297"/>
    </row>
    <row r="298" spans="7:7" x14ac:dyDescent="0.25">
      <c r="G298"/>
    </row>
    <row r="299" spans="7:7" x14ac:dyDescent="0.25">
      <c r="G299"/>
    </row>
    <row r="300" spans="7:7" x14ac:dyDescent="0.25">
      <c r="G300"/>
    </row>
    <row r="301" spans="7:7" x14ac:dyDescent="0.25">
      <c r="G301"/>
    </row>
    <row r="302" spans="7:7" x14ac:dyDescent="0.25">
      <c r="G302"/>
    </row>
    <row r="303" spans="7:7" x14ac:dyDescent="0.25">
      <c r="G303"/>
    </row>
    <row r="304" spans="7:7" x14ac:dyDescent="0.25">
      <c r="G304"/>
    </row>
    <row r="305" spans="7:7" x14ac:dyDescent="0.25">
      <c r="G305"/>
    </row>
    <row r="306" spans="7:7" x14ac:dyDescent="0.25">
      <c r="G306"/>
    </row>
    <row r="307" spans="7:7" x14ac:dyDescent="0.25">
      <c r="G307"/>
    </row>
    <row r="308" spans="7:7" x14ac:dyDescent="0.25">
      <c r="G308"/>
    </row>
    <row r="309" spans="7:7" x14ac:dyDescent="0.25">
      <c r="G309"/>
    </row>
    <row r="310" spans="7:7" x14ac:dyDescent="0.25">
      <c r="G310"/>
    </row>
    <row r="311" spans="7:7" x14ac:dyDescent="0.25">
      <c r="G311"/>
    </row>
    <row r="312" spans="7:7" x14ac:dyDescent="0.25">
      <c r="G312"/>
    </row>
    <row r="313" spans="7:7" x14ac:dyDescent="0.25">
      <c r="G313"/>
    </row>
    <row r="314" spans="7:7" x14ac:dyDescent="0.25">
      <c r="G314"/>
    </row>
    <row r="315" spans="7:7" x14ac:dyDescent="0.25">
      <c r="G315"/>
    </row>
    <row r="316" spans="7:7" x14ac:dyDescent="0.25">
      <c r="G316"/>
    </row>
    <row r="317" spans="7:7" x14ac:dyDescent="0.25">
      <c r="G317"/>
    </row>
    <row r="318" spans="7:7" x14ac:dyDescent="0.25">
      <c r="G318"/>
    </row>
    <row r="319" spans="7:7" x14ac:dyDescent="0.25">
      <c r="G319"/>
    </row>
    <row r="320" spans="7:7" x14ac:dyDescent="0.25">
      <c r="G320"/>
    </row>
    <row r="321" spans="7:7" x14ac:dyDescent="0.25">
      <c r="G321"/>
    </row>
    <row r="322" spans="7:7" x14ac:dyDescent="0.25">
      <c r="G322"/>
    </row>
    <row r="323" spans="7:7" x14ac:dyDescent="0.25">
      <c r="G323"/>
    </row>
    <row r="324" spans="7:7" x14ac:dyDescent="0.25">
      <c r="G324"/>
    </row>
    <row r="325" spans="7:7" x14ac:dyDescent="0.25">
      <c r="G325"/>
    </row>
    <row r="326" spans="7:7" x14ac:dyDescent="0.25">
      <c r="G326"/>
    </row>
    <row r="327" spans="7:7" x14ac:dyDescent="0.25">
      <c r="G327"/>
    </row>
    <row r="328" spans="7:7" x14ac:dyDescent="0.25">
      <c r="G328"/>
    </row>
    <row r="329" spans="7:7" x14ac:dyDescent="0.25">
      <c r="G329"/>
    </row>
    <row r="330" spans="7:7" x14ac:dyDescent="0.25">
      <c r="G330"/>
    </row>
    <row r="331" spans="7:7" x14ac:dyDescent="0.25">
      <c r="G331"/>
    </row>
    <row r="332" spans="7:7" x14ac:dyDescent="0.25">
      <c r="G332"/>
    </row>
    <row r="333" spans="7:7" x14ac:dyDescent="0.25">
      <c r="G333"/>
    </row>
    <row r="334" spans="7:7" x14ac:dyDescent="0.25">
      <c r="G334"/>
    </row>
    <row r="335" spans="7:7" x14ac:dyDescent="0.25">
      <c r="G335"/>
    </row>
    <row r="336" spans="7:7" x14ac:dyDescent="0.25">
      <c r="G336"/>
    </row>
    <row r="337" spans="7:7" x14ac:dyDescent="0.25">
      <c r="G337"/>
    </row>
    <row r="338" spans="7:7" x14ac:dyDescent="0.25">
      <c r="G338"/>
    </row>
    <row r="339" spans="7:7" x14ac:dyDescent="0.25">
      <c r="G339"/>
    </row>
    <row r="340" spans="7:7" x14ac:dyDescent="0.25">
      <c r="G340"/>
    </row>
    <row r="341" spans="7:7" x14ac:dyDescent="0.25">
      <c r="G341"/>
    </row>
    <row r="342" spans="7:7" x14ac:dyDescent="0.25">
      <c r="G342"/>
    </row>
    <row r="343" spans="7:7" x14ac:dyDescent="0.25">
      <c r="G343"/>
    </row>
    <row r="344" spans="7:7" x14ac:dyDescent="0.25">
      <c r="G344"/>
    </row>
    <row r="345" spans="7:7" x14ac:dyDescent="0.25">
      <c r="G345"/>
    </row>
    <row r="346" spans="7:7" x14ac:dyDescent="0.25">
      <c r="G346"/>
    </row>
    <row r="347" spans="7:7" x14ac:dyDescent="0.25">
      <c r="G347"/>
    </row>
    <row r="348" spans="7:7" x14ac:dyDescent="0.25">
      <c r="G348"/>
    </row>
    <row r="349" spans="7:7" x14ac:dyDescent="0.25">
      <c r="G349"/>
    </row>
    <row r="350" spans="7:7" x14ac:dyDescent="0.25">
      <c r="G350"/>
    </row>
    <row r="351" spans="7:7" x14ac:dyDescent="0.25">
      <c r="G351"/>
    </row>
    <row r="352" spans="7:7" x14ac:dyDescent="0.25">
      <c r="G352"/>
    </row>
    <row r="353" spans="7:7" x14ac:dyDescent="0.25">
      <c r="G353"/>
    </row>
    <row r="354" spans="7:7" x14ac:dyDescent="0.25">
      <c r="G354"/>
    </row>
    <row r="355" spans="7:7" x14ac:dyDescent="0.25">
      <c r="G355"/>
    </row>
    <row r="356" spans="7:7" x14ac:dyDescent="0.25">
      <c r="G356"/>
    </row>
    <row r="357" spans="7:7" x14ac:dyDescent="0.25">
      <c r="G357"/>
    </row>
    <row r="358" spans="7:7" x14ac:dyDescent="0.25">
      <c r="G358"/>
    </row>
    <row r="359" spans="7:7" x14ac:dyDescent="0.25">
      <c r="G359"/>
    </row>
    <row r="360" spans="7:7" x14ac:dyDescent="0.25">
      <c r="G360"/>
    </row>
    <row r="361" spans="7:7" x14ac:dyDescent="0.25">
      <c r="G361"/>
    </row>
    <row r="362" spans="7:7" x14ac:dyDescent="0.25">
      <c r="G362"/>
    </row>
    <row r="363" spans="7:7" x14ac:dyDescent="0.25">
      <c r="G363"/>
    </row>
    <row r="364" spans="7:7" x14ac:dyDescent="0.25">
      <c r="G364"/>
    </row>
    <row r="365" spans="7:7" x14ac:dyDescent="0.25">
      <c r="G365"/>
    </row>
    <row r="366" spans="7:7" x14ac:dyDescent="0.25">
      <c r="G366"/>
    </row>
    <row r="367" spans="7:7" x14ac:dyDescent="0.25">
      <c r="G367"/>
    </row>
    <row r="368" spans="7:7" x14ac:dyDescent="0.25">
      <c r="G368"/>
    </row>
    <row r="369" spans="7:7" x14ac:dyDescent="0.25">
      <c r="G369"/>
    </row>
    <row r="370" spans="7:7" x14ac:dyDescent="0.25">
      <c r="G370"/>
    </row>
    <row r="371" spans="7:7" x14ac:dyDescent="0.25">
      <c r="G371"/>
    </row>
    <row r="372" spans="7:7" x14ac:dyDescent="0.25">
      <c r="G372"/>
    </row>
    <row r="373" spans="7:7" x14ac:dyDescent="0.25">
      <c r="G373"/>
    </row>
    <row r="374" spans="7:7" x14ac:dyDescent="0.25">
      <c r="G374"/>
    </row>
    <row r="375" spans="7:7" x14ac:dyDescent="0.25">
      <c r="G375"/>
    </row>
    <row r="376" spans="7:7" x14ac:dyDescent="0.25">
      <c r="G376"/>
    </row>
    <row r="377" spans="7:7" x14ac:dyDescent="0.25">
      <c r="G377"/>
    </row>
    <row r="378" spans="7:7" x14ac:dyDescent="0.25">
      <c r="G378"/>
    </row>
    <row r="379" spans="7:7" x14ac:dyDescent="0.25">
      <c r="G379"/>
    </row>
    <row r="380" spans="7:7" x14ac:dyDescent="0.25">
      <c r="G380"/>
    </row>
    <row r="381" spans="7:7" x14ac:dyDescent="0.25">
      <c r="G381"/>
    </row>
    <row r="382" spans="7:7" x14ac:dyDescent="0.25">
      <c r="G382"/>
    </row>
    <row r="383" spans="7:7" x14ac:dyDescent="0.25">
      <c r="G383"/>
    </row>
    <row r="384" spans="7:7" x14ac:dyDescent="0.25">
      <c r="G384"/>
    </row>
    <row r="385" spans="7:7" x14ac:dyDescent="0.25">
      <c r="G385"/>
    </row>
    <row r="386" spans="7:7" x14ac:dyDescent="0.25">
      <c r="G386"/>
    </row>
    <row r="387" spans="7:7" x14ac:dyDescent="0.25">
      <c r="G387"/>
    </row>
    <row r="388" spans="7:7" x14ac:dyDescent="0.25">
      <c r="G388"/>
    </row>
    <row r="389" spans="7:7" x14ac:dyDescent="0.25">
      <c r="G389"/>
    </row>
    <row r="390" spans="7:7" x14ac:dyDescent="0.25">
      <c r="G390"/>
    </row>
    <row r="391" spans="7:7" x14ac:dyDescent="0.25">
      <c r="G391"/>
    </row>
    <row r="392" spans="7:7" x14ac:dyDescent="0.25">
      <c r="G392"/>
    </row>
    <row r="393" spans="7:7" x14ac:dyDescent="0.25">
      <c r="G393"/>
    </row>
    <row r="394" spans="7:7" x14ac:dyDescent="0.25">
      <c r="G394"/>
    </row>
    <row r="395" spans="7:7" x14ac:dyDescent="0.25">
      <c r="G395"/>
    </row>
    <row r="396" spans="7:7" x14ac:dyDescent="0.25">
      <c r="G396"/>
    </row>
    <row r="397" spans="7:7" x14ac:dyDescent="0.25">
      <c r="G397"/>
    </row>
    <row r="398" spans="7:7" x14ac:dyDescent="0.25">
      <c r="G398"/>
    </row>
    <row r="399" spans="7:7" x14ac:dyDescent="0.25">
      <c r="G399"/>
    </row>
    <row r="400" spans="7:7" x14ac:dyDescent="0.25">
      <c r="G400"/>
    </row>
    <row r="401" spans="7:7" x14ac:dyDescent="0.25">
      <c r="G401"/>
    </row>
    <row r="402" spans="7:7" x14ac:dyDescent="0.25">
      <c r="G402"/>
    </row>
    <row r="403" spans="7:7" x14ac:dyDescent="0.25">
      <c r="G403"/>
    </row>
    <row r="404" spans="7:7" x14ac:dyDescent="0.25">
      <c r="G404"/>
    </row>
    <row r="405" spans="7:7" x14ac:dyDescent="0.25">
      <c r="G405"/>
    </row>
    <row r="406" spans="7:7" x14ac:dyDescent="0.25">
      <c r="G406"/>
    </row>
    <row r="407" spans="7:7" x14ac:dyDescent="0.25">
      <c r="G407"/>
    </row>
    <row r="408" spans="7:7" x14ac:dyDescent="0.25">
      <c r="G408"/>
    </row>
    <row r="409" spans="7:7" x14ac:dyDescent="0.25">
      <c r="G409"/>
    </row>
    <row r="410" spans="7:7" x14ac:dyDescent="0.25">
      <c r="G410"/>
    </row>
    <row r="411" spans="7:7" x14ac:dyDescent="0.25">
      <c r="G411"/>
    </row>
    <row r="412" spans="7:7" x14ac:dyDescent="0.25">
      <c r="G412"/>
    </row>
    <row r="413" spans="7:7" x14ac:dyDescent="0.25">
      <c r="G413"/>
    </row>
    <row r="414" spans="7:7" x14ac:dyDescent="0.25">
      <c r="G414"/>
    </row>
    <row r="415" spans="7:7" x14ac:dyDescent="0.25">
      <c r="G415"/>
    </row>
    <row r="416" spans="7:7" x14ac:dyDescent="0.25">
      <c r="G416"/>
    </row>
    <row r="417" spans="7:7" x14ac:dyDescent="0.25">
      <c r="G417"/>
    </row>
    <row r="418" spans="7:7" x14ac:dyDescent="0.25">
      <c r="G418"/>
    </row>
    <row r="419" spans="7:7" x14ac:dyDescent="0.25">
      <c r="G419"/>
    </row>
    <row r="420" spans="7:7" x14ac:dyDescent="0.25">
      <c r="G420"/>
    </row>
    <row r="421" spans="7:7" x14ac:dyDescent="0.25">
      <c r="G421"/>
    </row>
    <row r="422" spans="7:7" x14ac:dyDescent="0.25">
      <c r="G422"/>
    </row>
    <row r="423" spans="7:7" x14ac:dyDescent="0.25">
      <c r="G423"/>
    </row>
    <row r="424" spans="7:7" x14ac:dyDescent="0.25">
      <c r="G424"/>
    </row>
    <row r="425" spans="7:7" x14ac:dyDescent="0.25">
      <c r="G425"/>
    </row>
    <row r="426" spans="7:7" x14ac:dyDescent="0.25">
      <c r="G426"/>
    </row>
    <row r="427" spans="7:7" x14ac:dyDescent="0.25">
      <c r="G427"/>
    </row>
    <row r="428" spans="7:7" x14ac:dyDescent="0.25">
      <c r="G428"/>
    </row>
    <row r="429" spans="7:7" x14ac:dyDescent="0.25">
      <c r="G429"/>
    </row>
    <row r="430" spans="7:7" x14ac:dyDescent="0.25">
      <c r="G430"/>
    </row>
    <row r="431" spans="7:7" x14ac:dyDescent="0.25">
      <c r="G431"/>
    </row>
    <row r="432" spans="7:7" x14ac:dyDescent="0.25">
      <c r="G432"/>
    </row>
    <row r="433" spans="7:7" x14ac:dyDescent="0.25">
      <c r="G433"/>
    </row>
    <row r="434" spans="7:7" x14ac:dyDescent="0.25">
      <c r="G434"/>
    </row>
    <row r="435" spans="7:7" x14ac:dyDescent="0.25">
      <c r="G435"/>
    </row>
    <row r="436" spans="7:7" x14ac:dyDescent="0.25">
      <c r="G436"/>
    </row>
    <row r="437" spans="7:7" x14ac:dyDescent="0.25">
      <c r="G437"/>
    </row>
    <row r="438" spans="7:7" x14ac:dyDescent="0.25">
      <c r="G438"/>
    </row>
    <row r="439" spans="7:7" x14ac:dyDescent="0.25">
      <c r="G439"/>
    </row>
    <row r="440" spans="7:7" x14ac:dyDescent="0.25">
      <c r="G440"/>
    </row>
    <row r="441" spans="7:7" x14ac:dyDescent="0.25">
      <c r="G441"/>
    </row>
    <row r="442" spans="7:7" x14ac:dyDescent="0.25">
      <c r="G442"/>
    </row>
    <row r="443" spans="7:7" x14ac:dyDescent="0.25">
      <c r="G443"/>
    </row>
    <row r="444" spans="7:7" x14ac:dyDescent="0.25">
      <c r="G444"/>
    </row>
    <row r="445" spans="7:7" x14ac:dyDescent="0.25">
      <c r="G445"/>
    </row>
    <row r="446" spans="7:7" x14ac:dyDescent="0.25">
      <c r="G446"/>
    </row>
    <row r="447" spans="7:7" x14ac:dyDescent="0.25">
      <c r="G447"/>
    </row>
    <row r="448" spans="7:7" x14ac:dyDescent="0.25">
      <c r="G448"/>
    </row>
    <row r="449" spans="7:7" x14ac:dyDescent="0.25">
      <c r="G449"/>
    </row>
    <row r="450" spans="7:7" x14ac:dyDescent="0.25">
      <c r="G450"/>
    </row>
    <row r="451" spans="7:7" x14ac:dyDescent="0.25">
      <c r="G451"/>
    </row>
    <row r="452" spans="7:7" x14ac:dyDescent="0.25">
      <c r="G452"/>
    </row>
    <row r="453" spans="7:7" x14ac:dyDescent="0.25">
      <c r="G453"/>
    </row>
    <row r="454" spans="7:7" x14ac:dyDescent="0.25">
      <c r="G454"/>
    </row>
    <row r="455" spans="7:7" x14ac:dyDescent="0.25">
      <c r="G455"/>
    </row>
    <row r="456" spans="7:7" x14ac:dyDescent="0.25">
      <c r="G456"/>
    </row>
    <row r="457" spans="7:7" x14ac:dyDescent="0.25">
      <c r="G457"/>
    </row>
    <row r="458" spans="7:7" x14ac:dyDescent="0.25">
      <c r="G458"/>
    </row>
    <row r="459" spans="7:7" x14ac:dyDescent="0.25">
      <c r="G459"/>
    </row>
    <row r="460" spans="7:7" x14ac:dyDescent="0.25">
      <c r="G460"/>
    </row>
    <row r="461" spans="7:7" x14ac:dyDescent="0.25">
      <c r="G461"/>
    </row>
    <row r="462" spans="7:7" x14ac:dyDescent="0.25">
      <c r="G462"/>
    </row>
    <row r="463" spans="7:7" x14ac:dyDescent="0.25">
      <c r="G463"/>
    </row>
    <row r="464" spans="7:7" x14ac:dyDescent="0.25">
      <c r="G464"/>
    </row>
    <row r="465" spans="7:7" x14ac:dyDescent="0.25">
      <c r="G465"/>
    </row>
    <row r="466" spans="7:7" x14ac:dyDescent="0.25">
      <c r="G466"/>
    </row>
    <row r="467" spans="7:7" x14ac:dyDescent="0.25">
      <c r="G467"/>
    </row>
    <row r="468" spans="7:7" x14ac:dyDescent="0.25">
      <c r="G468"/>
    </row>
    <row r="469" spans="7:7" x14ac:dyDescent="0.25">
      <c r="G469"/>
    </row>
    <row r="470" spans="7:7" x14ac:dyDescent="0.25">
      <c r="G470"/>
    </row>
    <row r="471" spans="7:7" x14ac:dyDescent="0.25">
      <c r="G471"/>
    </row>
    <row r="472" spans="7:7" x14ac:dyDescent="0.25">
      <c r="G472"/>
    </row>
    <row r="473" spans="7:7" x14ac:dyDescent="0.25">
      <c r="G473"/>
    </row>
    <row r="474" spans="7:7" x14ac:dyDescent="0.25">
      <c r="G474"/>
    </row>
    <row r="475" spans="7:7" x14ac:dyDescent="0.25">
      <c r="G475"/>
    </row>
    <row r="476" spans="7:7" x14ac:dyDescent="0.25">
      <c r="G476"/>
    </row>
    <row r="477" spans="7:7" x14ac:dyDescent="0.25">
      <c r="G477"/>
    </row>
    <row r="478" spans="7:7" x14ac:dyDescent="0.25">
      <c r="G478"/>
    </row>
    <row r="479" spans="7:7" x14ac:dyDescent="0.25">
      <c r="G479"/>
    </row>
    <row r="480" spans="7:7" x14ac:dyDescent="0.25">
      <c r="G480"/>
    </row>
    <row r="481" spans="7:7" x14ac:dyDescent="0.25">
      <c r="G481"/>
    </row>
    <row r="482" spans="7:7" x14ac:dyDescent="0.25">
      <c r="G482"/>
    </row>
    <row r="483" spans="7:7" x14ac:dyDescent="0.25">
      <c r="G483"/>
    </row>
    <row r="484" spans="7:7" x14ac:dyDescent="0.25">
      <c r="G484"/>
    </row>
    <row r="485" spans="7:7" x14ac:dyDescent="0.25">
      <c r="G485"/>
    </row>
    <row r="486" spans="7:7" x14ac:dyDescent="0.25">
      <c r="G486"/>
    </row>
    <row r="487" spans="7:7" x14ac:dyDescent="0.25">
      <c r="G487"/>
    </row>
    <row r="488" spans="7:7" x14ac:dyDescent="0.25">
      <c r="G488"/>
    </row>
    <row r="489" spans="7:7" x14ac:dyDescent="0.25">
      <c r="G489"/>
    </row>
    <row r="490" spans="7:7" x14ac:dyDescent="0.25">
      <c r="G490"/>
    </row>
    <row r="491" spans="7:7" x14ac:dyDescent="0.25">
      <c r="G491"/>
    </row>
    <row r="492" spans="7:7" x14ac:dyDescent="0.25">
      <c r="G492"/>
    </row>
    <row r="493" spans="7:7" x14ac:dyDescent="0.25">
      <c r="G493"/>
    </row>
    <row r="494" spans="7:7" x14ac:dyDescent="0.25">
      <c r="G494"/>
    </row>
    <row r="495" spans="7:7" x14ac:dyDescent="0.25">
      <c r="G495"/>
    </row>
    <row r="496" spans="7:7" x14ac:dyDescent="0.25">
      <c r="G496"/>
    </row>
    <row r="497" spans="7:7" x14ac:dyDescent="0.25">
      <c r="G497"/>
    </row>
    <row r="498" spans="7:7" x14ac:dyDescent="0.25">
      <c r="G498"/>
    </row>
    <row r="499" spans="7:7" x14ac:dyDescent="0.25">
      <c r="G499"/>
    </row>
    <row r="500" spans="7:7" x14ac:dyDescent="0.25">
      <c r="G500"/>
    </row>
    <row r="501" spans="7:7" x14ac:dyDescent="0.25">
      <c r="G501"/>
    </row>
    <row r="502" spans="7:7" x14ac:dyDescent="0.25">
      <c r="G502"/>
    </row>
    <row r="503" spans="7:7" x14ac:dyDescent="0.25">
      <c r="G503"/>
    </row>
    <row r="504" spans="7:7" x14ac:dyDescent="0.25">
      <c r="G504"/>
    </row>
    <row r="505" spans="7:7" x14ac:dyDescent="0.25">
      <c r="G505"/>
    </row>
    <row r="506" spans="7:7" x14ac:dyDescent="0.25">
      <c r="G506"/>
    </row>
    <row r="507" spans="7:7" x14ac:dyDescent="0.25">
      <c r="G507"/>
    </row>
    <row r="508" spans="7:7" x14ac:dyDescent="0.25">
      <c r="G508"/>
    </row>
    <row r="509" spans="7:7" x14ac:dyDescent="0.25">
      <c r="G509"/>
    </row>
    <row r="510" spans="7:7" x14ac:dyDescent="0.25">
      <c r="G510"/>
    </row>
    <row r="511" spans="7:7" x14ac:dyDescent="0.25">
      <c r="G511"/>
    </row>
    <row r="512" spans="7:7" x14ac:dyDescent="0.25">
      <c r="G512"/>
    </row>
    <row r="513" spans="7:7" x14ac:dyDescent="0.25">
      <c r="G513"/>
    </row>
    <row r="514" spans="7:7" x14ac:dyDescent="0.25">
      <c r="G514"/>
    </row>
    <row r="515" spans="7:7" x14ac:dyDescent="0.25">
      <c r="G515"/>
    </row>
    <row r="516" spans="7:7" x14ac:dyDescent="0.25">
      <c r="G516"/>
    </row>
    <row r="517" spans="7:7" x14ac:dyDescent="0.25">
      <c r="G517"/>
    </row>
    <row r="518" spans="7:7" x14ac:dyDescent="0.25">
      <c r="G518"/>
    </row>
    <row r="519" spans="7:7" x14ac:dyDescent="0.25">
      <c r="G519"/>
    </row>
    <row r="520" spans="7:7" x14ac:dyDescent="0.25">
      <c r="G520"/>
    </row>
    <row r="521" spans="7:7" x14ac:dyDescent="0.25">
      <c r="G521"/>
    </row>
    <row r="522" spans="7:7" x14ac:dyDescent="0.25">
      <c r="G522"/>
    </row>
    <row r="523" spans="7:7" x14ac:dyDescent="0.25">
      <c r="G523"/>
    </row>
    <row r="524" spans="7:7" x14ac:dyDescent="0.25">
      <c r="G524"/>
    </row>
    <row r="525" spans="7:7" x14ac:dyDescent="0.25">
      <c r="G525"/>
    </row>
    <row r="526" spans="7:7" x14ac:dyDescent="0.25">
      <c r="G526"/>
    </row>
    <row r="527" spans="7:7" x14ac:dyDescent="0.25">
      <c r="G527"/>
    </row>
    <row r="528" spans="7:7" x14ac:dyDescent="0.25">
      <c r="G528"/>
    </row>
    <row r="529" spans="7:7" x14ac:dyDescent="0.25">
      <c r="G529"/>
    </row>
    <row r="530" spans="7:7" x14ac:dyDescent="0.25">
      <c r="G530"/>
    </row>
    <row r="531" spans="7:7" x14ac:dyDescent="0.25">
      <c r="G531"/>
    </row>
    <row r="532" spans="7:7" x14ac:dyDescent="0.25">
      <c r="G532"/>
    </row>
    <row r="533" spans="7:7" x14ac:dyDescent="0.25">
      <c r="G533"/>
    </row>
    <row r="534" spans="7:7" x14ac:dyDescent="0.25">
      <c r="G534"/>
    </row>
    <row r="535" spans="7:7" x14ac:dyDescent="0.25">
      <c r="G535"/>
    </row>
    <row r="536" spans="7:7" x14ac:dyDescent="0.25">
      <c r="G536"/>
    </row>
    <row r="537" spans="7:7" x14ac:dyDescent="0.25">
      <c r="G537"/>
    </row>
    <row r="538" spans="7:7" x14ac:dyDescent="0.25">
      <c r="G538"/>
    </row>
    <row r="539" spans="7:7" x14ac:dyDescent="0.25">
      <c r="G539"/>
    </row>
    <row r="540" spans="7:7" x14ac:dyDescent="0.25">
      <c r="G540"/>
    </row>
    <row r="541" spans="7:7" x14ac:dyDescent="0.25">
      <c r="G541"/>
    </row>
    <row r="542" spans="7:7" x14ac:dyDescent="0.25">
      <c r="G542"/>
    </row>
    <row r="543" spans="7:7" x14ac:dyDescent="0.25">
      <c r="G543"/>
    </row>
    <row r="544" spans="7:7" x14ac:dyDescent="0.25">
      <c r="G544"/>
    </row>
    <row r="545" spans="7:7" x14ac:dyDescent="0.25">
      <c r="G545"/>
    </row>
    <row r="546" spans="7:7" x14ac:dyDescent="0.25">
      <c r="G546"/>
    </row>
    <row r="547" spans="7:7" x14ac:dyDescent="0.25">
      <c r="G547"/>
    </row>
    <row r="548" spans="7:7" x14ac:dyDescent="0.25">
      <c r="G548"/>
    </row>
    <row r="549" spans="7:7" x14ac:dyDescent="0.25">
      <c r="G549"/>
    </row>
    <row r="550" spans="7:7" x14ac:dyDescent="0.25">
      <c r="G550"/>
    </row>
    <row r="551" spans="7:7" x14ac:dyDescent="0.25">
      <c r="G551"/>
    </row>
    <row r="552" spans="7:7" x14ac:dyDescent="0.25">
      <c r="G552"/>
    </row>
    <row r="553" spans="7:7" x14ac:dyDescent="0.25">
      <c r="G553"/>
    </row>
    <row r="554" spans="7:7" x14ac:dyDescent="0.25">
      <c r="G554"/>
    </row>
    <row r="555" spans="7:7" x14ac:dyDescent="0.25">
      <c r="G555"/>
    </row>
    <row r="556" spans="7:7" x14ac:dyDescent="0.25">
      <c r="G556"/>
    </row>
    <row r="557" spans="7:7" x14ac:dyDescent="0.25">
      <c r="G557"/>
    </row>
    <row r="558" spans="7:7" x14ac:dyDescent="0.25">
      <c r="G558"/>
    </row>
    <row r="559" spans="7:7" x14ac:dyDescent="0.25">
      <c r="G559"/>
    </row>
    <row r="560" spans="7:7" x14ac:dyDescent="0.25">
      <c r="G560"/>
    </row>
    <row r="561" spans="7:7" x14ac:dyDescent="0.25">
      <c r="G561"/>
    </row>
    <row r="562" spans="7:7" x14ac:dyDescent="0.25">
      <c r="G562"/>
    </row>
    <row r="563" spans="7:7" x14ac:dyDescent="0.25">
      <c r="G563"/>
    </row>
    <row r="564" spans="7:7" x14ac:dyDescent="0.25">
      <c r="G564"/>
    </row>
    <row r="565" spans="7:7" x14ac:dyDescent="0.25">
      <c r="G565"/>
    </row>
    <row r="566" spans="7:7" x14ac:dyDescent="0.25">
      <c r="G566"/>
    </row>
    <row r="567" spans="7:7" x14ac:dyDescent="0.25">
      <c r="G567"/>
    </row>
    <row r="568" spans="7:7" x14ac:dyDescent="0.25">
      <c r="G568"/>
    </row>
    <row r="569" spans="7:7" x14ac:dyDescent="0.25">
      <c r="G569"/>
    </row>
    <row r="570" spans="7:7" x14ac:dyDescent="0.25">
      <c r="G570"/>
    </row>
    <row r="571" spans="7:7" x14ac:dyDescent="0.25">
      <c r="G571"/>
    </row>
    <row r="572" spans="7:7" x14ac:dyDescent="0.25">
      <c r="G572"/>
    </row>
    <row r="573" spans="7:7" x14ac:dyDescent="0.25">
      <c r="G573"/>
    </row>
    <row r="574" spans="7:7" x14ac:dyDescent="0.25">
      <c r="G574"/>
    </row>
    <row r="575" spans="7:7" x14ac:dyDescent="0.25">
      <c r="G575"/>
    </row>
    <row r="576" spans="7:7" x14ac:dyDescent="0.25">
      <c r="G576"/>
    </row>
    <row r="577" spans="7:7" x14ac:dyDescent="0.25">
      <c r="G577"/>
    </row>
    <row r="578" spans="7:7" x14ac:dyDescent="0.25">
      <c r="G578"/>
    </row>
    <row r="579" spans="7:7" x14ac:dyDescent="0.25">
      <c r="G579"/>
    </row>
    <row r="580" spans="7:7" x14ac:dyDescent="0.25">
      <c r="G580"/>
    </row>
    <row r="581" spans="7:7" x14ac:dyDescent="0.25">
      <c r="G581"/>
    </row>
    <row r="582" spans="7:7" x14ac:dyDescent="0.25">
      <c r="G582"/>
    </row>
    <row r="583" spans="7:7" x14ac:dyDescent="0.25">
      <c r="G583"/>
    </row>
    <row r="584" spans="7:7" x14ac:dyDescent="0.25">
      <c r="G584"/>
    </row>
    <row r="585" spans="7:7" x14ac:dyDescent="0.25">
      <c r="G585"/>
    </row>
    <row r="586" spans="7:7" x14ac:dyDescent="0.25">
      <c r="G586"/>
    </row>
    <row r="587" spans="7:7" x14ac:dyDescent="0.25">
      <c r="G587"/>
    </row>
    <row r="588" spans="7:7" x14ac:dyDescent="0.25">
      <c r="G588"/>
    </row>
    <row r="589" spans="7:7" x14ac:dyDescent="0.25">
      <c r="G589"/>
    </row>
    <row r="590" spans="7:7" x14ac:dyDescent="0.25">
      <c r="G590"/>
    </row>
    <row r="591" spans="7:7" x14ac:dyDescent="0.25">
      <c r="G591"/>
    </row>
    <row r="592" spans="7:7" x14ac:dyDescent="0.25">
      <c r="G592"/>
    </row>
    <row r="593" spans="7:7" x14ac:dyDescent="0.25">
      <c r="G593"/>
    </row>
    <row r="594" spans="7:7" x14ac:dyDescent="0.25">
      <c r="G594"/>
    </row>
    <row r="595" spans="7:7" x14ac:dyDescent="0.25">
      <c r="G595"/>
    </row>
    <row r="596" spans="7:7" x14ac:dyDescent="0.25">
      <c r="G596"/>
    </row>
    <row r="597" spans="7:7" x14ac:dyDescent="0.25">
      <c r="G597"/>
    </row>
    <row r="598" spans="7:7" x14ac:dyDescent="0.25">
      <c r="G598"/>
    </row>
    <row r="599" spans="7:7" x14ac:dyDescent="0.25">
      <c r="G599"/>
    </row>
    <row r="600" spans="7:7" x14ac:dyDescent="0.25">
      <c r="G600"/>
    </row>
    <row r="601" spans="7:7" x14ac:dyDescent="0.25">
      <c r="G601"/>
    </row>
    <row r="602" spans="7:7" x14ac:dyDescent="0.25">
      <c r="G602"/>
    </row>
    <row r="603" spans="7:7" x14ac:dyDescent="0.25">
      <c r="G603"/>
    </row>
    <row r="604" spans="7:7" x14ac:dyDescent="0.25">
      <c r="G604"/>
    </row>
    <row r="605" spans="7:7" x14ac:dyDescent="0.25">
      <c r="G605"/>
    </row>
    <row r="606" spans="7:7" x14ac:dyDescent="0.25">
      <c r="G606"/>
    </row>
    <row r="607" spans="7:7" x14ac:dyDescent="0.25">
      <c r="G607"/>
    </row>
    <row r="608" spans="7:7" x14ac:dyDescent="0.25">
      <c r="G608"/>
    </row>
    <row r="609" spans="7:7" x14ac:dyDescent="0.25">
      <c r="G609"/>
    </row>
    <row r="610" spans="7:7" x14ac:dyDescent="0.25">
      <c r="G610"/>
    </row>
    <row r="611" spans="7:7" x14ac:dyDescent="0.25">
      <c r="G611"/>
    </row>
    <row r="612" spans="7:7" x14ac:dyDescent="0.25">
      <c r="G612"/>
    </row>
    <row r="613" spans="7:7" x14ac:dyDescent="0.25">
      <c r="G613"/>
    </row>
    <row r="614" spans="7:7" x14ac:dyDescent="0.25">
      <c r="G614"/>
    </row>
    <row r="615" spans="7:7" x14ac:dyDescent="0.25">
      <c r="G615"/>
    </row>
    <row r="616" spans="7:7" x14ac:dyDescent="0.25">
      <c r="G616"/>
    </row>
    <row r="617" spans="7:7" x14ac:dyDescent="0.25">
      <c r="G617"/>
    </row>
    <row r="618" spans="7:7" x14ac:dyDescent="0.25">
      <c r="G618"/>
    </row>
    <row r="619" spans="7:7" x14ac:dyDescent="0.25">
      <c r="G619"/>
    </row>
    <row r="620" spans="7:7" x14ac:dyDescent="0.25">
      <c r="G620"/>
    </row>
    <row r="621" spans="7:7" x14ac:dyDescent="0.25">
      <c r="G621"/>
    </row>
    <row r="622" spans="7:7" x14ac:dyDescent="0.25">
      <c r="G622"/>
    </row>
    <row r="623" spans="7:7" x14ac:dyDescent="0.25">
      <c r="G623"/>
    </row>
    <row r="624" spans="7:7" x14ac:dyDescent="0.25">
      <c r="G624"/>
    </row>
    <row r="625" spans="7:7" x14ac:dyDescent="0.25">
      <c r="G625"/>
    </row>
    <row r="626" spans="7:7" x14ac:dyDescent="0.25">
      <c r="G626"/>
    </row>
    <row r="627" spans="7:7" x14ac:dyDescent="0.25">
      <c r="G627"/>
    </row>
    <row r="628" spans="7:7" x14ac:dyDescent="0.25">
      <c r="G628"/>
    </row>
    <row r="629" spans="7:7" x14ac:dyDescent="0.25">
      <c r="G629"/>
    </row>
    <row r="630" spans="7:7" x14ac:dyDescent="0.25">
      <c r="G630"/>
    </row>
    <row r="631" spans="7:7" x14ac:dyDescent="0.25">
      <c r="G631"/>
    </row>
    <row r="632" spans="7:7" x14ac:dyDescent="0.25">
      <c r="G632"/>
    </row>
    <row r="633" spans="7:7" x14ac:dyDescent="0.25">
      <c r="G633"/>
    </row>
    <row r="634" spans="7:7" x14ac:dyDescent="0.25">
      <c r="G634"/>
    </row>
    <row r="635" spans="7:7" x14ac:dyDescent="0.25">
      <c r="G635"/>
    </row>
    <row r="636" spans="7:7" x14ac:dyDescent="0.25">
      <c r="G636"/>
    </row>
    <row r="637" spans="7:7" x14ac:dyDescent="0.25">
      <c r="G637"/>
    </row>
    <row r="638" spans="7:7" x14ac:dyDescent="0.25">
      <c r="G638"/>
    </row>
    <row r="639" spans="7:7" x14ac:dyDescent="0.25">
      <c r="G639"/>
    </row>
    <row r="640" spans="7:7" x14ac:dyDescent="0.25">
      <c r="G640"/>
    </row>
    <row r="641" spans="7:7" x14ac:dyDescent="0.25">
      <c r="G641"/>
    </row>
    <row r="642" spans="7:7" x14ac:dyDescent="0.25">
      <c r="G642"/>
    </row>
    <row r="643" spans="7:7" x14ac:dyDescent="0.25">
      <c r="G643"/>
    </row>
    <row r="644" spans="7:7" x14ac:dyDescent="0.25">
      <c r="G644"/>
    </row>
    <row r="645" spans="7:7" x14ac:dyDescent="0.25">
      <c r="G645"/>
    </row>
    <row r="646" spans="7:7" x14ac:dyDescent="0.25">
      <c r="G646"/>
    </row>
    <row r="647" spans="7:7" x14ac:dyDescent="0.25">
      <c r="G647"/>
    </row>
    <row r="648" spans="7:7" x14ac:dyDescent="0.25">
      <c r="G648"/>
    </row>
    <row r="649" spans="7:7" x14ac:dyDescent="0.25">
      <c r="G649"/>
    </row>
    <row r="650" spans="7:7" x14ac:dyDescent="0.25">
      <c r="G650"/>
    </row>
    <row r="651" spans="7:7" x14ac:dyDescent="0.25">
      <c r="G651"/>
    </row>
    <row r="652" spans="7:7" x14ac:dyDescent="0.25">
      <c r="G652"/>
    </row>
    <row r="653" spans="7:7" x14ac:dyDescent="0.25">
      <c r="G653"/>
    </row>
    <row r="654" spans="7:7" x14ac:dyDescent="0.25">
      <c r="G654"/>
    </row>
    <row r="655" spans="7:7" x14ac:dyDescent="0.25">
      <c r="G655"/>
    </row>
    <row r="656" spans="7:7" x14ac:dyDescent="0.25">
      <c r="G656"/>
    </row>
    <row r="657" spans="7:7" x14ac:dyDescent="0.25">
      <c r="G657"/>
    </row>
    <row r="658" spans="7:7" x14ac:dyDescent="0.25">
      <c r="G658"/>
    </row>
    <row r="659" spans="7:7" x14ac:dyDescent="0.25">
      <c r="G659"/>
    </row>
    <row r="660" spans="7:7" x14ac:dyDescent="0.25">
      <c r="G660"/>
    </row>
    <row r="661" spans="7:7" x14ac:dyDescent="0.25">
      <c r="G661"/>
    </row>
    <row r="662" spans="7:7" x14ac:dyDescent="0.25">
      <c r="G662"/>
    </row>
    <row r="663" spans="7:7" x14ac:dyDescent="0.25">
      <c r="G663"/>
    </row>
    <row r="664" spans="7:7" x14ac:dyDescent="0.25">
      <c r="G664"/>
    </row>
    <row r="665" spans="7:7" x14ac:dyDescent="0.25">
      <c r="G665"/>
    </row>
    <row r="666" spans="7:7" x14ac:dyDescent="0.25">
      <c r="G666"/>
    </row>
    <row r="667" spans="7:7" x14ac:dyDescent="0.25">
      <c r="G667"/>
    </row>
    <row r="668" spans="7:7" x14ac:dyDescent="0.25">
      <c r="G668"/>
    </row>
    <row r="669" spans="7:7" x14ac:dyDescent="0.25">
      <c r="G669"/>
    </row>
    <row r="670" spans="7:7" x14ac:dyDescent="0.25">
      <c r="G670"/>
    </row>
    <row r="671" spans="7:7" x14ac:dyDescent="0.25">
      <c r="G671"/>
    </row>
    <row r="672" spans="7:7" x14ac:dyDescent="0.25">
      <c r="G672"/>
    </row>
    <row r="673" spans="7:7" x14ac:dyDescent="0.25">
      <c r="G673"/>
    </row>
    <row r="674" spans="7:7" x14ac:dyDescent="0.25">
      <c r="G674"/>
    </row>
    <row r="675" spans="7:7" x14ac:dyDescent="0.25">
      <c r="G675"/>
    </row>
    <row r="676" spans="7:7" x14ac:dyDescent="0.25">
      <c r="G676"/>
    </row>
    <row r="677" spans="7:7" x14ac:dyDescent="0.25">
      <c r="G677"/>
    </row>
    <row r="678" spans="7:7" x14ac:dyDescent="0.25">
      <c r="G678"/>
    </row>
    <row r="679" spans="7:7" x14ac:dyDescent="0.25">
      <c r="G679"/>
    </row>
    <row r="680" spans="7:7" x14ac:dyDescent="0.25">
      <c r="G680"/>
    </row>
    <row r="681" spans="7:7" x14ac:dyDescent="0.25">
      <c r="G681"/>
    </row>
    <row r="682" spans="7:7" x14ac:dyDescent="0.25">
      <c r="G682"/>
    </row>
    <row r="683" spans="7:7" x14ac:dyDescent="0.25">
      <c r="G683"/>
    </row>
    <row r="684" spans="7:7" x14ac:dyDescent="0.25">
      <c r="G684"/>
    </row>
    <row r="685" spans="7:7" x14ac:dyDescent="0.25">
      <c r="G685"/>
    </row>
    <row r="686" spans="7:7" x14ac:dyDescent="0.25">
      <c r="G686"/>
    </row>
    <row r="687" spans="7:7" x14ac:dyDescent="0.25">
      <c r="G687"/>
    </row>
    <row r="688" spans="7:7" x14ac:dyDescent="0.25">
      <c r="G688"/>
    </row>
    <row r="689" spans="7:7" x14ac:dyDescent="0.25">
      <c r="G689"/>
    </row>
    <row r="690" spans="7:7" x14ac:dyDescent="0.25">
      <c r="G690"/>
    </row>
    <row r="691" spans="7:7" x14ac:dyDescent="0.25">
      <c r="G691"/>
    </row>
    <row r="692" spans="7:7" x14ac:dyDescent="0.25">
      <c r="G692"/>
    </row>
    <row r="693" spans="7:7" x14ac:dyDescent="0.25">
      <c r="G693"/>
    </row>
    <row r="694" spans="7:7" x14ac:dyDescent="0.25">
      <c r="G694"/>
    </row>
    <row r="695" spans="7:7" x14ac:dyDescent="0.25">
      <c r="G695"/>
    </row>
    <row r="696" spans="7:7" x14ac:dyDescent="0.25">
      <c r="G696"/>
    </row>
    <row r="697" spans="7:7" x14ac:dyDescent="0.25">
      <c r="G697"/>
    </row>
    <row r="698" spans="7:7" x14ac:dyDescent="0.25">
      <c r="G698"/>
    </row>
    <row r="699" spans="7:7" x14ac:dyDescent="0.25">
      <c r="G699"/>
    </row>
    <row r="700" spans="7:7" x14ac:dyDescent="0.25">
      <c r="G700"/>
    </row>
    <row r="701" spans="7:7" x14ac:dyDescent="0.25">
      <c r="G701"/>
    </row>
    <row r="702" spans="7:7" x14ac:dyDescent="0.25">
      <c r="G702"/>
    </row>
    <row r="703" spans="7:7" x14ac:dyDescent="0.25">
      <c r="G703"/>
    </row>
    <row r="704" spans="7:7" x14ac:dyDescent="0.25">
      <c r="G704"/>
    </row>
    <row r="705" spans="7:7" x14ac:dyDescent="0.25">
      <c r="G705"/>
    </row>
    <row r="706" spans="7:7" x14ac:dyDescent="0.25">
      <c r="G706"/>
    </row>
    <row r="707" spans="7:7" x14ac:dyDescent="0.25">
      <c r="G707"/>
    </row>
    <row r="708" spans="7:7" x14ac:dyDescent="0.25">
      <c r="G708"/>
    </row>
    <row r="709" spans="7:7" x14ac:dyDescent="0.25">
      <c r="G709"/>
    </row>
    <row r="710" spans="7:7" x14ac:dyDescent="0.25">
      <c r="G710"/>
    </row>
    <row r="711" spans="7:7" x14ac:dyDescent="0.25">
      <c r="G711"/>
    </row>
    <row r="712" spans="7:7" x14ac:dyDescent="0.25">
      <c r="G712"/>
    </row>
    <row r="713" spans="7:7" x14ac:dyDescent="0.25">
      <c r="G713"/>
    </row>
    <row r="714" spans="7:7" x14ac:dyDescent="0.25">
      <c r="G714"/>
    </row>
    <row r="715" spans="7:7" x14ac:dyDescent="0.25">
      <c r="G715"/>
    </row>
    <row r="716" spans="7:7" x14ac:dyDescent="0.25">
      <c r="G716"/>
    </row>
    <row r="717" spans="7:7" x14ac:dyDescent="0.25">
      <c r="G717"/>
    </row>
    <row r="718" spans="7:7" x14ac:dyDescent="0.25">
      <c r="G718"/>
    </row>
    <row r="719" spans="7:7" x14ac:dyDescent="0.25">
      <c r="G719"/>
    </row>
    <row r="720" spans="7:7" x14ac:dyDescent="0.25">
      <c r="G720"/>
    </row>
    <row r="721" spans="7:7" x14ac:dyDescent="0.25">
      <c r="G721"/>
    </row>
    <row r="722" spans="7:7" x14ac:dyDescent="0.25">
      <c r="G722"/>
    </row>
    <row r="723" spans="7:7" x14ac:dyDescent="0.25">
      <c r="G723"/>
    </row>
    <row r="724" spans="7:7" x14ac:dyDescent="0.25">
      <c r="G724"/>
    </row>
    <row r="725" spans="7:7" x14ac:dyDescent="0.25">
      <c r="G725"/>
    </row>
    <row r="726" spans="7:7" x14ac:dyDescent="0.25">
      <c r="G726"/>
    </row>
    <row r="727" spans="7:7" x14ac:dyDescent="0.25">
      <c r="G727"/>
    </row>
    <row r="728" spans="7:7" x14ac:dyDescent="0.25">
      <c r="G728"/>
    </row>
    <row r="729" spans="7:7" x14ac:dyDescent="0.25">
      <c r="G729"/>
    </row>
    <row r="730" spans="7:7" x14ac:dyDescent="0.25">
      <c r="G730"/>
    </row>
    <row r="731" spans="7:7" x14ac:dyDescent="0.25">
      <c r="G731"/>
    </row>
    <row r="732" spans="7:7" x14ac:dyDescent="0.25">
      <c r="G732"/>
    </row>
    <row r="733" spans="7:7" x14ac:dyDescent="0.25">
      <c r="G733"/>
    </row>
    <row r="734" spans="7:7" x14ac:dyDescent="0.25">
      <c r="G734"/>
    </row>
    <row r="735" spans="7:7" x14ac:dyDescent="0.25">
      <c r="G735"/>
    </row>
    <row r="736" spans="7:7" x14ac:dyDescent="0.25">
      <c r="G736"/>
    </row>
    <row r="737" spans="7:7" x14ac:dyDescent="0.25">
      <c r="G737"/>
    </row>
    <row r="738" spans="7:7" x14ac:dyDescent="0.25">
      <c r="G738"/>
    </row>
    <row r="739" spans="7:7" x14ac:dyDescent="0.25">
      <c r="G739"/>
    </row>
    <row r="740" spans="7:7" x14ac:dyDescent="0.25">
      <c r="G740"/>
    </row>
    <row r="741" spans="7:7" x14ac:dyDescent="0.25">
      <c r="G741"/>
    </row>
    <row r="742" spans="7:7" x14ac:dyDescent="0.25">
      <c r="G742"/>
    </row>
    <row r="743" spans="7:7" x14ac:dyDescent="0.25">
      <c r="G743"/>
    </row>
    <row r="744" spans="7:7" x14ac:dyDescent="0.25">
      <c r="G744"/>
    </row>
    <row r="745" spans="7:7" x14ac:dyDescent="0.25">
      <c r="G745"/>
    </row>
    <row r="746" spans="7:7" x14ac:dyDescent="0.25">
      <c r="G746"/>
    </row>
    <row r="747" spans="7:7" x14ac:dyDescent="0.25">
      <c r="G747"/>
    </row>
    <row r="748" spans="7:7" x14ac:dyDescent="0.25">
      <c r="G748"/>
    </row>
    <row r="749" spans="7:7" x14ac:dyDescent="0.25">
      <c r="G749"/>
    </row>
    <row r="750" spans="7:7" x14ac:dyDescent="0.25">
      <c r="G750"/>
    </row>
    <row r="751" spans="7:7" x14ac:dyDescent="0.25">
      <c r="G751"/>
    </row>
    <row r="752" spans="7:7" x14ac:dyDescent="0.25">
      <c r="G752"/>
    </row>
    <row r="753" spans="7:7" x14ac:dyDescent="0.25">
      <c r="G753"/>
    </row>
    <row r="754" spans="7:7" x14ac:dyDescent="0.25">
      <c r="G754"/>
    </row>
    <row r="755" spans="7:7" x14ac:dyDescent="0.25">
      <c r="G755"/>
    </row>
    <row r="756" spans="7:7" x14ac:dyDescent="0.25">
      <c r="G756"/>
    </row>
    <row r="757" spans="7:7" x14ac:dyDescent="0.25">
      <c r="G757"/>
    </row>
    <row r="758" spans="7:7" x14ac:dyDescent="0.25">
      <c r="G758"/>
    </row>
    <row r="759" spans="7:7" x14ac:dyDescent="0.25">
      <c r="G759"/>
    </row>
    <row r="760" spans="7:7" x14ac:dyDescent="0.25">
      <c r="G760"/>
    </row>
    <row r="761" spans="7:7" x14ac:dyDescent="0.25">
      <c r="G761"/>
    </row>
    <row r="762" spans="7:7" x14ac:dyDescent="0.25">
      <c r="G762"/>
    </row>
    <row r="763" spans="7:7" x14ac:dyDescent="0.25">
      <c r="G763"/>
    </row>
    <row r="764" spans="7:7" x14ac:dyDescent="0.25">
      <c r="G764"/>
    </row>
    <row r="765" spans="7:7" x14ac:dyDescent="0.25">
      <c r="G765"/>
    </row>
    <row r="766" spans="7:7" x14ac:dyDescent="0.25">
      <c r="G766"/>
    </row>
    <row r="767" spans="7:7" x14ac:dyDescent="0.25">
      <c r="G767"/>
    </row>
    <row r="768" spans="7:7" x14ac:dyDescent="0.25">
      <c r="G768"/>
    </row>
    <row r="769" spans="7:7" x14ac:dyDescent="0.25">
      <c r="G769"/>
    </row>
    <row r="770" spans="7:7" x14ac:dyDescent="0.25">
      <c r="G770"/>
    </row>
    <row r="771" spans="7:7" x14ac:dyDescent="0.25">
      <c r="G771"/>
    </row>
    <row r="772" spans="7:7" x14ac:dyDescent="0.25">
      <c r="G772"/>
    </row>
    <row r="773" spans="7:7" x14ac:dyDescent="0.25">
      <c r="G773"/>
    </row>
    <row r="774" spans="7:7" x14ac:dyDescent="0.25">
      <c r="G774"/>
    </row>
    <row r="775" spans="7:7" x14ac:dyDescent="0.25">
      <c r="G775"/>
    </row>
    <row r="776" spans="7:7" x14ac:dyDescent="0.25">
      <c r="G776"/>
    </row>
    <row r="777" spans="7:7" x14ac:dyDescent="0.25">
      <c r="G777"/>
    </row>
    <row r="778" spans="7:7" x14ac:dyDescent="0.25">
      <c r="G778"/>
    </row>
    <row r="779" spans="7:7" x14ac:dyDescent="0.25">
      <c r="G779"/>
    </row>
    <row r="780" spans="7:7" x14ac:dyDescent="0.25">
      <c r="G780"/>
    </row>
    <row r="781" spans="7:7" x14ac:dyDescent="0.25">
      <c r="G781"/>
    </row>
    <row r="782" spans="7:7" x14ac:dyDescent="0.25">
      <c r="G782"/>
    </row>
    <row r="783" spans="7:7" x14ac:dyDescent="0.25">
      <c r="G783"/>
    </row>
    <row r="784" spans="7:7" x14ac:dyDescent="0.25">
      <c r="G784"/>
    </row>
    <row r="785" spans="7:7" x14ac:dyDescent="0.25">
      <c r="G785"/>
    </row>
    <row r="786" spans="7:7" x14ac:dyDescent="0.25">
      <c r="G786"/>
    </row>
    <row r="787" spans="7:7" x14ac:dyDescent="0.25">
      <c r="G787"/>
    </row>
    <row r="788" spans="7:7" x14ac:dyDescent="0.25">
      <c r="G788"/>
    </row>
    <row r="789" spans="7:7" x14ac:dyDescent="0.25">
      <c r="G789"/>
    </row>
    <row r="790" spans="7:7" x14ac:dyDescent="0.25">
      <c r="G790"/>
    </row>
    <row r="791" spans="7:7" x14ac:dyDescent="0.25">
      <c r="G791"/>
    </row>
    <row r="792" spans="7:7" x14ac:dyDescent="0.25">
      <c r="G792"/>
    </row>
    <row r="793" spans="7:7" x14ac:dyDescent="0.25">
      <c r="G793"/>
    </row>
    <row r="794" spans="7:7" x14ac:dyDescent="0.25">
      <c r="G794"/>
    </row>
    <row r="795" spans="7:7" x14ac:dyDescent="0.25">
      <c r="G795"/>
    </row>
    <row r="796" spans="7:7" x14ac:dyDescent="0.25">
      <c r="G796"/>
    </row>
    <row r="797" spans="7:7" x14ac:dyDescent="0.25">
      <c r="G797"/>
    </row>
    <row r="798" spans="7:7" x14ac:dyDescent="0.25">
      <c r="G798"/>
    </row>
    <row r="799" spans="7:7" x14ac:dyDescent="0.25">
      <c r="G799"/>
    </row>
    <row r="800" spans="7:7" x14ac:dyDescent="0.25">
      <c r="G800"/>
    </row>
    <row r="801" spans="7:7" x14ac:dyDescent="0.25">
      <c r="G801"/>
    </row>
    <row r="802" spans="7:7" x14ac:dyDescent="0.25">
      <c r="G802"/>
    </row>
    <row r="803" spans="7:7" x14ac:dyDescent="0.25">
      <c r="G803"/>
    </row>
    <row r="804" spans="7:7" x14ac:dyDescent="0.25">
      <c r="G804"/>
    </row>
    <row r="805" spans="7:7" x14ac:dyDescent="0.25">
      <c r="G805"/>
    </row>
    <row r="806" spans="7:7" x14ac:dyDescent="0.25">
      <c r="G806"/>
    </row>
    <row r="807" spans="7:7" x14ac:dyDescent="0.25">
      <c r="G807"/>
    </row>
    <row r="808" spans="7:7" x14ac:dyDescent="0.25">
      <c r="G808"/>
    </row>
    <row r="809" spans="7:7" x14ac:dyDescent="0.25">
      <c r="G809"/>
    </row>
    <row r="810" spans="7:7" x14ac:dyDescent="0.25">
      <c r="G810"/>
    </row>
    <row r="811" spans="7:7" x14ac:dyDescent="0.25">
      <c r="G811"/>
    </row>
    <row r="812" spans="7:7" x14ac:dyDescent="0.25">
      <c r="G812"/>
    </row>
    <row r="813" spans="7:7" x14ac:dyDescent="0.25">
      <c r="G813"/>
    </row>
    <row r="814" spans="7:7" x14ac:dyDescent="0.25">
      <c r="G814"/>
    </row>
    <row r="815" spans="7:7" x14ac:dyDescent="0.25">
      <c r="G815"/>
    </row>
    <row r="816" spans="7:7" x14ac:dyDescent="0.25">
      <c r="G816"/>
    </row>
    <row r="817" spans="7:7" x14ac:dyDescent="0.25">
      <c r="G817"/>
    </row>
    <row r="818" spans="7:7" x14ac:dyDescent="0.25">
      <c r="G818"/>
    </row>
    <row r="819" spans="7:7" x14ac:dyDescent="0.25">
      <c r="G819"/>
    </row>
    <row r="820" spans="7:7" x14ac:dyDescent="0.25">
      <c r="G820"/>
    </row>
    <row r="821" spans="7:7" x14ac:dyDescent="0.25">
      <c r="G821"/>
    </row>
    <row r="822" spans="7:7" x14ac:dyDescent="0.25">
      <c r="G822"/>
    </row>
    <row r="823" spans="7:7" x14ac:dyDescent="0.25">
      <c r="G823"/>
    </row>
    <row r="824" spans="7:7" x14ac:dyDescent="0.25">
      <c r="G824"/>
    </row>
    <row r="825" spans="7:7" x14ac:dyDescent="0.25">
      <c r="G825"/>
    </row>
    <row r="826" spans="7:7" x14ac:dyDescent="0.25">
      <c r="G826"/>
    </row>
    <row r="827" spans="7:7" x14ac:dyDescent="0.25">
      <c r="G827"/>
    </row>
    <row r="828" spans="7:7" x14ac:dyDescent="0.25">
      <c r="G828"/>
    </row>
    <row r="829" spans="7:7" x14ac:dyDescent="0.25">
      <c r="G829"/>
    </row>
    <row r="830" spans="7:7" x14ac:dyDescent="0.25">
      <c r="G830"/>
    </row>
    <row r="831" spans="7:7" x14ac:dyDescent="0.25">
      <c r="G831"/>
    </row>
    <row r="832" spans="7:7" x14ac:dyDescent="0.25">
      <c r="G832"/>
    </row>
    <row r="833" spans="7:7" x14ac:dyDescent="0.25">
      <c r="G833"/>
    </row>
    <row r="834" spans="7:7" x14ac:dyDescent="0.25">
      <c r="G834"/>
    </row>
    <row r="835" spans="7:7" x14ac:dyDescent="0.25">
      <c r="G835"/>
    </row>
    <row r="836" spans="7:7" x14ac:dyDescent="0.25">
      <c r="G836"/>
    </row>
    <row r="837" spans="7:7" x14ac:dyDescent="0.25">
      <c r="G837"/>
    </row>
    <row r="838" spans="7:7" x14ac:dyDescent="0.25">
      <c r="G838"/>
    </row>
    <row r="839" spans="7:7" x14ac:dyDescent="0.25">
      <c r="G839"/>
    </row>
    <row r="840" spans="7:7" x14ac:dyDescent="0.25">
      <c r="G840"/>
    </row>
    <row r="841" spans="7:7" x14ac:dyDescent="0.25">
      <c r="G841"/>
    </row>
    <row r="842" spans="7:7" x14ac:dyDescent="0.25">
      <c r="G842"/>
    </row>
    <row r="843" spans="7:7" x14ac:dyDescent="0.25">
      <c r="G843"/>
    </row>
    <row r="844" spans="7:7" x14ac:dyDescent="0.25">
      <c r="G844"/>
    </row>
    <row r="845" spans="7:7" x14ac:dyDescent="0.25">
      <c r="G845"/>
    </row>
    <row r="846" spans="7:7" x14ac:dyDescent="0.25">
      <c r="G846"/>
    </row>
    <row r="847" spans="7:7" x14ac:dyDescent="0.25">
      <c r="G847"/>
    </row>
    <row r="848" spans="7:7" x14ac:dyDescent="0.25">
      <c r="G848"/>
    </row>
    <row r="849" spans="7:7" x14ac:dyDescent="0.25">
      <c r="G849"/>
    </row>
    <row r="850" spans="7:7" x14ac:dyDescent="0.25">
      <c r="G850"/>
    </row>
    <row r="851" spans="7:7" x14ac:dyDescent="0.25">
      <c r="G851"/>
    </row>
    <row r="852" spans="7:7" x14ac:dyDescent="0.25">
      <c r="G852"/>
    </row>
    <row r="853" spans="7:7" x14ac:dyDescent="0.25">
      <c r="G853"/>
    </row>
    <row r="854" spans="7:7" x14ac:dyDescent="0.25">
      <c r="G854"/>
    </row>
    <row r="855" spans="7:7" x14ac:dyDescent="0.25">
      <c r="G855"/>
    </row>
    <row r="856" spans="7:7" x14ac:dyDescent="0.25">
      <c r="G856"/>
    </row>
    <row r="857" spans="7:7" x14ac:dyDescent="0.25">
      <c r="G857"/>
    </row>
    <row r="858" spans="7:7" x14ac:dyDescent="0.25">
      <c r="G858"/>
    </row>
    <row r="859" spans="7:7" x14ac:dyDescent="0.25">
      <c r="G859"/>
    </row>
    <row r="860" spans="7:7" x14ac:dyDescent="0.25">
      <c r="G860"/>
    </row>
    <row r="861" spans="7:7" x14ac:dyDescent="0.25">
      <c r="G861"/>
    </row>
    <row r="862" spans="7:7" x14ac:dyDescent="0.25">
      <c r="G862"/>
    </row>
    <row r="863" spans="7:7" x14ac:dyDescent="0.25">
      <c r="G863"/>
    </row>
    <row r="864" spans="7:7" x14ac:dyDescent="0.25">
      <c r="G864"/>
    </row>
    <row r="865" spans="7:7" x14ac:dyDescent="0.25">
      <c r="G865"/>
    </row>
    <row r="866" spans="7:7" x14ac:dyDescent="0.25">
      <c r="G866"/>
    </row>
    <row r="867" spans="7:7" x14ac:dyDescent="0.25">
      <c r="G867"/>
    </row>
    <row r="868" spans="7:7" x14ac:dyDescent="0.25">
      <c r="G868"/>
    </row>
    <row r="869" spans="7:7" x14ac:dyDescent="0.25">
      <c r="G869"/>
    </row>
    <row r="870" spans="7:7" x14ac:dyDescent="0.25">
      <c r="G870"/>
    </row>
    <row r="871" spans="7:7" x14ac:dyDescent="0.25">
      <c r="G871"/>
    </row>
    <row r="872" spans="7:7" x14ac:dyDescent="0.25">
      <c r="G872"/>
    </row>
    <row r="873" spans="7:7" x14ac:dyDescent="0.25">
      <c r="G873"/>
    </row>
    <row r="874" spans="7:7" x14ac:dyDescent="0.25">
      <c r="G874"/>
    </row>
    <row r="875" spans="7:7" x14ac:dyDescent="0.25">
      <c r="G875"/>
    </row>
    <row r="876" spans="7:7" x14ac:dyDescent="0.25">
      <c r="G876"/>
    </row>
    <row r="877" spans="7:7" x14ac:dyDescent="0.25">
      <c r="G877"/>
    </row>
    <row r="878" spans="7:7" x14ac:dyDescent="0.25">
      <c r="G878"/>
    </row>
    <row r="879" spans="7:7" x14ac:dyDescent="0.25">
      <c r="G879"/>
    </row>
    <row r="880" spans="7:7" x14ac:dyDescent="0.25">
      <c r="G880"/>
    </row>
    <row r="881" spans="7:7" x14ac:dyDescent="0.25">
      <c r="G881"/>
    </row>
    <row r="882" spans="7:7" x14ac:dyDescent="0.25">
      <c r="G882"/>
    </row>
    <row r="883" spans="7:7" x14ac:dyDescent="0.25">
      <c r="G883"/>
    </row>
    <row r="884" spans="7:7" x14ac:dyDescent="0.25">
      <c r="G884"/>
    </row>
    <row r="885" spans="7:7" x14ac:dyDescent="0.25">
      <c r="G885"/>
    </row>
    <row r="886" spans="7:7" x14ac:dyDescent="0.25">
      <c r="G886"/>
    </row>
    <row r="887" spans="7:7" x14ac:dyDescent="0.25">
      <c r="G887"/>
    </row>
    <row r="888" spans="7:7" x14ac:dyDescent="0.25">
      <c r="G888"/>
    </row>
    <row r="889" spans="7:7" x14ac:dyDescent="0.25">
      <c r="G889"/>
    </row>
    <row r="890" spans="7:7" x14ac:dyDescent="0.25">
      <c r="G890"/>
    </row>
    <row r="891" spans="7:7" x14ac:dyDescent="0.25">
      <c r="G891"/>
    </row>
    <row r="892" spans="7:7" x14ac:dyDescent="0.25">
      <c r="G892"/>
    </row>
    <row r="893" spans="7:7" x14ac:dyDescent="0.25">
      <c r="G893"/>
    </row>
    <row r="894" spans="7:7" x14ac:dyDescent="0.25">
      <c r="G894"/>
    </row>
    <row r="895" spans="7:7" x14ac:dyDescent="0.25">
      <c r="G895"/>
    </row>
    <row r="896" spans="7:7" x14ac:dyDescent="0.25">
      <c r="G896"/>
    </row>
    <row r="897" spans="7:7" x14ac:dyDescent="0.25">
      <c r="G897"/>
    </row>
    <row r="898" spans="7:7" x14ac:dyDescent="0.25">
      <c r="G898"/>
    </row>
    <row r="899" spans="7:7" x14ac:dyDescent="0.25">
      <c r="G899"/>
    </row>
    <row r="900" spans="7:7" x14ac:dyDescent="0.25">
      <c r="G900"/>
    </row>
    <row r="901" spans="7:7" x14ac:dyDescent="0.25">
      <c r="G901"/>
    </row>
    <row r="902" spans="7:7" x14ac:dyDescent="0.25">
      <c r="G902"/>
    </row>
    <row r="903" spans="7:7" x14ac:dyDescent="0.25">
      <c r="G903"/>
    </row>
    <row r="904" spans="7:7" x14ac:dyDescent="0.25">
      <c r="G904"/>
    </row>
    <row r="905" spans="7:7" x14ac:dyDescent="0.25">
      <c r="G905"/>
    </row>
    <row r="906" spans="7:7" x14ac:dyDescent="0.25">
      <c r="G906"/>
    </row>
    <row r="907" spans="7:7" x14ac:dyDescent="0.25">
      <c r="G907"/>
    </row>
    <row r="908" spans="7:7" x14ac:dyDescent="0.25">
      <c r="G908"/>
    </row>
    <row r="909" spans="7:7" x14ac:dyDescent="0.25">
      <c r="G909"/>
    </row>
    <row r="910" spans="7:7" x14ac:dyDescent="0.25">
      <c r="G910"/>
    </row>
    <row r="911" spans="7:7" x14ac:dyDescent="0.25">
      <c r="G911"/>
    </row>
    <row r="912" spans="7:7" x14ac:dyDescent="0.25">
      <c r="G912"/>
    </row>
    <row r="913" spans="7:7" x14ac:dyDescent="0.25">
      <c r="G913"/>
    </row>
    <row r="914" spans="7:7" x14ac:dyDescent="0.25">
      <c r="G914"/>
    </row>
    <row r="915" spans="7:7" x14ac:dyDescent="0.25">
      <c r="G915"/>
    </row>
    <row r="916" spans="7:7" x14ac:dyDescent="0.25">
      <c r="G916"/>
    </row>
    <row r="917" spans="7:7" x14ac:dyDescent="0.25">
      <c r="G917"/>
    </row>
    <row r="918" spans="7:7" x14ac:dyDescent="0.25">
      <c r="G918"/>
    </row>
    <row r="919" spans="7:7" x14ac:dyDescent="0.25">
      <c r="G919"/>
    </row>
    <row r="920" spans="7:7" x14ac:dyDescent="0.25">
      <c r="G920"/>
    </row>
    <row r="921" spans="7:7" x14ac:dyDescent="0.25">
      <c r="G921"/>
    </row>
    <row r="922" spans="7:7" x14ac:dyDescent="0.25">
      <c r="G922"/>
    </row>
    <row r="923" spans="7:7" x14ac:dyDescent="0.25">
      <c r="G923"/>
    </row>
    <row r="924" spans="7:7" x14ac:dyDescent="0.25">
      <c r="G924"/>
    </row>
    <row r="925" spans="7:7" x14ac:dyDescent="0.25">
      <c r="G925"/>
    </row>
    <row r="926" spans="7:7" x14ac:dyDescent="0.25">
      <c r="G926"/>
    </row>
    <row r="927" spans="7:7" x14ac:dyDescent="0.25">
      <c r="G927"/>
    </row>
    <row r="928" spans="7:7" x14ac:dyDescent="0.25">
      <c r="G928"/>
    </row>
    <row r="929" spans="7:7" x14ac:dyDescent="0.25">
      <c r="G929"/>
    </row>
    <row r="930" spans="7:7" x14ac:dyDescent="0.25">
      <c r="G930"/>
    </row>
    <row r="931" spans="7:7" x14ac:dyDescent="0.25">
      <c r="G931"/>
    </row>
    <row r="932" spans="7:7" x14ac:dyDescent="0.25">
      <c r="G932"/>
    </row>
    <row r="933" spans="7:7" x14ac:dyDescent="0.25">
      <c r="G933"/>
    </row>
    <row r="934" spans="7:7" x14ac:dyDescent="0.25">
      <c r="G934"/>
    </row>
    <row r="935" spans="7:7" x14ac:dyDescent="0.25">
      <c r="G935"/>
    </row>
    <row r="936" spans="7:7" x14ac:dyDescent="0.25">
      <c r="G936"/>
    </row>
    <row r="937" spans="7:7" x14ac:dyDescent="0.25">
      <c r="G937"/>
    </row>
    <row r="938" spans="7:7" x14ac:dyDescent="0.25">
      <c r="G938"/>
    </row>
    <row r="939" spans="7:7" x14ac:dyDescent="0.25">
      <c r="G939"/>
    </row>
    <row r="940" spans="7:7" x14ac:dyDescent="0.25">
      <c r="G940"/>
    </row>
    <row r="941" spans="7:7" x14ac:dyDescent="0.25">
      <c r="G941"/>
    </row>
    <row r="942" spans="7:7" x14ac:dyDescent="0.25">
      <c r="G942"/>
    </row>
    <row r="943" spans="7:7" x14ac:dyDescent="0.25">
      <c r="G943"/>
    </row>
    <row r="944" spans="7:7" x14ac:dyDescent="0.25">
      <c r="G944"/>
    </row>
    <row r="945" spans="7:7" x14ac:dyDescent="0.25">
      <c r="G945"/>
    </row>
    <row r="946" spans="7:7" x14ac:dyDescent="0.25">
      <c r="G946"/>
    </row>
    <row r="947" spans="7:7" x14ac:dyDescent="0.25">
      <c r="G947"/>
    </row>
    <row r="948" spans="7:7" x14ac:dyDescent="0.25">
      <c r="G948"/>
    </row>
    <row r="949" spans="7:7" x14ac:dyDescent="0.25">
      <c r="G949"/>
    </row>
    <row r="950" spans="7:7" x14ac:dyDescent="0.25">
      <c r="G950"/>
    </row>
    <row r="951" spans="7:7" x14ac:dyDescent="0.25">
      <c r="G951"/>
    </row>
    <row r="952" spans="7:7" x14ac:dyDescent="0.25">
      <c r="G952"/>
    </row>
    <row r="953" spans="7:7" x14ac:dyDescent="0.25">
      <c r="G953"/>
    </row>
    <row r="954" spans="7:7" x14ac:dyDescent="0.25">
      <c r="G954"/>
    </row>
    <row r="955" spans="7:7" x14ac:dyDescent="0.25">
      <c r="G955"/>
    </row>
    <row r="956" spans="7:7" x14ac:dyDescent="0.25">
      <c r="G956"/>
    </row>
    <row r="957" spans="7:7" x14ac:dyDescent="0.25">
      <c r="G957"/>
    </row>
    <row r="958" spans="7:7" x14ac:dyDescent="0.25">
      <c r="G958"/>
    </row>
    <row r="959" spans="7:7" x14ac:dyDescent="0.25">
      <c r="G959"/>
    </row>
    <row r="960" spans="7:7" x14ac:dyDescent="0.25">
      <c r="G960"/>
    </row>
    <row r="961" spans="7:7" x14ac:dyDescent="0.25">
      <c r="G961"/>
    </row>
    <row r="962" spans="7:7" x14ac:dyDescent="0.25">
      <c r="G962"/>
    </row>
    <row r="963" spans="7:7" x14ac:dyDescent="0.25">
      <c r="G963"/>
    </row>
    <row r="964" spans="7:7" x14ac:dyDescent="0.25">
      <c r="G964"/>
    </row>
    <row r="965" spans="7:7" x14ac:dyDescent="0.25">
      <c r="G965"/>
    </row>
    <row r="966" spans="7:7" x14ac:dyDescent="0.25">
      <c r="G966"/>
    </row>
    <row r="967" spans="7:7" x14ac:dyDescent="0.25">
      <c r="G967"/>
    </row>
    <row r="968" spans="7:7" x14ac:dyDescent="0.25">
      <c r="G968"/>
    </row>
    <row r="969" spans="7:7" x14ac:dyDescent="0.25">
      <c r="G969"/>
    </row>
    <row r="970" spans="7:7" x14ac:dyDescent="0.25">
      <c r="G970"/>
    </row>
    <row r="971" spans="7:7" x14ac:dyDescent="0.25">
      <c r="G971"/>
    </row>
    <row r="972" spans="7:7" x14ac:dyDescent="0.25">
      <c r="G972"/>
    </row>
    <row r="973" spans="7:7" x14ac:dyDescent="0.25">
      <c r="G973"/>
    </row>
    <row r="974" spans="7:7" x14ac:dyDescent="0.25">
      <c r="G974"/>
    </row>
    <row r="975" spans="7:7" x14ac:dyDescent="0.25">
      <c r="G975"/>
    </row>
    <row r="976" spans="7:7" x14ac:dyDescent="0.25">
      <c r="G976"/>
    </row>
    <row r="977" spans="7:7" x14ac:dyDescent="0.25">
      <c r="G977"/>
    </row>
    <row r="978" spans="7:7" x14ac:dyDescent="0.25">
      <c r="G978"/>
    </row>
    <row r="979" spans="7:7" x14ac:dyDescent="0.25">
      <c r="G979"/>
    </row>
    <row r="980" spans="7:7" x14ac:dyDescent="0.25">
      <c r="G980"/>
    </row>
    <row r="981" spans="7:7" x14ac:dyDescent="0.25">
      <c r="G981"/>
    </row>
    <row r="982" spans="7:7" x14ac:dyDescent="0.25">
      <c r="G982"/>
    </row>
    <row r="983" spans="7:7" x14ac:dyDescent="0.25">
      <c r="G983"/>
    </row>
    <row r="984" spans="7:7" x14ac:dyDescent="0.25">
      <c r="G984"/>
    </row>
    <row r="985" spans="7:7" x14ac:dyDescent="0.25">
      <c r="G985"/>
    </row>
    <row r="986" spans="7:7" x14ac:dyDescent="0.25">
      <c r="G986"/>
    </row>
    <row r="987" spans="7:7" x14ac:dyDescent="0.25">
      <c r="G987"/>
    </row>
    <row r="988" spans="7:7" x14ac:dyDescent="0.25">
      <c r="G988"/>
    </row>
    <row r="989" spans="7:7" x14ac:dyDescent="0.25">
      <c r="G989"/>
    </row>
    <row r="990" spans="7:7" x14ac:dyDescent="0.25">
      <c r="G990"/>
    </row>
    <row r="991" spans="7:7" x14ac:dyDescent="0.25">
      <c r="G991"/>
    </row>
    <row r="992" spans="7:7" x14ac:dyDescent="0.25">
      <c r="G992"/>
    </row>
    <row r="993" spans="7:7" x14ac:dyDescent="0.25">
      <c r="G993"/>
    </row>
    <row r="994" spans="7:7" x14ac:dyDescent="0.25">
      <c r="G994"/>
    </row>
    <row r="995" spans="7:7" x14ac:dyDescent="0.25">
      <c r="G995"/>
    </row>
    <row r="996" spans="7:7" x14ac:dyDescent="0.25">
      <c r="G996"/>
    </row>
    <row r="997" spans="7:7" x14ac:dyDescent="0.25">
      <c r="G997"/>
    </row>
    <row r="998" spans="7:7" x14ac:dyDescent="0.25">
      <c r="G998"/>
    </row>
    <row r="999" spans="7:7" x14ac:dyDescent="0.25">
      <c r="G999"/>
    </row>
    <row r="1000" spans="7:7" x14ac:dyDescent="0.25">
      <c r="G1000"/>
    </row>
    <row r="1001" spans="7:7" x14ac:dyDescent="0.25">
      <c r="G1001"/>
    </row>
    <row r="1002" spans="7:7" x14ac:dyDescent="0.25">
      <c r="G1002"/>
    </row>
    <row r="1003" spans="7:7" x14ac:dyDescent="0.25">
      <c r="G1003"/>
    </row>
    <row r="1004" spans="7:7" x14ac:dyDescent="0.25">
      <c r="G1004"/>
    </row>
    <row r="1005" spans="7:7" x14ac:dyDescent="0.25">
      <c r="G1005"/>
    </row>
    <row r="1006" spans="7:7" x14ac:dyDescent="0.25">
      <c r="G1006"/>
    </row>
    <row r="1007" spans="7:7" x14ac:dyDescent="0.25">
      <c r="G1007"/>
    </row>
    <row r="1008" spans="7:7" x14ac:dyDescent="0.25">
      <c r="G1008"/>
    </row>
    <row r="1009" spans="7:7" x14ac:dyDescent="0.25">
      <c r="G1009"/>
    </row>
    <row r="1010" spans="7:7" x14ac:dyDescent="0.25">
      <c r="G1010"/>
    </row>
    <row r="1011" spans="7:7" x14ac:dyDescent="0.25">
      <c r="G1011"/>
    </row>
    <row r="1012" spans="7:7" x14ac:dyDescent="0.25">
      <c r="G1012"/>
    </row>
    <row r="1013" spans="7:7" x14ac:dyDescent="0.25">
      <c r="G1013"/>
    </row>
    <row r="1014" spans="7:7" x14ac:dyDescent="0.25">
      <c r="G1014"/>
    </row>
    <row r="1015" spans="7:7" x14ac:dyDescent="0.25">
      <c r="G1015"/>
    </row>
    <row r="1016" spans="7:7" x14ac:dyDescent="0.25">
      <c r="G1016"/>
    </row>
    <row r="1017" spans="7:7" x14ac:dyDescent="0.25">
      <c r="G1017"/>
    </row>
    <row r="1018" spans="7:7" x14ac:dyDescent="0.25">
      <c r="G1018"/>
    </row>
    <row r="1019" spans="7:7" x14ac:dyDescent="0.25">
      <c r="G1019"/>
    </row>
    <row r="1020" spans="7:7" x14ac:dyDescent="0.25">
      <c r="G1020"/>
    </row>
    <row r="1021" spans="7:7" x14ac:dyDescent="0.25">
      <c r="G1021"/>
    </row>
    <row r="1022" spans="7:7" x14ac:dyDescent="0.25">
      <c r="G1022"/>
    </row>
    <row r="1023" spans="7:7" x14ac:dyDescent="0.25">
      <c r="G1023"/>
    </row>
    <row r="1024" spans="7:7" x14ac:dyDescent="0.25">
      <c r="G1024"/>
    </row>
    <row r="1025" spans="7:7" x14ac:dyDescent="0.25">
      <c r="G1025"/>
    </row>
    <row r="1026" spans="7:7" x14ac:dyDescent="0.25">
      <c r="G1026"/>
    </row>
    <row r="1027" spans="7:7" x14ac:dyDescent="0.25">
      <c r="G1027"/>
    </row>
    <row r="1028" spans="7:7" x14ac:dyDescent="0.25">
      <c r="G1028"/>
    </row>
    <row r="1029" spans="7:7" x14ac:dyDescent="0.25">
      <c r="G1029"/>
    </row>
    <row r="1030" spans="7:7" x14ac:dyDescent="0.25">
      <c r="G1030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K26"/>
  <sheetViews>
    <sheetView topLeftCell="A4" workbookViewId="0">
      <selection activeCell="B23" sqref="B23"/>
    </sheetView>
  </sheetViews>
  <sheetFormatPr defaultRowHeight="15" x14ac:dyDescent="0.25"/>
  <cols>
    <col min="1" max="1" width="53.28515625" customWidth="1"/>
    <col min="2" max="2" width="85" bestFit="1" customWidth="1"/>
    <col min="5" max="5" width="9.140625" customWidth="1"/>
    <col min="7" max="7" width="10.28515625" customWidth="1"/>
    <col min="8" max="8" width="12.5703125" customWidth="1"/>
    <col min="9" max="9" width="14.7109375" customWidth="1"/>
    <col min="10" max="10" width="13.140625" customWidth="1"/>
    <col min="11" max="11" width="21.140625" customWidth="1"/>
    <col min="14" max="14" width="15.140625" bestFit="1" customWidth="1"/>
    <col min="15" max="15" width="14" bestFit="1" customWidth="1"/>
  </cols>
  <sheetData>
    <row r="2" spans="1:11" ht="15.75" x14ac:dyDescent="0.25">
      <c r="A2" s="8" t="s">
        <v>10</v>
      </c>
      <c r="B2" s="8" t="s">
        <v>11</v>
      </c>
      <c r="G2" s="24" t="s">
        <v>37</v>
      </c>
      <c r="H2" s="24"/>
      <c r="I2" s="24"/>
      <c r="J2" s="24"/>
      <c r="K2" s="24"/>
    </row>
    <row r="3" spans="1:11" x14ac:dyDescent="0.25">
      <c r="A3" s="9" t="s">
        <v>67</v>
      </c>
      <c r="B3" s="10" t="s">
        <v>12</v>
      </c>
      <c r="G3" s="81" t="s">
        <v>38</v>
      </c>
      <c r="H3" s="81"/>
      <c r="I3" s="81"/>
      <c r="J3" s="25" t="s">
        <v>39</v>
      </c>
      <c r="K3" s="26"/>
    </row>
    <row r="4" spans="1:11" x14ac:dyDescent="0.25">
      <c r="A4" s="9" t="s">
        <v>9</v>
      </c>
      <c r="B4" s="10" t="s">
        <v>13</v>
      </c>
      <c r="G4" s="81"/>
      <c r="H4" s="81"/>
      <c r="I4" s="81"/>
      <c r="J4" s="27" t="s">
        <v>40</v>
      </c>
      <c r="K4" s="27" t="s">
        <v>41</v>
      </c>
    </row>
    <row r="5" spans="1:11" x14ac:dyDescent="0.25">
      <c r="A5" s="9" t="s">
        <v>50</v>
      </c>
      <c r="B5" s="10" t="s">
        <v>14</v>
      </c>
      <c r="G5" s="28">
        <v>5</v>
      </c>
      <c r="H5" s="27" t="s">
        <v>42</v>
      </c>
      <c r="I5" s="25">
        <v>50</v>
      </c>
      <c r="J5" s="27">
        <v>9</v>
      </c>
      <c r="K5" s="27" t="s">
        <v>43</v>
      </c>
    </row>
    <row r="6" spans="1:11" x14ac:dyDescent="0.25">
      <c r="A6" s="9" t="s">
        <v>49</v>
      </c>
      <c r="B6" s="10" t="s">
        <v>15</v>
      </c>
      <c r="G6" s="28">
        <v>50</v>
      </c>
      <c r="H6" s="27" t="s">
        <v>42</v>
      </c>
      <c r="I6" s="25">
        <v>100</v>
      </c>
      <c r="J6" s="27" t="s">
        <v>43</v>
      </c>
      <c r="K6" s="27">
        <v>4.5</v>
      </c>
    </row>
    <row r="7" spans="1:11" ht="30" x14ac:dyDescent="0.25">
      <c r="A7" s="11" t="s">
        <v>51</v>
      </c>
      <c r="B7" s="10" t="s">
        <v>16</v>
      </c>
      <c r="G7" s="28">
        <v>100</v>
      </c>
      <c r="H7" s="27" t="s">
        <v>42</v>
      </c>
      <c r="I7" s="25">
        <v>200</v>
      </c>
      <c r="J7" s="27">
        <v>4.5</v>
      </c>
      <c r="K7" s="27" t="s">
        <v>43</v>
      </c>
    </row>
    <row r="8" spans="1:11" ht="45" x14ac:dyDescent="0.25">
      <c r="A8" s="42" t="s">
        <v>68</v>
      </c>
      <c r="B8" s="10" t="s">
        <v>17</v>
      </c>
      <c r="G8" s="28">
        <v>200</v>
      </c>
      <c r="H8" s="27" t="s">
        <v>42</v>
      </c>
      <c r="I8" s="25">
        <v>300</v>
      </c>
      <c r="J8" s="26" t="s">
        <v>43</v>
      </c>
      <c r="K8" s="27">
        <v>9</v>
      </c>
    </row>
    <row r="9" spans="1:11" ht="45" x14ac:dyDescent="0.25">
      <c r="A9" s="42" t="s">
        <v>55</v>
      </c>
      <c r="B9" s="10" t="s">
        <v>18</v>
      </c>
      <c r="G9" s="28">
        <v>300</v>
      </c>
      <c r="H9" s="27" t="s">
        <v>42</v>
      </c>
      <c r="I9" s="25">
        <v>500</v>
      </c>
      <c r="J9" s="27">
        <v>3</v>
      </c>
      <c r="K9" s="26" t="s">
        <v>43</v>
      </c>
    </row>
    <row r="10" spans="1:11" ht="30" x14ac:dyDescent="0.25">
      <c r="A10" s="42" t="s">
        <v>52</v>
      </c>
      <c r="B10" s="10" t="s">
        <v>19</v>
      </c>
      <c r="G10" s="28">
        <v>500</v>
      </c>
      <c r="H10" s="27" t="s">
        <v>42</v>
      </c>
      <c r="I10" s="25">
        <v>1000</v>
      </c>
      <c r="J10" s="27"/>
      <c r="K10" s="27">
        <v>15</v>
      </c>
    </row>
    <row r="11" spans="1:11" ht="45" x14ac:dyDescent="0.25">
      <c r="A11" s="43" t="s">
        <v>69</v>
      </c>
      <c r="B11" s="10" t="s">
        <v>20</v>
      </c>
      <c r="G11" s="28">
        <v>1000</v>
      </c>
      <c r="H11" s="27" t="s">
        <v>42</v>
      </c>
      <c r="I11" s="25">
        <v>10000</v>
      </c>
      <c r="J11" s="27">
        <v>1.5</v>
      </c>
      <c r="K11" s="26" t="s">
        <v>43</v>
      </c>
    </row>
    <row r="12" spans="1:11" ht="45" x14ac:dyDescent="0.25">
      <c r="A12" s="44" t="s">
        <v>56</v>
      </c>
      <c r="B12" s="10" t="s">
        <v>21</v>
      </c>
    </row>
    <row r="13" spans="1:11" ht="30" x14ac:dyDescent="0.25">
      <c r="A13" s="44" t="s">
        <v>53</v>
      </c>
      <c r="B13" s="10" t="s">
        <v>22</v>
      </c>
    </row>
    <row r="14" spans="1:11" ht="38.25" x14ac:dyDescent="0.25">
      <c r="A14" s="45" t="s">
        <v>70</v>
      </c>
      <c r="B14" s="12" t="s">
        <v>23</v>
      </c>
    </row>
    <row r="15" spans="1:11" ht="45" x14ac:dyDescent="0.25">
      <c r="A15" s="46" t="s">
        <v>57</v>
      </c>
      <c r="B15" s="10" t="s">
        <v>24</v>
      </c>
    </row>
    <row r="16" spans="1:11" x14ac:dyDescent="0.25">
      <c r="A16" s="46" t="s">
        <v>25</v>
      </c>
      <c r="B16" s="10" t="s">
        <v>26</v>
      </c>
    </row>
    <row r="17" spans="1:2" x14ac:dyDescent="0.25">
      <c r="A17" s="46" t="s">
        <v>27</v>
      </c>
      <c r="B17" s="10" t="s">
        <v>28</v>
      </c>
    </row>
    <row r="18" spans="1:2" x14ac:dyDescent="0.25">
      <c r="A18" s="13"/>
      <c r="B18" s="13"/>
    </row>
    <row r="19" spans="1:2" ht="15.75" x14ac:dyDescent="0.25">
      <c r="A19" s="14" t="s">
        <v>76</v>
      </c>
      <c r="B19" s="15" t="s">
        <v>29</v>
      </c>
    </row>
    <row r="20" spans="1:2" x14ac:dyDescent="0.25">
      <c r="A20" s="16" t="s">
        <v>67</v>
      </c>
      <c r="B20" s="17" t="s">
        <v>83</v>
      </c>
    </row>
    <row r="21" spans="1:2" ht="31.5" x14ac:dyDescent="0.25">
      <c r="A21" s="18" t="s">
        <v>77</v>
      </c>
      <c r="B21" s="19" t="s">
        <v>79</v>
      </c>
    </row>
    <row r="22" spans="1:2" ht="31.5" x14ac:dyDescent="0.25">
      <c r="A22" s="18" t="s">
        <v>78</v>
      </c>
      <c r="B22" s="19" t="s">
        <v>80</v>
      </c>
    </row>
    <row r="23" spans="1:2" x14ac:dyDescent="0.25">
      <c r="A23" s="20" t="s">
        <v>81</v>
      </c>
      <c r="B23" s="19" t="s">
        <v>82</v>
      </c>
    </row>
    <row r="24" spans="1:2" x14ac:dyDescent="0.25">
      <c r="A24" s="20" t="s">
        <v>30</v>
      </c>
      <c r="B24" s="19" t="s">
        <v>31</v>
      </c>
    </row>
    <row r="25" spans="1:2" x14ac:dyDescent="0.25">
      <c r="A25" s="20" t="s">
        <v>84</v>
      </c>
      <c r="B25" s="19" t="s">
        <v>32</v>
      </c>
    </row>
    <row r="26" spans="1:2" x14ac:dyDescent="0.25">
      <c r="A26" s="21" t="s">
        <v>33</v>
      </c>
      <c r="B26" s="10" t="s">
        <v>33</v>
      </c>
    </row>
  </sheetData>
  <mergeCells count="1">
    <mergeCell ref="G3:I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26</vt:i4>
      </vt:variant>
    </vt:vector>
  </HeadingPairs>
  <TitlesOfParts>
    <vt:vector size="29" baseType="lpstr">
      <vt:lpstr>Metrologie</vt:lpstr>
      <vt:lpstr>RawData</vt:lpstr>
      <vt:lpstr>Explicatii</vt:lpstr>
      <vt:lpstr>CA_1</vt:lpstr>
      <vt:lpstr>CA_2</vt:lpstr>
      <vt:lpstr>CMA</vt:lpstr>
      <vt:lpstr>CR_1</vt:lpstr>
      <vt:lpstr>CR_2</vt:lpstr>
      <vt:lpstr>ENT</vt:lpstr>
      <vt:lpstr>ES_1</vt:lpstr>
      <vt:lpstr>ES_2</vt:lpstr>
      <vt:lpstr>ES_3</vt:lpstr>
      <vt:lpstr>ES1_Status</vt:lpstr>
      <vt:lpstr>ES2_Status</vt:lpstr>
      <vt:lpstr>ES3_OK</vt:lpstr>
      <vt:lpstr>ES3_Status</vt:lpstr>
      <vt:lpstr>LotStatus</vt:lpstr>
      <vt:lpstr>ML</vt:lpstr>
      <vt:lpstr>Metrologie!Print_Area</vt:lpstr>
      <vt:lpstr>Metrologie!Print_Titles</vt:lpstr>
      <vt:lpstr>Qn</vt:lpstr>
      <vt:lpstr>QnES3</vt:lpstr>
      <vt:lpstr>RN_1</vt:lpstr>
      <vt:lpstr>RN_2</vt:lpstr>
      <vt:lpstr>s</vt:lpstr>
      <vt:lpstr>SumOfSquares</vt:lpstr>
      <vt:lpstr>Ta</vt:lpstr>
      <vt:lpstr>RawData!test_1</vt:lpstr>
      <vt:lpstr>Xi</vt:lpstr>
    </vt:vector>
  </TitlesOfParts>
  <Company>Continental AG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uid94668</dc:creator>
  <cp:lastModifiedBy>krs</cp:lastModifiedBy>
  <cp:lastPrinted>2018-09-30T15:18:06Z</cp:lastPrinted>
  <dcterms:created xsi:type="dcterms:W3CDTF">2018-01-03T09:07:19Z</dcterms:created>
  <dcterms:modified xsi:type="dcterms:W3CDTF">2018-10-24T18:44:08Z</dcterms:modified>
</cp:coreProperties>
</file>