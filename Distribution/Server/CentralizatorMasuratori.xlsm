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r:id="rId2"/>
    <sheet name="Explicatii" sheetId="3" r:id="rId3"/>
    <sheet name="Chart" sheetId="4" r:id="rId4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" localSheetId="1">RawData!$A$1:$I$221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2" i="2" l="1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B5" i="2" l="1"/>
  <c r="B4" i="2"/>
  <c r="B3" i="2"/>
  <c r="B9" i="2" l="1"/>
  <c r="B8" i="2"/>
  <c r="B7" i="2"/>
  <c r="H193" i="2" l="1"/>
  <c r="H191" i="2"/>
  <c r="H189" i="2"/>
  <c r="H187" i="2"/>
  <c r="H185" i="2"/>
  <c r="H183" i="2"/>
  <c r="H181" i="2"/>
  <c r="H179" i="2"/>
  <c r="H177" i="2"/>
  <c r="H175" i="2"/>
  <c r="H173" i="2"/>
  <c r="H171" i="2"/>
  <c r="H169" i="2"/>
  <c r="H167" i="2"/>
  <c r="H165" i="2"/>
  <c r="H163" i="2"/>
  <c r="H161" i="2"/>
  <c r="H159" i="2"/>
  <c r="H194" i="2"/>
  <c r="H190" i="2"/>
  <c r="H186" i="2"/>
  <c r="H182" i="2"/>
  <c r="H178" i="2"/>
  <c r="H174" i="2"/>
  <c r="H170" i="2"/>
  <c r="H166" i="2"/>
  <c r="H162" i="2"/>
  <c r="H158" i="2"/>
  <c r="H156" i="2"/>
  <c r="H154" i="2"/>
  <c r="H152" i="2"/>
  <c r="H150" i="2"/>
  <c r="H148" i="2"/>
  <c r="H146" i="2"/>
  <c r="H144" i="2"/>
  <c r="H142" i="2"/>
  <c r="H140" i="2"/>
  <c r="H138" i="2"/>
  <c r="H136" i="2"/>
  <c r="H134" i="2"/>
  <c r="H132" i="2"/>
  <c r="H130" i="2"/>
  <c r="H128" i="2"/>
  <c r="H126" i="2"/>
  <c r="H124" i="2"/>
  <c r="H122" i="2"/>
  <c r="H120" i="2"/>
  <c r="H118" i="2"/>
  <c r="H116" i="2"/>
  <c r="H114" i="2"/>
  <c r="H112" i="2"/>
  <c r="H110" i="2"/>
  <c r="H108" i="2"/>
  <c r="H106" i="2"/>
  <c r="H104" i="2"/>
  <c r="H102" i="2"/>
  <c r="H100" i="2"/>
  <c r="H98" i="2"/>
  <c r="H96" i="2"/>
  <c r="H94" i="2"/>
  <c r="H92" i="2"/>
  <c r="H90" i="2"/>
  <c r="H88" i="2"/>
  <c r="H86" i="2"/>
  <c r="H84" i="2"/>
  <c r="H82" i="2"/>
  <c r="H80" i="2"/>
  <c r="H78" i="2"/>
  <c r="H76" i="2"/>
  <c r="H74" i="2"/>
  <c r="H72" i="2"/>
  <c r="H70" i="2"/>
  <c r="H68" i="2"/>
  <c r="H66" i="2"/>
  <c r="H64" i="2"/>
  <c r="H62" i="2"/>
  <c r="H60" i="2"/>
  <c r="H58" i="2"/>
  <c r="H56" i="2"/>
  <c r="H54" i="2"/>
  <c r="H52" i="2"/>
  <c r="H50" i="2"/>
  <c r="H48" i="2"/>
  <c r="H46" i="2"/>
  <c r="H44" i="2"/>
  <c r="H42" i="2"/>
  <c r="H40" i="2"/>
  <c r="H38" i="2"/>
  <c r="H36" i="2"/>
  <c r="H34" i="2"/>
  <c r="H32" i="2"/>
  <c r="H30" i="2"/>
  <c r="H28" i="2"/>
  <c r="H26" i="2"/>
  <c r="H24" i="2"/>
  <c r="H22" i="2"/>
  <c r="H20" i="2"/>
  <c r="H192" i="2"/>
  <c r="H188" i="2"/>
  <c r="H184" i="2"/>
  <c r="H180" i="2"/>
  <c r="H176" i="2"/>
  <c r="H172" i="2"/>
  <c r="H168" i="2"/>
  <c r="H164" i="2"/>
  <c r="H160" i="2"/>
  <c r="H157" i="2"/>
  <c r="H155" i="2"/>
  <c r="H153" i="2"/>
  <c r="H151" i="2"/>
  <c r="H149" i="2"/>
  <c r="H147" i="2"/>
  <c r="H145" i="2"/>
  <c r="H143" i="2"/>
  <c r="H141" i="2"/>
  <c r="H139" i="2"/>
  <c r="H137" i="2"/>
  <c r="H135" i="2"/>
  <c r="H133" i="2"/>
  <c r="H131" i="2"/>
  <c r="H129" i="2"/>
  <c r="H127" i="2"/>
  <c r="H125" i="2"/>
  <c r="H123" i="2"/>
  <c r="H121" i="2"/>
  <c r="H119" i="2"/>
  <c r="H117" i="2"/>
  <c r="H115" i="2"/>
  <c r="H113" i="2"/>
  <c r="H111" i="2"/>
  <c r="H109" i="2"/>
  <c r="H107" i="2"/>
  <c r="H105" i="2"/>
  <c r="H103" i="2"/>
  <c r="H101" i="2"/>
  <c r="H99" i="2"/>
  <c r="H97" i="2"/>
  <c r="H95" i="2"/>
  <c r="H93" i="2"/>
  <c r="H91" i="2"/>
  <c r="H89" i="2"/>
  <c r="H87" i="2"/>
  <c r="H85" i="2"/>
  <c r="H83" i="2"/>
  <c r="H81" i="2"/>
  <c r="H79" i="2"/>
  <c r="H77" i="2"/>
  <c r="H75" i="2"/>
  <c r="H73" i="2"/>
  <c r="H71" i="2"/>
  <c r="H69" i="2"/>
  <c r="H67" i="2"/>
  <c r="H65" i="2"/>
  <c r="H63" i="2"/>
  <c r="H61" i="2"/>
  <c r="H59" i="2"/>
  <c r="H57" i="2"/>
  <c r="H55" i="2"/>
  <c r="H53" i="2"/>
  <c r="H51" i="2"/>
  <c r="H49" i="2"/>
  <c r="H47" i="2"/>
  <c r="H45" i="2"/>
  <c r="H43" i="2"/>
  <c r="H41" i="2"/>
  <c r="H39" i="2"/>
  <c r="H37" i="2"/>
  <c r="H35" i="2"/>
  <c r="H33" i="2"/>
  <c r="H31" i="2"/>
  <c r="H29" i="2"/>
  <c r="H27" i="2"/>
  <c r="H25" i="2"/>
  <c r="H23" i="2"/>
  <c r="H21" i="2"/>
  <c r="H19" i="2"/>
  <c r="H18" i="2"/>
  <c r="H16" i="2"/>
  <c r="H14" i="2"/>
  <c r="H15" i="2"/>
  <c r="H17" i="2"/>
  <c r="H13" i="2"/>
  <c r="J42" i="2"/>
  <c r="J40" i="2"/>
  <c r="J38" i="2"/>
  <c r="J36" i="2"/>
  <c r="J34" i="2"/>
  <c r="J32" i="2"/>
  <c r="J30" i="2"/>
  <c r="J28" i="2"/>
  <c r="J26" i="2"/>
  <c r="J24" i="2"/>
  <c r="J22" i="2"/>
  <c r="J20" i="2"/>
  <c r="J18" i="2"/>
  <c r="J16" i="2"/>
  <c r="J14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P14" i="2"/>
  <c r="P13" i="2"/>
  <c r="J41" i="2"/>
  <c r="J39" i="2"/>
  <c r="J37" i="2"/>
  <c r="J35" i="2"/>
  <c r="J33" i="2"/>
  <c r="J31" i="2"/>
  <c r="J29" i="2"/>
  <c r="J27" i="2"/>
  <c r="J25" i="2"/>
  <c r="J23" i="2"/>
  <c r="J21" i="2"/>
  <c r="J19" i="2"/>
  <c r="J17" i="2"/>
  <c r="J15" i="2"/>
  <c r="J13" i="2"/>
  <c r="F3" i="2"/>
  <c r="I3" i="2"/>
  <c r="G3" i="2"/>
  <c r="B19" i="2" l="1"/>
  <c r="Q15" i="2" s="1"/>
  <c r="R15" i="2" s="1"/>
  <c r="B11" i="2"/>
  <c r="K13" i="2" s="1"/>
  <c r="Q35" i="2" l="1"/>
  <c r="R35" i="2" s="1"/>
  <c r="Q27" i="2"/>
  <c r="R27" i="2" s="1"/>
  <c r="Q19" i="2"/>
  <c r="R19" i="2" s="1"/>
  <c r="Q39" i="2"/>
  <c r="R39" i="2" s="1"/>
  <c r="Q31" i="2"/>
  <c r="R31" i="2" s="1"/>
  <c r="Q23" i="2"/>
  <c r="R23" i="2" s="1"/>
  <c r="K30" i="2"/>
  <c r="K35" i="2"/>
  <c r="K27" i="2"/>
  <c r="K19" i="2"/>
  <c r="K40" i="2"/>
  <c r="K32" i="2"/>
  <c r="K24" i="2"/>
  <c r="K16" i="2"/>
  <c r="Q40" i="2"/>
  <c r="R40" i="2" s="1"/>
  <c r="Q36" i="2"/>
  <c r="R36" i="2" s="1"/>
  <c r="Q32" i="2"/>
  <c r="R32" i="2" s="1"/>
  <c r="Q28" i="2"/>
  <c r="R28" i="2" s="1"/>
  <c r="Q24" i="2"/>
  <c r="R24" i="2" s="1"/>
  <c r="Q20" i="2"/>
  <c r="R20" i="2" s="1"/>
  <c r="Q16" i="2"/>
  <c r="R16" i="2" s="1"/>
  <c r="K41" i="2"/>
  <c r="K33" i="2"/>
  <c r="K25" i="2"/>
  <c r="K17" i="2"/>
  <c r="K38" i="2"/>
  <c r="K22" i="2"/>
  <c r="K14" i="2"/>
  <c r="K42" i="2"/>
  <c r="K34" i="2"/>
  <c r="K26" i="2"/>
  <c r="K18" i="2"/>
  <c r="Q41" i="2"/>
  <c r="R41" i="2" s="1"/>
  <c r="Q37" i="2"/>
  <c r="R37" i="2" s="1"/>
  <c r="Q33" i="2"/>
  <c r="R33" i="2" s="1"/>
  <c r="Q29" i="2"/>
  <c r="R29" i="2" s="1"/>
  <c r="Q25" i="2"/>
  <c r="R25" i="2" s="1"/>
  <c r="Q21" i="2"/>
  <c r="R21" i="2" s="1"/>
  <c r="Q17" i="2"/>
  <c r="R17" i="2" s="1"/>
  <c r="Q13" i="2"/>
  <c r="R13" i="2" s="1"/>
  <c r="K39" i="2"/>
  <c r="K31" i="2"/>
  <c r="K23" i="2"/>
  <c r="K15" i="2"/>
  <c r="K36" i="2"/>
  <c r="K28" i="2"/>
  <c r="K20" i="2"/>
  <c r="Q42" i="2"/>
  <c r="R42" i="2" s="1"/>
  <c r="Q38" i="2"/>
  <c r="R38" i="2" s="1"/>
  <c r="Q34" i="2"/>
  <c r="R34" i="2" s="1"/>
  <c r="Q30" i="2"/>
  <c r="R30" i="2" s="1"/>
  <c r="Q26" i="2"/>
  <c r="R26" i="2" s="1"/>
  <c r="Q22" i="2"/>
  <c r="R22" i="2" s="1"/>
  <c r="Q18" i="2"/>
  <c r="R18" i="2" s="1"/>
  <c r="Q14" i="2"/>
  <c r="R14" i="2" s="1"/>
  <c r="K37" i="2"/>
  <c r="K29" i="2"/>
  <c r="K21" i="2"/>
  <c r="H3" i="2"/>
  <c r="J3" i="2" s="1"/>
  <c r="G4" i="2" s="1"/>
  <c r="B20" i="2" l="1"/>
  <c r="B21" i="2"/>
  <c r="B22" i="2" s="1"/>
  <c r="J5" i="2" s="1"/>
  <c r="B13" i="2"/>
  <c r="I4" i="2"/>
  <c r="H4" i="2"/>
  <c r="J4" i="2" s="1"/>
  <c r="B14" i="2" s="1"/>
  <c r="B15" i="2" l="1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name="2019-03-12-12-11-32_50020_Rhapsody Vanilla - Crema gata de utilizat - vanilie_Galeata - 6 Kg" type="6" refreshedVersion="4" background="1" refreshOnLoad="1" saveData="1">
    <textPr prompt="0" codePage="437" sourceFile="C:\Home\Krs\Work\Cantar\ScalesAutomation\Distribution\Server\CSVServer\2019-03-12-12-11-32_50020_Rhapsody Vanilla - Crema gata de utilizat - vanilie_Galeata - 6 Kg.csv" tab="0" semicolon="1">
      <textFields count="2">
        <textField/>
        <textField/>
      </textFields>
    </textPr>
  </connection>
  <connection id="3" name="2019-03-12-12-11-32_50020_Rhapsody Vanilla - Crema gata de utilizat - vanilie_Galeata - 6 Kg_Rhapsody Vanilla - Crema gata de utilizat - vanilie_Galeata - 6 Kg" type="6" refreshedVersion="0" background="1">
    <textPr prompt="0" sourceFile="C:\Home\Krs\Work\Cantar\ScalesAutomation\Distribution\Server\CSVServer\2019-03-12-12-11-32_50020_Rhapsody Vanilla - Crema gata de utilizat - vanilie_Galeata - 6 Kg_Rhapsody Vanilla - Crema gata de utilizat - vanilie_Galeata - 6 Kg.csv">
      <textFields>
        <textField/>
      </textFields>
    </textPr>
  </connection>
</connections>
</file>

<file path=xl/sharedStrings.xml><?xml version="1.0" encoding="utf-8"?>
<sst xmlns="http://schemas.openxmlformats.org/spreadsheetml/2006/main" count="520" uniqueCount="493">
  <si>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</si>
  <si>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</si>
  <si>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</si>
  <si>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</si>
  <si>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</si>
  <si>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</si>
  <si>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</si>
  <si>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</si>
  <si>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</si>
  <si>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</si>
  <si>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</si>
  <si>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</si>
  <si>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</si>
  <si>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</si>
  <si>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</si>
  <si>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</si>
  <si>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</si>
  <si>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</si>
  <si>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</si>
  <si>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</si>
  <si>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</si>
  <si>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</si>
  <si>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</si>
  <si>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</si>
  <si>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</si>
  <si>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</si>
  <si>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</si>
  <si>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</si>
  <si>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</si>
  <si>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</si>
  <si>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</si>
  <si>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</si>
  <si>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</si>
  <si>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</si>
  <si>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</si>
  <si>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</si>
  <si>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</si>
  <si>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</si>
  <si>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</si>
  <si>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</si>
  <si>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</si>
  <si>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</si>
  <si>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</si>
  <si>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</si>
  <si>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</si>
  <si>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</si>
  <si>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</si>
  <si>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</si>
  <si>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</si>
  <si>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</si>
  <si>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</si>
  <si>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</si>
  <si>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</si>
  <si>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</si>
  <si>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</si>
  <si>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</si>
  <si>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</si>
  <si>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</si>
  <si>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</si>
  <si>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</si>
  <si>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</si>
  <si>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</si>
  <si>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</si>
  <si>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</si>
  <si>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</si>
  <si>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</si>
  <si>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</si>
  <si>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</si>
  <si>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</si>
  <si>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</si>
  <si>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</si>
  <si>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</si>
  <si>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</si>
  <si>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</si>
  <si>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</si>
  <si>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</si>
  <si>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</si>
  <si>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</si>
  <si>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</si>
  <si>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</si>
  <si>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</si>
  <si>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</si>
  <si>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</si>
  <si>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</si>
  <si>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</si>
  <si>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</si>
  <si>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</si>
  <si>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</si>
  <si>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</si>
  <si>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05:45:12,840</t>
  </si>
  <si>
    <t>05:46:41,912</t>
  </si>
  <si>
    <t>05:48:07,080</t>
  </si>
  <si>
    <t>05:49:28,983</t>
  </si>
  <si>
    <t>05:50:45,043</t>
  </si>
  <si>
    <t>05:51:59,228</t>
  </si>
  <si>
    <t>05:53:12,524</t>
  </si>
  <si>
    <t>05:54:27,397</t>
  </si>
  <si>
    <t>05:55:33,990</t>
  </si>
  <si>
    <t>05:56:47,051</t>
  </si>
  <si>
    <t>05:57:52,442</t>
  </si>
  <si>
    <t>05:59:03,535</t>
  </si>
  <si>
    <t>06:00:11,206</t>
  </si>
  <si>
    <t>06:01:20,876</t>
  </si>
  <si>
    <t>06:02:31,063</t>
  </si>
  <si>
    <t>06:03:40,734</t>
  </si>
  <si>
    <t>06:04:51,936</t>
  </si>
  <si>
    <t>06:06:00,592</t>
  </si>
  <si>
    <t>06:07:09,201</t>
  </si>
  <si>
    <t>06:08:20,449</t>
  </si>
  <si>
    <t>06:09:29,340</t>
  </si>
  <si>
    <t>06:10:40,323</t>
  </si>
  <si>
    <t>06:11:49,400</t>
  </si>
  <si>
    <t>06:12:58,884</t>
  </si>
  <si>
    <t>06:14:10,055</t>
  </si>
  <si>
    <t>06:15:19,742</t>
  </si>
  <si>
    <t>06:16:30,239</t>
  </si>
  <si>
    <t>06:17:39,801</t>
  </si>
  <si>
    <t>06:18:49,472</t>
  </si>
  <si>
    <t>06:19:57,659</t>
  </si>
  <si>
    <t>06:21:08,547</t>
  </si>
  <si>
    <t>06:22:19,015</t>
  </si>
  <si>
    <t>06:23:29,217</t>
  </si>
  <si>
    <t>06:24:38,076</t>
  </si>
  <si>
    <t>06:25:52,762</t>
  </si>
  <si>
    <t>06:27:09,634</t>
  </si>
  <si>
    <t>06:28:06,42</t>
  </si>
  <si>
    <t>06:29:16,42</t>
  </si>
  <si>
    <t>06:30:25,42</t>
  </si>
  <si>
    <t>06:52:52,597</t>
  </si>
  <si>
    <t>06:53:26,104</t>
  </si>
  <si>
    <t>06:54:32,42</t>
  </si>
  <si>
    <t>06:55:51,273</t>
  </si>
  <si>
    <t>06:57:07,240</t>
  </si>
  <si>
    <t>06:58:24,019</t>
  </si>
  <si>
    <t>06:59:49,108</t>
  </si>
  <si>
    <t>07:01:13,557</t>
  </si>
  <si>
    <t>07:02:31,445</t>
  </si>
  <si>
    <t>07:03:52,145</t>
  </si>
  <si>
    <t>07:05:11,999</t>
  </si>
  <si>
    <t>07:06:29,887</t>
  </si>
  <si>
    <t>07:07:45,775</t>
  </si>
  <si>
    <t>07:09:02,351</t>
  </si>
  <si>
    <t>07:10:19,427</t>
  </si>
  <si>
    <t>07:11:37,705</t>
  </si>
  <si>
    <t>07:12:55,765</t>
  </si>
  <si>
    <t>07:14:12,263</t>
  </si>
  <si>
    <t>07:15:22,42</t>
  </si>
  <si>
    <t>07:16:35,823</t>
  </si>
  <si>
    <t>07:17:50,196</t>
  </si>
  <si>
    <t>07:19:00,867</t>
  </si>
  <si>
    <t>07:20:11,334</t>
  </si>
  <si>
    <t>07:21:22,128</t>
  </si>
  <si>
    <t>07:22:34,204</t>
  </si>
  <si>
    <t>07:23:45,906</t>
  </si>
  <si>
    <t>07:24:59,170</t>
  </si>
  <si>
    <t>07:26:13,356</t>
  </si>
  <si>
    <t>07:27:30,619</t>
  </si>
  <si>
    <t>07:28:48,913</t>
  </si>
  <si>
    <t>07:30:03,599</t>
  </si>
  <si>
    <t>07:31:14,254</t>
  </si>
  <si>
    <t>07:32:24,644</t>
  </si>
  <si>
    <t>07:33:36,549</t>
  </si>
  <si>
    <t>07:34:49,203</t>
  </si>
  <si>
    <t>07:36:01,890</t>
  </si>
  <si>
    <t>07:37:13,074</t>
  </si>
  <si>
    <t>07:38:24,745</t>
  </si>
  <si>
    <t>07:39:35,322</t>
  </si>
  <si>
    <t>07:40:46,618</t>
  </si>
  <si>
    <t>07:42:01,304</t>
  </si>
  <si>
    <t>07:43:12,771</t>
  </si>
  <si>
    <t>07:44:22,020</t>
  </si>
  <si>
    <t>07:45:33,426</t>
  </si>
  <si>
    <t>07:46:46,315</t>
  </si>
  <si>
    <t>07:47:57,485</t>
  </si>
  <si>
    <t>07:49:08,562</t>
  </si>
  <si>
    <t>07:50:24,060</t>
  </si>
  <si>
    <t>07:51:36,731</t>
  </si>
  <si>
    <t>07:52:45,323</t>
  </si>
  <si>
    <t>07:53:56,181</t>
  </si>
  <si>
    <t>07:55:09,070</t>
  </si>
  <si>
    <t>07:56:19,241</t>
  </si>
  <si>
    <t>07:57:30,724</t>
  </si>
  <si>
    <t>07:58:42,598</t>
  </si>
  <si>
    <t>07:59:55,487</t>
  </si>
  <si>
    <t>08:01:07,470</t>
  </si>
  <si>
    <t>08:02:19,360</t>
  </si>
  <si>
    <t>08:03:33,045</t>
  </si>
  <si>
    <t>08:04:42,42</t>
  </si>
  <si>
    <t>08:05:53,278</t>
  </si>
  <si>
    <t>08:07:05,574</t>
  </si>
  <si>
    <t>08:08:18,025</t>
  </si>
  <si>
    <t>08:09:31,210</t>
  </si>
  <si>
    <t>08:10:45,302</t>
  </si>
  <si>
    <t>08:12:02,377</t>
  </si>
  <si>
    <t>08:13:18,063</t>
  </si>
  <si>
    <t>08:14:30,42</t>
  </si>
  <si>
    <t>08:15:41,513</t>
  </si>
  <si>
    <t>08:16:55,590</t>
  </si>
  <si>
    <t>08:18:07,682</t>
  </si>
  <si>
    <t>08:19:18,056</t>
  </si>
  <si>
    <t>08:20:30,914</t>
  </si>
  <si>
    <t>08:21:44,614</t>
  </si>
  <si>
    <t>08:22:56,003</t>
  </si>
  <si>
    <t>08:24:22,374</t>
  </si>
  <si>
    <t>08:25:33,761</t>
  </si>
  <si>
    <t>08:26:31,045</t>
  </si>
  <si>
    <t>08:27:39,42</t>
  </si>
  <si>
    <t>08:28:49,42</t>
  </si>
  <si>
    <t>08:30:04,588</t>
  </si>
  <si>
    <t>08:31:18,352</t>
  </si>
  <si>
    <t>08:32:27,867</t>
  </si>
  <si>
    <t>08:33:36,835</t>
  </si>
  <si>
    <t>08:34:48,100</t>
  </si>
  <si>
    <t>08:35:59,364</t>
  </si>
  <si>
    <t>08:37:11,863</t>
  </si>
  <si>
    <t>08:38:27,048</t>
  </si>
  <si>
    <t>08:39:36,516</t>
  </si>
  <si>
    <t>08:40:47,170</t>
  </si>
  <si>
    <t>08:42:07,432</t>
  </si>
  <si>
    <t>08:43:19,947</t>
  </si>
  <si>
    <t>08:44:22,947</t>
  </si>
  <si>
    <t>08:45:32,228</t>
  </si>
  <si>
    <t>08:46:48,195</t>
  </si>
  <si>
    <t>08:47:59,693</t>
  </si>
  <si>
    <t>08:49:09,177</t>
  </si>
  <si>
    <t>08:50:26,643</t>
  </si>
  <si>
    <t>08:51:37,908</t>
  </si>
  <si>
    <t>08:52:51,703</t>
  </si>
  <si>
    <t>08:54:04,389</t>
  </si>
  <si>
    <t>08:55:12,966</t>
  </si>
  <si>
    <t>08:56:25,043</t>
  </si>
  <si>
    <t>08:57:37,118</t>
  </si>
  <si>
    <t>08:58:48,211</t>
  </si>
  <si>
    <t>09:00:33,265</t>
  </si>
  <si>
    <t>09:01:22,456</t>
  </si>
  <si>
    <t>09:02:38,938</t>
  </si>
  <si>
    <t>09:03:59,497</t>
  </si>
  <si>
    <t>09:05:14,902</t>
  </si>
  <si>
    <t>09:06:29,571</t>
  </si>
  <si>
    <t>09:07:46,850</t>
  </si>
  <si>
    <t>09:09:02,317</t>
  </si>
  <si>
    <t>09:10:16,924</t>
  </si>
  <si>
    <t>09:11:35,999</t>
  </si>
  <si>
    <t>09:12:47,262</t>
  </si>
  <si>
    <t>09:14:03,541</t>
  </si>
  <si>
    <t>09:15:23,632</t>
  </si>
  <si>
    <t>09:16:48,705</t>
  </si>
  <si>
    <t>09:18:00,42</t>
  </si>
  <si>
    <t>09:19:16,42</t>
  </si>
  <si>
    <t>09:20:37,42</t>
  </si>
  <si>
    <t>09:21:59,225</t>
  </si>
  <si>
    <t>09:23:17,488</t>
  </si>
  <si>
    <t>09:24:34,173</t>
  </si>
  <si>
    <t>09:25:55,247</t>
  </si>
  <si>
    <t>09:27:16,525</t>
  </si>
  <si>
    <t>09:28:35,803</t>
  </si>
  <si>
    <t>09:29:57,068</t>
  </si>
  <si>
    <t>09:31:16,752</t>
  </si>
  <si>
    <t>09:32:38,826</t>
  </si>
  <si>
    <t>09:33:57,495</t>
  </si>
  <si>
    <t>09:35:17,586</t>
  </si>
  <si>
    <t>09:36:35,42</t>
  </si>
  <si>
    <t>09:37:49,941</t>
  </si>
  <si>
    <t>09:39:00,42</t>
  </si>
  <si>
    <t>09:40:15,188</t>
  </si>
  <si>
    <t>09:41:27,671</t>
  </si>
  <si>
    <t>09:42:39,154</t>
  </si>
  <si>
    <t>09:43:55,230</t>
  </si>
  <si>
    <t>09:45:09,306</t>
  </si>
  <si>
    <t>09:46:21,897</t>
  </si>
  <si>
    <t>09:47:35,754</t>
  </si>
  <si>
    <t>Rhapsody Vanilla - Crema gata de utilizat - vanilie</t>
  </si>
  <si>
    <t>Galeata - 6 Kg</t>
  </si>
  <si>
    <t>12:13:08,45</t>
  </si>
  <si>
    <t>12:15:26,71</t>
  </si>
  <si>
    <t>12:16:58,88</t>
  </si>
  <si>
    <t>12:19:22,53</t>
  </si>
  <si>
    <t>12:21:22,10</t>
  </si>
  <si>
    <t>12:23:27,64</t>
  </si>
  <si>
    <t>12:25:30,43</t>
  </si>
  <si>
    <t>12:27:34,29</t>
  </si>
  <si>
    <t>12:29:33,26</t>
  </si>
  <si>
    <t>12:31:26,63</t>
  </si>
  <si>
    <t>12:33:20,89</t>
  </si>
  <si>
    <t>12:35:46,95</t>
  </si>
  <si>
    <t>12:37:31,34</t>
  </si>
  <si>
    <t>12:39:23,59</t>
  </si>
  <si>
    <t>12:41:15,66</t>
  </si>
  <si>
    <t>12:42:30,36</t>
  </si>
  <si>
    <t>12:44:28,41</t>
  </si>
  <si>
    <t>12:46:00,68</t>
  </si>
  <si>
    <t>12:47:46,86</t>
  </si>
  <si>
    <t>12:49:39,23</t>
  </si>
  <si>
    <t>12:51:26,89</t>
  </si>
  <si>
    <t>12:53:24,67</t>
  </si>
  <si>
    <t>12:55:08,84</t>
  </si>
  <si>
    <t>12:57:00,36</t>
  </si>
  <si>
    <t>12:58:38,58</t>
  </si>
  <si>
    <t>13:00:14,90</t>
  </si>
  <si>
    <t>13:01:55,02</t>
  </si>
  <si>
    <t>13:03:26,39</t>
  </si>
  <si>
    <t>13:05:16,57</t>
  </si>
  <si>
    <t>13:07:18,43</t>
  </si>
  <si>
    <t>13:08:58,70</t>
  </si>
  <si>
    <t>13:10:56,97</t>
  </si>
  <si>
    <t>13:12:38,32</t>
  </si>
  <si>
    <t>13:14:13,61</t>
  </si>
  <si>
    <t>13:15:24,08</t>
  </si>
  <si>
    <t>13:16:42,93</t>
  </si>
  <si>
    <t>13:18:40,94</t>
  </si>
  <si>
    <t>13:20:22,31</t>
  </si>
  <si>
    <t>13:22:07,89</t>
  </si>
  <si>
    <t>13:23:41,65</t>
  </si>
  <si>
    <t>13:25:18,72</t>
  </si>
  <si>
    <t>13:27:02,69</t>
  </si>
  <si>
    <t>13:28:37,67</t>
  </si>
  <si>
    <t>13:30:29,83</t>
  </si>
  <si>
    <t>13:32:02,51</t>
  </si>
  <si>
    <t>13:33:44,08</t>
  </si>
  <si>
    <t>13:35:29,65</t>
  </si>
  <si>
    <t>13:37:00,82</t>
  </si>
  <si>
    <t>13:38:47,29</t>
  </si>
  <si>
    <t>13:40:23,47</t>
  </si>
  <si>
    <t>13:42:03,64</t>
  </si>
  <si>
    <t>13:43:46,00</t>
  </si>
  <si>
    <t>13:45:20,96</t>
  </si>
  <si>
    <t>13:46:57,88</t>
  </si>
  <si>
    <t>13:48:40,04</t>
  </si>
  <si>
    <t>13:50:05,30</t>
  </si>
  <si>
    <t>13:51:54,09</t>
  </si>
  <si>
    <t>13:53:37,85</t>
  </si>
  <si>
    <t>13:55:11,54</t>
  </si>
  <si>
    <t>13:56:51,10</t>
  </si>
  <si>
    <t>13:58:33,87</t>
  </si>
  <si>
    <t>14:00:07,24</t>
  </si>
  <si>
    <t>14:01:43,73</t>
  </si>
  <si>
    <t>14:03:27,49</t>
  </si>
  <si>
    <t>14:05:09,67</t>
  </si>
  <si>
    <t>14:06:37,54</t>
  </si>
  <si>
    <t>14:08:08,52</t>
  </si>
  <si>
    <t>14:09:49,49</t>
  </si>
  <si>
    <t>14:11:16,94</t>
  </si>
  <si>
    <t>14:12:56,13</t>
  </si>
  <si>
    <t>14:15:12,40</t>
  </si>
  <si>
    <t>14:16:48,56</t>
  </si>
  <si>
    <t>14:18:55,42</t>
  </si>
  <si>
    <t>14:20:31,11</t>
  </si>
  <si>
    <t>14:22:18,27</t>
  </si>
  <si>
    <t>14:23:39,36</t>
  </si>
  <si>
    <t>14:25:30,52</t>
  </si>
  <si>
    <t>14:26:51,39</t>
  </si>
  <si>
    <t>14:28:22,38</t>
  </si>
  <si>
    <t>14:30:06,53</t>
  </si>
  <si>
    <t>14:31:19,72</t>
  </si>
  <si>
    <t>14:32:56,30</t>
  </si>
  <si>
    <t>14:34:33,27</t>
  </si>
  <si>
    <t>14:36:05,54</t>
  </si>
  <si>
    <t>14:37:57,51</t>
  </si>
  <si>
    <t>14:39:43,49</t>
  </si>
  <si>
    <t>14:41:21,03</t>
  </si>
  <si>
    <t>14:42:56,63</t>
  </si>
  <si>
    <t>14:45:02,77</t>
  </si>
  <si>
    <t>14:46:46,97</t>
  </si>
  <si>
    <t>14:48:36,13</t>
  </si>
  <si>
    <t>14:50:27,80</t>
  </si>
  <si>
    <t>14:52:00,28</t>
  </si>
  <si>
    <t>14:53:51,73</t>
  </si>
  <si>
    <t>14:55:41,92</t>
  </si>
  <si>
    <t>14:57:41,47</t>
  </si>
  <si>
    <t>14:59:32,50</t>
  </si>
  <si>
    <t>15:01:26,02</t>
  </si>
  <si>
    <t>15:03:16,28</t>
  </si>
  <si>
    <t>15:05:00,85</t>
  </si>
  <si>
    <t>15:06:53,63</t>
  </si>
  <si>
    <t>15:08:35,59</t>
  </si>
  <si>
    <t>15:10:26,36</t>
  </si>
  <si>
    <t>15:12:11,93</t>
  </si>
  <si>
    <t>15:13:55,30</t>
  </si>
  <si>
    <t>15:15:43,87</t>
  </si>
  <si>
    <t>15:17:29,64</t>
  </si>
  <si>
    <t>15:19:13,02</t>
  </si>
  <si>
    <t>15:20:54,56</t>
  </si>
  <si>
    <t>15:22:34,66</t>
  </si>
  <si>
    <t>15:24:23,04</t>
  </si>
  <si>
    <t>15:26:08,41</t>
  </si>
  <si>
    <t>15:27:51,96</t>
  </si>
  <si>
    <t>15:30:05,43</t>
  </si>
  <si>
    <t>15:31:42,20</t>
  </si>
  <si>
    <t>15:33:20,58</t>
  </si>
  <si>
    <t>15:35:10,95</t>
  </si>
  <si>
    <t>15:36:22,14</t>
  </si>
  <si>
    <t>15:38:18,80</t>
  </si>
  <si>
    <t>15:40:00,96</t>
  </si>
  <si>
    <t>15:41:56,74</t>
  </si>
  <si>
    <t>15:43:40,70</t>
  </si>
  <si>
    <t>15:45:51,77</t>
  </si>
  <si>
    <t>15:47:27,88</t>
  </si>
  <si>
    <t>15:49:21,70</t>
  </si>
  <si>
    <t>15:50:54,94</t>
  </si>
  <si>
    <t>15:51:50,96</t>
  </si>
  <si>
    <t>15:53:30,94</t>
  </si>
  <si>
    <t>15:55:25,21</t>
  </si>
  <si>
    <t>15:56:52,28</t>
  </si>
  <si>
    <t>15:58:32,46</t>
  </si>
  <si>
    <t>16:00:23,23</t>
  </si>
  <si>
    <t>16:02:05,19</t>
  </si>
  <si>
    <t>16:03:49,46</t>
  </si>
  <si>
    <t>16:05:28,42</t>
  </si>
  <si>
    <t>16:06:57,62</t>
  </si>
  <si>
    <t>16:08:38,38</t>
  </si>
  <si>
    <t>16:10:15,86</t>
  </si>
  <si>
    <t>16:12:05,83</t>
  </si>
  <si>
    <t>16:13:43,21</t>
  </si>
  <si>
    <t>16:15:10,90</t>
  </si>
  <si>
    <t>16:17:00,15</t>
  </si>
  <si>
    <t>16:18:42,63</t>
  </si>
  <si>
    <t>16:20:20,59</t>
  </si>
  <si>
    <t>16:21:55,07</t>
  </si>
  <si>
    <t>16:23:34,81</t>
  </si>
  <si>
    <t>16:24:58,52</t>
  </si>
  <si>
    <t>16:26:37,30</t>
  </si>
  <si>
    <t>16:28:26,05</t>
  </si>
  <si>
    <t>16:29:50,33</t>
  </si>
  <si>
    <t>16:31:24,71</t>
  </si>
  <si>
    <t>16:33:00,28</t>
  </si>
  <si>
    <t>16:34:37,37</t>
  </si>
  <si>
    <t>16:36:14,92</t>
  </si>
  <si>
    <t>16:38:11,07</t>
  </si>
  <si>
    <t>16:39:52,26</t>
  </si>
  <si>
    <t>16:41:18,56</t>
  </si>
  <si>
    <t>16:43:01,72</t>
  </si>
  <si>
    <t>16:44:16,39</t>
  </si>
  <si>
    <t>16:45:48,46</t>
  </si>
  <si>
    <t>16:47:24,83</t>
  </si>
  <si>
    <t>16:48:55,20</t>
  </si>
  <si>
    <t>16:50:33,28</t>
  </si>
  <si>
    <t>16:52:13,67</t>
  </si>
  <si>
    <t>16:53:45,82</t>
  </si>
  <si>
    <t>16:55:12,31</t>
  </si>
  <si>
    <t>16:56:37,59</t>
  </si>
  <si>
    <t>16:58:21,55</t>
  </si>
  <si>
    <t>16:59:58,53</t>
  </si>
  <si>
    <t>17:01:30,82</t>
  </si>
  <si>
    <t>17:03:09,18</t>
  </si>
  <si>
    <t>17:04:30,16</t>
  </si>
  <si>
    <t>17:06:02,31</t>
  </si>
  <si>
    <t>17:07:37,10</t>
  </si>
  <si>
    <t>17:09:08,78</t>
  </si>
  <si>
    <t>17:10:31,64</t>
  </si>
  <si>
    <t>17:11:54,32</t>
  </si>
  <si>
    <t>17:13:30,91</t>
  </si>
  <si>
    <t>17:15:00,86</t>
  </si>
  <si>
    <t>17:16:36,13</t>
  </si>
  <si>
    <t>17:18:15,33</t>
  </si>
  <si>
    <t>17:19:50,68</t>
  </si>
  <si>
    <t>17:21:22,77</t>
  </si>
  <si>
    <t>17:23:01,74</t>
  </si>
  <si>
    <t>17:24:27,21</t>
  </si>
  <si>
    <t>17:26:02,09</t>
  </si>
  <si>
    <t>17:27:30,85</t>
  </si>
  <si>
    <t>17:28:59,13</t>
  </si>
  <si>
    <t>17:30:32,11</t>
  </si>
  <si>
    <t>17:31:57,79</t>
  </si>
  <si>
    <t>17:33:30,06</t>
  </si>
  <si>
    <t>17:34:54,03</t>
  </si>
  <si>
    <t>17:36:40,71</t>
  </si>
  <si>
    <t>17:38:12,07</t>
  </si>
  <si>
    <t>17:39:30,76</t>
  </si>
  <si>
    <t>17:40:57,44</t>
  </si>
  <si>
    <t>17:42:28,01</t>
  </si>
  <si>
    <t>17:43:50,38</t>
  </si>
  <si>
    <t>17:45:16,35</t>
  </si>
  <si>
    <t>17:46:41,64</t>
  </si>
  <si>
    <t>17:48:10,90</t>
  </si>
  <si>
    <t>17:49:50,68</t>
  </si>
  <si>
    <t>17:51:23,06</t>
  </si>
  <si>
    <t>17:52:44,74</t>
  </si>
  <si>
    <t>17:54:12,83</t>
  </si>
  <si>
    <t>17:55:41,90</t>
  </si>
  <si>
    <t>17:57:25,86</t>
  </si>
  <si>
    <t>17:58:49,64</t>
  </si>
  <si>
    <t>18:00:09,53</t>
  </si>
  <si>
    <t>18:01:51,38</t>
  </si>
  <si>
    <t>18:03:16,06</t>
  </si>
  <si>
    <t>18:04:57,23</t>
  </si>
  <si>
    <t>18:06:30,59</t>
  </si>
  <si>
    <t>18:07:42,50</t>
  </si>
  <si>
    <t>18:09:21,35</t>
  </si>
  <si>
    <t>18:11:11,03</t>
  </si>
  <si>
    <t>18:12:58,09</t>
  </si>
  <si>
    <t>18:14:55,77</t>
  </si>
  <si>
    <t>18:16:34,15</t>
  </si>
  <si>
    <t>18:18:25,08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</si>
</sst>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"/>
    <numFmt numFmtId="166" formatCode="0.00000"/>
    <numFmt numFmtId="167" formatCode="0.000000"/>
    <numFmt numFmtId="168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1" fontId="0" fillId="0" borderId="0" xfId="0" applyNumberFormat="1"/>
    <xf numFmtId="1" fontId="10" fillId="0" borderId="2" xfId="0" applyNumberFormat="1" applyFont="1" applyBorder="1" applyAlignment="1">
      <alignment horizontal="center" wrapText="1"/>
    </xf>
    <xf numFmtId="1" fontId="0" fillId="0" borderId="0" xfId="0" applyNumberFormat="1" applyFont="1" applyAlignment="1">
      <alignment horizontal="right"/>
    </xf>
    <xf numFmtId="1" fontId="0" fillId="2" borderId="0" xfId="0" applyNumberFormat="1" applyFill="1" applyAlignment="1">
      <alignment horizontal="center"/>
    </xf>
    <xf numFmtId="1" fontId="4" fillId="0" borderId="0" xfId="0" applyNumberFormat="1" applyFont="1" applyAlignment="1">
      <alignment horizontal="center" vertical="center" wrapText="1"/>
    </xf>
    <xf numFmtId="1" fontId="0" fillId="4" borderId="0" xfId="0" applyNumberFormat="1" applyFill="1" applyAlignment="1">
      <alignment horizontal="center"/>
    </xf>
    <xf numFmtId="168" fontId="0" fillId="0" borderId="0" xfId="0" applyNumberFormat="1" applyAlignment="1">
      <alignment horizontal="right"/>
    </xf>
    <xf numFmtId="14" fontId="0" fillId="0" borderId="0" xfId="0" applyNumberFormat="1"/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yVal>
            <c:numRef>
              <c:f>RawData!$B$2:$B$181</c:f>
              <c:numCache>
                <c:formatCode>General</c:formatCode>
                <c:ptCount val="180"/>
                <c:pt idx="0">
                  <c:v>6020</c:v>
                </c:pt>
                <c:pt idx="1">
                  <c:v>6000</c:v>
                </c:pt>
                <c:pt idx="2">
                  <c:v>6020</c:v>
                </c:pt>
                <c:pt idx="3">
                  <c:v>6020</c:v>
                </c:pt>
                <c:pt idx="4">
                  <c:v>6020</c:v>
                </c:pt>
                <c:pt idx="5">
                  <c:v>6020</c:v>
                </c:pt>
                <c:pt idx="6">
                  <c:v>6000</c:v>
                </c:pt>
                <c:pt idx="7">
                  <c:v>6020</c:v>
                </c:pt>
                <c:pt idx="8">
                  <c:v>6000</c:v>
                </c:pt>
                <c:pt idx="9">
                  <c:v>6000</c:v>
                </c:pt>
                <c:pt idx="10">
                  <c:v>6000</c:v>
                </c:pt>
                <c:pt idx="11">
                  <c:v>6020</c:v>
                </c:pt>
                <c:pt idx="12">
                  <c:v>6000</c:v>
                </c:pt>
                <c:pt idx="13">
                  <c:v>6020</c:v>
                </c:pt>
                <c:pt idx="14">
                  <c:v>6020</c:v>
                </c:pt>
                <c:pt idx="15">
                  <c:v>6020</c:v>
                </c:pt>
                <c:pt idx="16">
                  <c:v>6040</c:v>
                </c:pt>
                <c:pt idx="17">
                  <c:v>6000</c:v>
                </c:pt>
                <c:pt idx="18">
                  <c:v>6000</c:v>
                </c:pt>
                <c:pt idx="19">
                  <c:v>6000</c:v>
                </c:pt>
                <c:pt idx="20">
                  <c:v>6000</c:v>
                </c:pt>
                <c:pt idx="21">
                  <c:v>6100</c:v>
                </c:pt>
                <c:pt idx="22">
                  <c:v>6000</c:v>
                </c:pt>
                <c:pt idx="23">
                  <c:v>5980</c:v>
                </c:pt>
                <c:pt idx="24">
                  <c:v>6000</c:v>
                </c:pt>
                <c:pt idx="25">
                  <c:v>6000</c:v>
                </c:pt>
                <c:pt idx="26">
                  <c:v>6000</c:v>
                </c:pt>
                <c:pt idx="27">
                  <c:v>6020</c:v>
                </c:pt>
                <c:pt idx="28">
                  <c:v>6020</c:v>
                </c:pt>
                <c:pt idx="29">
                  <c:v>6020</c:v>
                </c:pt>
                <c:pt idx="30">
                  <c:v>6000</c:v>
                </c:pt>
                <c:pt idx="31">
                  <c:v>6000</c:v>
                </c:pt>
                <c:pt idx="32">
                  <c:v>6020</c:v>
                </c:pt>
                <c:pt idx="33">
                  <c:v>6000</c:v>
                </c:pt>
                <c:pt idx="34">
                  <c:v>6000</c:v>
                </c:pt>
                <c:pt idx="35">
                  <c:v>6000</c:v>
                </c:pt>
                <c:pt idx="36">
                  <c:v>6000</c:v>
                </c:pt>
                <c:pt idx="37">
                  <c:v>6000</c:v>
                </c:pt>
                <c:pt idx="38">
                  <c:v>6020</c:v>
                </c:pt>
                <c:pt idx="39">
                  <c:v>6000</c:v>
                </c:pt>
                <c:pt idx="40">
                  <c:v>6000</c:v>
                </c:pt>
                <c:pt idx="41">
                  <c:v>6020</c:v>
                </c:pt>
                <c:pt idx="42">
                  <c:v>6000</c:v>
                </c:pt>
                <c:pt idx="43">
                  <c:v>6020</c:v>
                </c:pt>
                <c:pt idx="44">
                  <c:v>6000</c:v>
                </c:pt>
                <c:pt idx="45">
                  <c:v>6040</c:v>
                </c:pt>
                <c:pt idx="46">
                  <c:v>6000</c:v>
                </c:pt>
                <c:pt idx="47">
                  <c:v>6020</c:v>
                </c:pt>
                <c:pt idx="48">
                  <c:v>6020</c:v>
                </c:pt>
                <c:pt idx="49">
                  <c:v>6000</c:v>
                </c:pt>
                <c:pt idx="50">
                  <c:v>6020</c:v>
                </c:pt>
                <c:pt idx="51">
                  <c:v>6020</c:v>
                </c:pt>
                <c:pt idx="52">
                  <c:v>6000</c:v>
                </c:pt>
                <c:pt idx="53">
                  <c:v>6000</c:v>
                </c:pt>
                <c:pt idx="54">
                  <c:v>6000</c:v>
                </c:pt>
                <c:pt idx="55">
                  <c:v>5980</c:v>
                </c:pt>
                <c:pt idx="56">
                  <c:v>6020</c:v>
                </c:pt>
                <c:pt idx="57">
                  <c:v>6020</c:v>
                </c:pt>
                <c:pt idx="58">
                  <c:v>6000</c:v>
                </c:pt>
                <c:pt idx="59">
                  <c:v>6000</c:v>
                </c:pt>
                <c:pt idx="60">
                  <c:v>6020</c:v>
                </c:pt>
                <c:pt idx="61">
                  <c:v>6020</c:v>
                </c:pt>
                <c:pt idx="62">
                  <c:v>5980</c:v>
                </c:pt>
                <c:pt idx="63">
                  <c:v>6000</c:v>
                </c:pt>
                <c:pt idx="64">
                  <c:v>5980</c:v>
                </c:pt>
                <c:pt idx="65">
                  <c:v>6000</c:v>
                </c:pt>
                <c:pt idx="66">
                  <c:v>6000</c:v>
                </c:pt>
                <c:pt idx="67">
                  <c:v>6020</c:v>
                </c:pt>
                <c:pt idx="68">
                  <c:v>6020</c:v>
                </c:pt>
                <c:pt idx="69">
                  <c:v>6040</c:v>
                </c:pt>
                <c:pt idx="70">
                  <c:v>6060</c:v>
                </c:pt>
                <c:pt idx="71">
                  <c:v>6000</c:v>
                </c:pt>
                <c:pt idx="72">
                  <c:v>6000</c:v>
                </c:pt>
                <c:pt idx="73">
                  <c:v>6000</c:v>
                </c:pt>
                <c:pt idx="74">
                  <c:v>6000</c:v>
                </c:pt>
                <c:pt idx="75">
                  <c:v>6000</c:v>
                </c:pt>
                <c:pt idx="76">
                  <c:v>6020</c:v>
                </c:pt>
                <c:pt idx="77">
                  <c:v>5980</c:v>
                </c:pt>
                <c:pt idx="78">
                  <c:v>5980</c:v>
                </c:pt>
                <c:pt idx="79">
                  <c:v>6040</c:v>
                </c:pt>
                <c:pt idx="80">
                  <c:v>6020</c:v>
                </c:pt>
                <c:pt idx="81">
                  <c:v>6020</c:v>
                </c:pt>
                <c:pt idx="82">
                  <c:v>6000</c:v>
                </c:pt>
                <c:pt idx="83">
                  <c:v>6000</c:v>
                </c:pt>
                <c:pt idx="84">
                  <c:v>6000</c:v>
                </c:pt>
                <c:pt idx="85">
                  <c:v>6000</c:v>
                </c:pt>
                <c:pt idx="86">
                  <c:v>6000</c:v>
                </c:pt>
                <c:pt idx="87">
                  <c:v>6020</c:v>
                </c:pt>
                <c:pt idx="88">
                  <c:v>6000</c:v>
                </c:pt>
                <c:pt idx="89">
                  <c:v>5960</c:v>
                </c:pt>
                <c:pt idx="90">
                  <c:v>6000</c:v>
                </c:pt>
                <c:pt idx="91">
                  <c:v>6020</c:v>
                </c:pt>
                <c:pt idx="92">
                  <c:v>6000</c:v>
                </c:pt>
                <c:pt idx="93">
                  <c:v>6000</c:v>
                </c:pt>
                <c:pt idx="94">
                  <c:v>6000</c:v>
                </c:pt>
                <c:pt idx="95">
                  <c:v>6040</c:v>
                </c:pt>
                <c:pt idx="96">
                  <c:v>5980</c:v>
                </c:pt>
                <c:pt idx="97">
                  <c:v>6020</c:v>
                </c:pt>
                <c:pt idx="98">
                  <c:v>6000</c:v>
                </c:pt>
                <c:pt idx="99">
                  <c:v>5980</c:v>
                </c:pt>
                <c:pt idx="100">
                  <c:v>6020</c:v>
                </c:pt>
                <c:pt idx="101">
                  <c:v>6000</c:v>
                </c:pt>
                <c:pt idx="102">
                  <c:v>6020</c:v>
                </c:pt>
                <c:pt idx="103">
                  <c:v>6020</c:v>
                </c:pt>
                <c:pt idx="104">
                  <c:v>6020</c:v>
                </c:pt>
                <c:pt idx="105">
                  <c:v>6020</c:v>
                </c:pt>
                <c:pt idx="106">
                  <c:v>6020</c:v>
                </c:pt>
                <c:pt idx="107">
                  <c:v>5980</c:v>
                </c:pt>
                <c:pt idx="108">
                  <c:v>6000</c:v>
                </c:pt>
                <c:pt idx="109">
                  <c:v>6020</c:v>
                </c:pt>
                <c:pt idx="110">
                  <c:v>6000</c:v>
                </c:pt>
                <c:pt idx="111">
                  <c:v>6060</c:v>
                </c:pt>
                <c:pt idx="112">
                  <c:v>6000</c:v>
                </c:pt>
                <c:pt idx="113">
                  <c:v>6040</c:v>
                </c:pt>
                <c:pt idx="114">
                  <c:v>6040</c:v>
                </c:pt>
                <c:pt idx="115">
                  <c:v>6020</c:v>
                </c:pt>
                <c:pt idx="116">
                  <c:v>5980</c:v>
                </c:pt>
                <c:pt idx="117">
                  <c:v>6000</c:v>
                </c:pt>
                <c:pt idx="118">
                  <c:v>6000</c:v>
                </c:pt>
                <c:pt idx="119">
                  <c:v>5980</c:v>
                </c:pt>
                <c:pt idx="120">
                  <c:v>6180</c:v>
                </c:pt>
                <c:pt idx="121">
                  <c:v>5980</c:v>
                </c:pt>
                <c:pt idx="122">
                  <c:v>6020</c:v>
                </c:pt>
                <c:pt idx="123">
                  <c:v>6000</c:v>
                </c:pt>
                <c:pt idx="124">
                  <c:v>6020</c:v>
                </c:pt>
                <c:pt idx="125">
                  <c:v>6000</c:v>
                </c:pt>
                <c:pt idx="126">
                  <c:v>6000</c:v>
                </c:pt>
                <c:pt idx="127">
                  <c:v>6020</c:v>
                </c:pt>
                <c:pt idx="128">
                  <c:v>6020</c:v>
                </c:pt>
                <c:pt idx="129">
                  <c:v>6000</c:v>
                </c:pt>
                <c:pt idx="130">
                  <c:v>6040</c:v>
                </c:pt>
                <c:pt idx="131">
                  <c:v>6060</c:v>
                </c:pt>
                <c:pt idx="132">
                  <c:v>6000</c:v>
                </c:pt>
                <c:pt idx="133">
                  <c:v>6000</c:v>
                </c:pt>
                <c:pt idx="134">
                  <c:v>6000</c:v>
                </c:pt>
                <c:pt idx="135">
                  <c:v>6020</c:v>
                </c:pt>
                <c:pt idx="136">
                  <c:v>6000</c:v>
                </c:pt>
                <c:pt idx="137">
                  <c:v>5980</c:v>
                </c:pt>
                <c:pt idx="138">
                  <c:v>6000</c:v>
                </c:pt>
                <c:pt idx="139">
                  <c:v>6040</c:v>
                </c:pt>
                <c:pt idx="140">
                  <c:v>6000</c:v>
                </c:pt>
                <c:pt idx="141">
                  <c:v>6020</c:v>
                </c:pt>
                <c:pt idx="142">
                  <c:v>6000</c:v>
                </c:pt>
                <c:pt idx="143">
                  <c:v>6000</c:v>
                </c:pt>
                <c:pt idx="144">
                  <c:v>6000</c:v>
                </c:pt>
                <c:pt idx="145">
                  <c:v>6020</c:v>
                </c:pt>
                <c:pt idx="146">
                  <c:v>6000</c:v>
                </c:pt>
                <c:pt idx="147">
                  <c:v>6040</c:v>
                </c:pt>
                <c:pt idx="148">
                  <c:v>6000</c:v>
                </c:pt>
                <c:pt idx="149">
                  <c:v>6020</c:v>
                </c:pt>
                <c:pt idx="150">
                  <c:v>6020</c:v>
                </c:pt>
                <c:pt idx="151">
                  <c:v>6000</c:v>
                </c:pt>
                <c:pt idx="152">
                  <c:v>6000</c:v>
                </c:pt>
                <c:pt idx="153">
                  <c:v>6000</c:v>
                </c:pt>
                <c:pt idx="154">
                  <c:v>6000</c:v>
                </c:pt>
                <c:pt idx="155">
                  <c:v>5980</c:v>
                </c:pt>
                <c:pt idx="156">
                  <c:v>5960</c:v>
                </c:pt>
                <c:pt idx="157">
                  <c:v>5980</c:v>
                </c:pt>
                <c:pt idx="158">
                  <c:v>6000</c:v>
                </c:pt>
                <c:pt idx="159">
                  <c:v>6000</c:v>
                </c:pt>
                <c:pt idx="160">
                  <c:v>6000</c:v>
                </c:pt>
                <c:pt idx="161">
                  <c:v>6000</c:v>
                </c:pt>
                <c:pt idx="162">
                  <c:v>6040</c:v>
                </c:pt>
                <c:pt idx="163">
                  <c:v>6020</c:v>
                </c:pt>
                <c:pt idx="164">
                  <c:v>6020</c:v>
                </c:pt>
                <c:pt idx="165">
                  <c:v>6040</c:v>
                </c:pt>
                <c:pt idx="166">
                  <c:v>6000</c:v>
                </c:pt>
                <c:pt idx="167">
                  <c:v>6000</c:v>
                </c:pt>
                <c:pt idx="168">
                  <c:v>6040</c:v>
                </c:pt>
                <c:pt idx="169">
                  <c:v>6000</c:v>
                </c:pt>
                <c:pt idx="170">
                  <c:v>6000</c:v>
                </c:pt>
                <c:pt idx="171">
                  <c:v>6000</c:v>
                </c:pt>
                <c:pt idx="172">
                  <c:v>6000</c:v>
                </c:pt>
                <c:pt idx="173">
                  <c:v>6000</c:v>
                </c:pt>
                <c:pt idx="174">
                  <c:v>6000</c:v>
                </c:pt>
                <c:pt idx="175">
                  <c:v>6000</c:v>
                </c:pt>
                <c:pt idx="176">
                  <c:v>6000</c:v>
                </c:pt>
                <c:pt idx="177">
                  <c:v>6000</c:v>
                </c:pt>
                <c:pt idx="178">
                  <c:v>6020</c:v>
                </c:pt>
                <c:pt idx="179">
                  <c:v>6020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33952"/>
        <c:axId val="193733376"/>
      </c:scatterChart>
      <c:valAx>
        <c:axId val="183933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733376"/>
        <c:crosses val="autoZero"/>
        <c:crossBetween val="midCat"/>
      </c:valAx>
      <c:valAx>
        <c:axId val="19373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33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406400</xdr:colOff>
      <xdr:row>30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est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739"/>
  <sheetViews>
    <sheetView tabSelected="1" zoomScaleNormal="100" zoomScaleSheetLayoutView="130" workbookViewId="0">
      <selection activeCell="H13" sqref="H13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49" customWidth="1"/>
    <col min="7" max="7" width="10.140625" style="7" customWidth="1"/>
    <col min="8" max="8" width="14.7109375" style="3" customWidth="1"/>
    <col min="9" max="9" width="11" style="6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64" customWidth="1"/>
    <col min="16" max="16" width="14.85546875" style="55" bestFit="1" customWidth="1"/>
    <col min="17" max="17" width="16" style="61" bestFit="1" customWidth="1"/>
    <col min="18" max="18" width="12" style="54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5" t="str">
        <f>IF(AND(OR(ES1_Status = "Ok",ES1_Status = "ES2 Necesar"), ES2_Status &lt;&gt; "Not Ok", ES3_Status = "Ok"), "Lot Acceptat","Lot Respins")</f>
        <v>Lot Acceptat</v>
      </c>
      <c r="B2" s="76"/>
      <c r="C2" s="5"/>
      <c r="D2" s="5"/>
      <c r="E2" s="3"/>
      <c r="F2" s="50" t="s">
        <v>62</v>
      </c>
      <c r="G2" s="30" t="s">
        <v>44</v>
      </c>
      <c r="H2" s="30" t="s">
        <v>46</v>
      </c>
      <c r="I2" s="68" t="s">
        <v>45</v>
      </c>
      <c r="J2" s="59" t="s">
        <v>47</v>
      </c>
    </row>
    <row r="3" spans="1:18" x14ac:dyDescent="0.25">
      <c r="A3" s="2" t="s">
        <v>2</v>
      </c>
      <c r="B3" s="7" t="str">
        <f>RawData!E1</f>
        <v>Rhapsody Vanilla - Crema gata de utilizat - vanilie</v>
      </c>
      <c r="C3" s="3"/>
      <c r="D3" s="3"/>
      <c r="E3" s="3" t="s">
        <v>63</v>
      </c>
      <c r="F3" s="67">
        <f>IF(ML&lt;=100,ML,IF(ML&gt;3201,80, IF(ML&gt;=501,50, IF(ML&gt;100,30,ML))))</f>
        <v>30</v>
      </c>
      <c r="G3" s="32">
        <f>IF(ML=30,1, IF(ML=50,2, IF(ML=80,3,1)))</f>
        <v>1</v>
      </c>
      <c r="H3" s="35">
        <f>COUNTIF(K:K, "Not Ok")</f>
        <v>0</v>
      </c>
      <c r="I3" s="67">
        <f>IF(ML=30,3, IF(ML=50,5, IF(ML=80,7,3)))</f>
        <v>3</v>
      </c>
      <c r="J3" s="7" t="str">
        <f>IF(ML=0,"Not Ok",IF(CA_1&gt;=RN_1,"Ok",IF(RN_1&gt;=CR_1,"Not Ok",IF(ES_1=ML,"Not Ok","ES2 Necesar"))))</f>
        <v>Ok</v>
      </c>
    </row>
    <row r="4" spans="1:18" x14ac:dyDescent="0.25">
      <c r="A4" s="2" t="s">
        <v>1</v>
      </c>
      <c r="B4" s="22">
        <f>RawData!D1</f>
        <v>50020</v>
      </c>
      <c r="C4" s="3"/>
      <c r="D4" s="3"/>
      <c r="E4" s="3" t="s">
        <v>64</v>
      </c>
      <c r="F4" s="67">
        <v>0</v>
      </c>
      <c r="G4" s="33" t="str">
        <f>IF(ES1_Status="ES2 Necesar",IF(ML=30,4, IF(ML=50,6, IF(ML=80,8,4))),"")</f>
        <v/>
      </c>
      <c r="H4" s="36" t="str">
        <f>IF(ES1_Status="ES2 Necesar",COUNTIF(N:N, "Not Ok"),"")</f>
        <v/>
      </c>
      <c r="I4" s="69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70">
        <f>RawData!I1</f>
        <v>43536</v>
      </c>
      <c r="E5" s="3" t="s">
        <v>65</v>
      </c>
      <c r="F5" s="67">
        <v>30</v>
      </c>
      <c r="G5" s="74"/>
      <c r="H5" s="74"/>
      <c r="I5" s="74"/>
      <c r="J5" s="7" t="str">
        <f>IF(ES_3=0,"Not Ok",IF(Xi&gt;=QnES3 - 0.503 * s,"Ok","Not Ok"))</f>
        <v>Ok</v>
      </c>
    </row>
    <row r="6" spans="1:18" x14ac:dyDescent="0.25">
      <c r="A6" s="2" t="s">
        <v>7</v>
      </c>
      <c r="B6" s="22">
        <v>182</v>
      </c>
      <c r="C6" s="3"/>
      <c r="D6" s="3"/>
      <c r="E6"/>
      <c r="F6" s="51"/>
      <c r="K6" s="37"/>
    </row>
    <row r="7" spans="1:18" x14ac:dyDescent="0.25">
      <c r="A7" s="2" t="s">
        <v>4</v>
      </c>
      <c r="B7" s="7">
        <f>IF(ISERROR(VALUE(RawData!G1)), LEFT(RawData!G1, FIND("Kg",RawData!G1)-1), RawData!G1/1000)</f>
        <v>6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Galeata - 6 Kg</v>
      </c>
      <c r="C8" s="3"/>
      <c r="D8" s="3"/>
      <c r="E8"/>
      <c r="F8" s="51"/>
    </row>
    <row r="9" spans="1:18" x14ac:dyDescent="0.25">
      <c r="A9" t="s">
        <v>5</v>
      </c>
      <c r="B9" s="49">
        <f>IF(ISERROR(VALUE(RawData!H1)), LEFT(RawData!H1, FIND("Kg",RawData!H1)-1), RawData!H1/1000)</f>
        <v>0.19</v>
      </c>
      <c r="C9" s="6" t="s">
        <v>0</v>
      </c>
      <c r="E9"/>
      <c r="F9" s="51"/>
    </row>
    <row r="10" spans="1:18" x14ac:dyDescent="0.25">
      <c r="A10" s="2" t="s">
        <v>6</v>
      </c>
      <c r="B10" s="49">
        <v>0.3</v>
      </c>
      <c r="C10" s="6" t="s">
        <v>0</v>
      </c>
      <c r="E10"/>
      <c r="F10" s="51"/>
    </row>
    <row r="11" spans="1:18" x14ac:dyDescent="0.25">
      <c r="A11" s="2" t="s">
        <v>8</v>
      </c>
      <c r="B11" s="49">
        <f>Qn-ENT</f>
        <v>5.7</v>
      </c>
      <c r="C11" s="6" t="s">
        <v>0</v>
      </c>
      <c r="D11" s="6"/>
      <c r="E11" s="77" t="s">
        <v>58</v>
      </c>
      <c r="F11" s="78"/>
      <c r="G11" s="78"/>
      <c r="H11" s="78"/>
      <c r="I11" s="79" t="s">
        <v>59</v>
      </c>
      <c r="J11" s="80"/>
      <c r="K11" s="80"/>
      <c r="L11" s="81" t="s">
        <v>60</v>
      </c>
      <c r="M11" s="82"/>
      <c r="N11" s="82"/>
      <c r="O11" s="72" t="s">
        <v>61</v>
      </c>
      <c r="P11" s="73"/>
      <c r="Q11" s="73"/>
      <c r="R11" s="73"/>
    </row>
    <row r="12" spans="1:18" ht="90" x14ac:dyDescent="0.25">
      <c r="E12" s="47" t="s">
        <v>48</v>
      </c>
      <c r="F12" s="52" t="s">
        <v>49</v>
      </c>
      <c r="G12" s="47" t="s">
        <v>50</v>
      </c>
      <c r="H12" s="48" t="s">
        <v>88</v>
      </c>
      <c r="I12" s="65" t="s">
        <v>48</v>
      </c>
      <c r="J12" s="48" t="s">
        <v>72</v>
      </c>
      <c r="K12" s="47" t="s">
        <v>52</v>
      </c>
      <c r="L12" s="47" t="s">
        <v>48</v>
      </c>
      <c r="M12" s="47" t="s">
        <v>71</v>
      </c>
      <c r="N12" s="47" t="s">
        <v>53</v>
      </c>
      <c r="O12" s="65" t="s">
        <v>48</v>
      </c>
      <c r="P12" s="56" t="s">
        <v>73</v>
      </c>
      <c r="Q12" s="62" t="s">
        <v>74</v>
      </c>
      <c r="R12" s="53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20.419999999999998</v>
      </c>
      <c r="G13" t="s">
        <v>89</v>
      </c>
      <c r="H13" s="34" t="str">
        <f t="shared" ref="H13:H44" si="0">IF(Qn-(F13-Ta)&gt;2*ENT,"Fara E","Ok")</f>
        <v>Ok</v>
      </c>
      <c r="I13" s="66">
        <f>E13</f>
        <v>1</v>
      </c>
      <c r="J13" s="60">
        <f>F13-Ta</f>
        <v>20.229999999999997</v>
      </c>
      <c r="K13" s="34" t="str">
        <f t="shared" ref="K13:K42" si="1">IF(J13&gt;=CMA,"Ok","Not Ok")</f>
        <v>Ok</v>
      </c>
      <c r="L13" s="34"/>
      <c r="M13" s="34"/>
      <c r="N13" s="34"/>
      <c r="O13" s="66">
        <f>E17</f>
        <v>5</v>
      </c>
      <c r="P13" s="57">
        <f>F17-Ta</f>
        <v>20.249999999999996</v>
      </c>
      <c r="Q13" s="63">
        <f t="shared" ref="Q13:Q42" si="2">P13-Xi</f>
        <v>1.9999999999992468E-2</v>
      </c>
      <c r="R13" s="54">
        <f t="shared" ref="R13:R42" si="3">POWER(Q13,2)</f>
        <v>3.9999999999969872E-4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20.419999999999998</v>
      </c>
      <c r="G14" t="s">
        <v>90</v>
      </c>
      <c r="H14" s="34" t="str">
        <f t="shared" si="0"/>
        <v>Ok</v>
      </c>
      <c r="I14" s="66">
        <f>E20</f>
        <v>8</v>
      </c>
      <c r="J14" s="60">
        <f>F20-Ta</f>
        <v>20.229999999999997</v>
      </c>
      <c r="K14" s="34" t="str">
        <f t="shared" si="1"/>
        <v>Ok</v>
      </c>
      <c r="L14" s="34"/>
      <c r="M14" s="34"/>
      <c r="N14" s="34"/>
      <c r="O14" s="66">
        <f>E21</f>
        <v>9</v>
      </c>
      <c r="P14" s="57">
        <f>F21-Ta</f>
        <v>20.189999999999998</v>
      </c>
      <c r="Q14" s="63">
        <f t="shared" si="2"/>
        <v>-4.0000000000006253E-2</v>
      </c>
      <c r="R14" s="54">
        <f t="shared" si="3"/>
        <v>1.6000000000005003E-3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20.419999999999998</v>
      </c>
      <c r="G15" t="s">
        <v>91</v>
      </c>
      <c r="H15" s="34" t="str">
        <f t="shared" si="0"/>
        <v>Ok</v>
      </c>
      <c r="I15" s="66">
        <f>E21</f>
        <v>9</v>
      </c>
      <c r="J15" s="60">
        <f>F21-Ta</f>
        <v>20.189999999999998</v>
      </c>
      <c r="K15" s="34" t="str">
        <f t="shared" si="1"/>
        <v>Ok</v>
      </c>
      <c r="L15" s="34"/>
      <c r="M15" s="34"/>
      <c r="N15" s="34"/>
      <c r="O15" s="66">
        <f>E22</f>
        <v>10</v>
      </c>
      <c r="P15" s="57">
        <f>F22-Ta</f>
        <v>20.229999999999997</v>
      </c>
      <c r="Q15" s="63">
        <f t="shared" si="2"/>
        <v>0</v>
      </c>
      <c r="R15" s="54">
        <f t="shared" si="3"/>
        <v>0</v>
      </c>
    </row>
    <row r="16" spans="1:18" ht="14.25" customHeight="1" x14ac:dyDescent="0.25">
      <c r="E16">
        <v>4</v>
      </c>
      <c r="F16">
        <v>20.38</v>
      </c>
      <c r="G16" t="s">
        <v>92</v>
      </c>
      <c r="H16" s="34" t="str">
        <f t="shared" si="0"/>
        <v>Ok</v>
      </c>
      <c r="I16" s="66">
        <f>E25</f>
        <v>13</v>
      </c>
      <c r="J16" s="60">
        <f>F25-Ta</f>
        <v>20.229999999999997</v>
      </c>
      <c r="K16" s="34" t="str">
        <f t="shared" si="1"/>
        <v>Ok</v>
      </c>
      <c r="L16" s="34"/>
      <c r="M16" s="34"/>
      <c r="N16" s="34"/>
      <c r="O16" s="66">
        <f>E31</f>
        <v>19</v>
      </c>
      <c r="P16" s="57">
        <f>F31-Ta</f>
        <v>20.189999999999998</v>
      </c>
      <c r="Q16" s="63">
        <f t="shared" si="2"/>
        <v>-4.0000000000006253E-2</v>
      </c>
      <c r="R16" s="54">
        <f t="shared" si="3"/>
        <v>1.6000000000005003E-3</v>
      </c>
    </row>
    <row r="17" spans="1:18" x14ac:dyDescent="0.25">
      <c r="E17">
        <v>5</v>
      </c>
      <c r="F17">
        <v>20.439999999999998</v>
      </c>
      <c r="G17" t="s">
        <v>93</v>
      </c>
      <c r="H17" s="34" t="str">
        <f t="shared" si="0"/>
        <v>Ok</v>
      </c>
      <c r="I17" s="66">
        <f>E28</f>
        <v>16</v>
      </c>
      <c r="J17" s="60">
        <f>F28-Ta</f>
        <v>20.269999999999996</v>
      </c>
      <c r="K17" s="34" t="str">
        <f t="shared" si="1"/>
        <v>Ok</v>
      </c>
      <c r="L17" s="34"/>
      <c r="M17" s="34"/>
      <c r="N17" s="34"/>
      <c r="O17" s="66">
        <f>E39</f>
        <v>27</v>
      </c>
      <c r="P17" s="57">
        <f>F39-Ta</f>
        <v>20.209999999999997</v>
      </c>
      <c r="Q17" s="63">
        <f t="shared" si="2"/>
        <v>-2.0000000000006679E-2</v>
      </c>
      <c r="R17" s="54">
        <f t="shared" si="3"/>
        <v>4.0000000000026717E-4</v>
      </c>
    </row>
    <row r="18" spans="1:18" ht="15" customHeight="1" x14ac:dyDescent="0.25">
      <c r="A18" s="38" t="s">
        <v>66</v>
      </c>
      <c r="B18" s="39"/>
      <c r="E18">
        <v>6</v>
      </c>
      <c r="F18">
        <v>20.439999999999998</v>
      </c>
      <c r="G18" t="s">
        <v>94</v>
      </c>
      <c r="H18" s="3" t="str">
        <f t="shared" si="0"/>
        <v>Ok</v>
      </c>
      <c r="I18" s="64">
        <f>E43</f>
        <v>31</v>
      </c>
      <c r="J18" s="7">
        <f>F43-Ta</f>
        <v>20.229999999999997</v>
      </c>
      <c r="K18" s="3" t="str">
        <f t="shared" si="1"/>
        <v>Ok</v>
      </c>
      <c r="O18" s="64">
        <f>E48</f>
        <v>36</v>
      </c>
      <c r="P18" s="55">
        <f>F48-Ta</f>
        <v>20.229999999999997</v>
      </c>
      <c r="Q18" s="61">
        <f t="shared" si="2"/>
        <v>0</v>
      </c>
      <c r="R18" s="54">
        <f t="shared" si="3"/>
        <v>0</v>
      </c>
    </row>
    <row r="19" spans="1:18" x14ac:dyDescent="0.25">
      <c r="A19" s="45" t="s">
        <v>34</v>
      </c>
      <c r="B19" s="28">
        <f>AVERAGE(P13:P43)</f>
        <v>20.230000000000004</v>
      </c>
      <c r="E19">
        <v>7</v>
      </c>
      <c r="F19">
        <v>20.419999999999998</v>
      </c>
      <c r="G19" t="s">
        <v>95</v>
      </c>
      <c r="H19" s="3" t="str">
        <f t="shared" si="0"/>
        <v>Ok</v>
      </c>
      <c r="I19" s="64">
        <f>E45</f>
        <v>33</v>
      </c>
      <c r="J19" s="7">
        <f>F45-Ta</f>
        <v>20.229999999999997</v>
      </c>
      <c r="K19" s="3" t="str">
        <f t="shared" si="1"/>
        <v>Ok</v>
      </c>
      <c r="O19" s="64">
        <f>E54</f>
        <v>42</v>
      </c>
      <c r="P19" s="58">
        <f>F54-Ta</f>
        <v>20.209999999999997</v>
      </c>
      <c r="Q19" s="61">
        <f t="shared" si="2"/>
        <v>-2.0000000000006679E-2</v>
      </c>
      <c r="R19" s="54">
        <f t="shared" si="3"/>
        <v>4.0000000000026717E-4</v>
      </c>
    </row>
    <row r="20" spans="1:18" ht="17.25" x14ac:dyDescent="0.25">
      <c r="A20" s="46" t="s">
        <v>36</v>
      </c>
      <c r="B20" s="28">
        <f>SUM(R13,R42)</f>
        <v>3.9999999999969872E-4</v>
      </c>
      <c r="E20">
        <v>8</v>
      </c>
      <c r="F20">
        <v>20.419999999999998</v>
      </c>
      <c r="G20" t="s">
        <v>96</v>
      </c>
      <c r="H20" s="3" t="str">
        <f t="shared" si="0"/>
        <v>Ok</v>
      </c>
      <c r="I20" s="64">
        <f>E46</f>
        <v>34</v>
      </c>
      <c r="J20" s="7">
        <f>F46-Ta</f>
        <v>20.269999999999996</v>
      </c>
      <c r="K20" s="3" t="str">
        <f t="shared" si="1"/>
        <v>Ok</v>
      </c>
      <c r="O20" s="64">
        <f>E65</f>
        <v>53</v>
      </c>
      <c r="P20" s="55">
        <f>F65-Ta</f>
        <v>20.269999999999996</v>
      </c>
      <c r="Q20" s="61">
        <f t="shared" si="2"/>
        <v>3.9999999999992042E-2</v>
      </c>
      <c r="R20" s="54">
        <f t="shared" si="3"/>
        <v>1.5999999999993634E-3</v>
      </c>
    </row>
    <row r="21" spans="1:18" x14ac:dyDescent="0.25">
      <c r="A21" s="29" t="s">
        <v>35</v>
      </c>
      <c r="B21" s="28">
        <f>SQRT(SumOfSquares/(ES_3-1))</f>
        <v>3.7139067635396385E-3</v>
      </c>
      <c r="E21">
        <v>9</v>
      </c>
      <c r="F21">
        <v>20.38</v>
      </c>
      <c r="G21" t="s">
        <v>97</v>
      </c>
      <c r="H21" s="3" t="str">
        <f t="shared" si="0"/>
        <v>Ok</v>
      </c>
      <c r="I21" s="64">
        <f>E58</f>
        <v>46</v>
      </c>
      <c r="J21" s="7">
        <f>F58-Ta</f>
        <v>20.229999999999997</v>
      </c>
      <c r="K21" s="3" t="str">
        <f t="shared" si="1"/>
        <v>Ok</v>
      </c>
      <c r="O21" s="64">
        <f>E79</f>
        <v>67</v>
      </c>
      <c r="P21" s="55">
        <f>F79-Ta</f>
        <v>20.229999999999997</v>
      </c>
      <c r="Q21" s="61">
        <f t="shared" si="2"/>
        <v>0</v>
      </c>
      <c r="R21" s="54">
        <f t="shared" si="3"/>
        <v>0</v>
      </c>
    </row>
    <row r="22" spans="1:18" x14ac:dyDescent="0.25">
      <c r="A22" s="45" t="s">
        <v>54</v>
      </c>
      <c r="B22" s="28">
        <f>s/SQRT(ES_3)*0.995</f>
        <v>6.7467318610245222E-4</v>
      </c>
      <c r="E22">
        <v>10</v>
      </c>
      <c r="F22">
        <v>20.419999999999998</v>
      </c>
      <c r="G22" t="s">
        <v>98</v>
      </c>
      <c r="H22" s="3" t="str">
        <f t="shared" si="0"/>
        <v>Ok</v>
      </c>
      <c r="I22" s="64">
        <f>E59</f>
        <v>47</v>
      </c>
      <c r="J22" s="7">
        <f>F59-Ta</f>
        <v>20.209999999999997</v>
      </c>
      <c r="K22" s="3" t="str">
        <f t="shared" si="1"/>
        <v>Ok</v>
      </c>
      <c r="O22" s="64">
        <f>E87</f>
        <v>75</v>
      </c>
      <c r="P22" s="55">
        <f>F87-Ta</f>
        <v>20.249999999999996</v>
      </c>
      <c r="Q22" s="61">
        <f t="shared" si="2"/>
        <v>1.9999999999992468E-2</v>
      </c>
      <c r="R22" s="54">
        <f t="shared" si="3"/>
        <v>3.9999999999969872E-4</v>
      </c>
    </row>
    <row r="23" spans="1:18" x14ac:dyDescent="0.25">
      <c r="A23" s="2"/>
      <c r="E23">
        <v>11</v>
      </c>
      <c r="F23">
        <v>20.399999999999999</v>
      </c>
      <c r="G23" t="s">
        <v>99</v>
      </c>
      <c r="H23" s="3" t="str">
        <f t="shared" si="0"/>
        <v>Ok</v>
      </c>
      <c r="I23" s="64">
        <f>E64</f>
        <v>52</v>
      </c>
      <c r="J23" s="7">
        <f>F64-Ta</f>
        <v>20.249999999999996</v>
      </c>
      <c r="K23" s="3" t="str">
        <f t="shared" si="1"/>
        <v>Ok</v>
      </c>
      <c r="O23" s="64">
        <f>E124</f>
        <v>112</v>
      </c>
      <c r="P23" s="55">
        <f>F124-Ta</f>
        <v>20.269999999999996</v>
      </c>
      <c r="Q23" s="61">
        <f t="shared" si="2"/>
        <v>3.9999999999992042E-2</v>
      </c>
      <c r="R23" s="54">
        <f t="shared" si="3"/>
        <v>1.5999999999993634E-3</v>
      </c>
    </row>
    <row r="24" spans="1:18" x14ac:dyDescent="0.25">
      <c r="E24">
        <v>12</v>
      </c>
      <c r="F24">
        <v>20.419999999999998</v>
      </c>
      <c r="G24" t="s">
        <v>100</v>
      </c>
      <c r="H24" s="3" t="str">
        <f t="shared" si="0"/>
        <v>Ok</v>
      </c>
      <c r="I24" s="64">
        <f>E70</f>
        <v>58</v>
      </c>
      <c r="J24" s="7">
        <f>F70-Ta</f>
        <v>20.209999999999997</v>
      </c>
      <c r="K24" s="3" t="str">
        <f t="shared" si="1"/>
        <v>Ok</v>
      </c>
      <c r="O24" s="64">
        <f>E131</f>
        <v>119</v>
      </c>
      <c r="P24" s="55">
        <f>F131-Ta</f>
        <v>20.249999999999996</v>
      </c>
      <c r="Q24" s="61">
        <f t="shared" si="2"/>
        <v>1.9999999999992468E-2</v>
      </c>
      <c r="R24" s="54">
        <f t="shared" si="3"/>
        <v>3.9999999999969872E-4</v>
      </c>
    </row>
    <row r="25" spans="1:18" x14ac:dyDescent="0.25">
      <c r="E25">
        <v>13</v>
      </c>
      <c r="F25">
        <v>20.419999999999998</v>
      </c>
      <c r="G25" t="s">
        <v>101</v>
      </c>
      <c r="H25" s="3" t="str">
        <f t="shared" si="0"/>
        <v>Ok</v>
      </c>
      <c r="I25" s="64">
        <f>E73</f>
        <v>61</v>
      </c>
      <c r="J25" s="7">
        <f>F73-Ta</f>
        <v>20.249999999999996</v>
      </c>
      <c r="K25" s="3" t="str">
        <f t="shared" si="1"/>
        <v>Ok</v>
      </c>
      <c r="O25" s="64">
        <f>E137</f>
        <v>125</v>
      </c>
      <c r="P25" s="55">
        <f>F137-Ta</f>
        <v>20.249999999999996</v>
      </c>
      <c r="Q25" s="61">
        <f t="shared" si="2"/>
        <v>1.9999999999992468E-2</v>
      </c>
      <c r="R25" s="54">
        <f t="shared" si="3"/>
        <v>3.9999999999969872E-4</v>
      </c>
    </row>
    <row r="26" spans="1:18" x14ac:dyDescent="0.25">
      <c r="E26">
        <v>14</v>
      </c>
      <c r="F26">
        <v>20.439999999999998</v>
      </c>
      <c r="G26" t="s">
        <v>102</v>
      </c>
      <c r="H26" s="3" t="str">
        <f t="shared" si="0"/>
        <v>Ok</v>
      </c>
      <c r="I26" s="64">
        <f>E81</f>
        <v>69</v>
      </c>
      <c r="J26" s="7">
        <f>F81-Ta</f>
        <v>20.189999999999998</v>
      </c>
      <c r="K26" s="3" t="str">
        <f t="shared" si="1"/>
        <v>Ok</v>
      </c>
      <c r="O26" s="64">
        <f>E139</f>
        <v>127</v>
      </c>
      <c r="P26" s="55">
        <f>F139-Ta</f>
        <v>20.229999999999997</v>
      </c>
      <c r="Q26" s="61">
        <f t="shared" si="2"/>
        <v>0</v>
      </c>
      <c r="R26" s="54">
        <f t="shared" si="3"/>
        <v>0</v>
      </c>
    </row>
    <row r="27" spans="1:18" x14ac:dyDescent="0.25">
      <c r="E27">
        <v>15</v>
      </c>
      <c r="F27">
        <v>20.399999999999999</v>
      </c>
      <c r="G27" t="s">
        <v>103</v>
      </c>
      <c r="H27" s="3" t="str">
        <f t="shared" si="0"/>
        <v>Ok</v>
      </c>
      <c r="I27" s="64">
        <f>E108</f>
        <v>96</v>
      </c>
      <c r="J27" s="7">
        <f>F108-Ta</f>
        <v>20.249999999999996</v>
      </c>
      <c r="K27" s="3" t="str">
        <f t="shared" si="1"/>
        <v>Ok</v>
      </c>
      <c r="O27" s="64">
        <f>E140</f>
        <v>128</v>
      </c>
      <c r="P27" s="55">
        <f>F140-Ta</f>
        <v>20.209999999999997</v>
      </c>
      <c r="Q27" s="61">
        <f t="shared" si="2"/>
        <v>-2.0000000000006679E-2</v>
      </c>
      <c r="R27" s="54">
        <f t="shared" si="3"/>
        <v>4.0000000000026717E-4</v>
      </c>
    </row>
    <row r="28" spans="1:18" x14ac:dyDescent="0.25">
      <c r="E28">
        <v>16</v>
      </c>
      <c r="F28">
        <v>20.459999999999997</v>
      </c>
      <c r="G28" t="s">
        <v>104</v>
      </c>
      <c r="H28" s="3" t="str">
        <f t="shared" si="0"/>
        <v>Ok</v>
      </c>
      <c r="I28" s="64">
        <f>E110</f>
        <v>98</v>
      </c>
      <c r="J28" s="7">
        <f>F110-Ta</f>
        <v>20.209999999999997</v>
      </c>
      <c r="K28" s="3" t="str">
        <f t="shared" si="1"/>
        <v>Ok</v>
      </c>
      <c r="O28" s="64">
        <f>E141</f>
        <v>129</v>
      </c>
      <c r="P28" s="55">
        <f>F141-Ta</f>
        <v>20.229999999999997</v>
      </c>
      <c r="Q28" s="61">
        <f t="shared" si="2"/>
        <v>0</v>
      </c>
      <c r="R28" s="54">
        <f t="shared" si="3"/>
        <v>0</v>
      </c>
    </row>
    <row r="29" spans="1:18" x14ac:dyDescent="0.25">
      <c r="E29">
        <v>17</v>
      </c>
      <c r="F29">
        <v>20.419999999999998</v>
      </c>
      <c r="G29" t="s">
        <v>105</v>
      </c>
      <c r="H29" s="3" t="str">
        <f t="shared" si="0"/>
        <v>Ok</v>
      </c>
      <c r="I29" s="64">
        <f>E119</f>
        <v>107</v>
      </c>
      <c r="J29" s="7">
        <f>F119-Ta</f>
        <v>20.229999999999997</v>
      </c>
      <c r="K29" s="3" t="str">
        <f t="shared" si="1"/>
        <v>Ok</v>
      </c>
      <c r="O29" s="64">
        <f>E148</f>
        <v>136</v>
      </c>
      <c r="P29" s="55">
        <f>F148-Ta</f>
        <v>20.209999999999997</v>
      </c>
      <c r="Q29" s="61">
        <f t="shared" si="2"/>
        <v>-2.0000000000006679E-2</v>
      </c>
      <c r="R29" s="54">
        <f t="shared" si="3"/>
        <v>4.0000000000026717E-4</v>
      </c>
    </row>
    <row r="30" spans="1:18" x14ac:dyDescent="0.25">
      <c r="E30">
        <v>18</v>
      </c>
      <c r="F30">
        <v>20.419999999999998</v>
      </c>
      <c r="G30" t="s">
        <v>106</v>
      </c>
      <c r="H30" s="3" t="str">
        <f t="shared" si="0"/>
        <v>Ok</v>
      </c>
      <c r="I30" s="64">
        <f>E120</f>
        <v>108</v>
      </c>
      <c r="J30" s="7">
        <f>F120-Ta</f>
        <v>20.249999999999996</v>
      </c>
      <c r="K30" s="3" t="str">
        <f t="shared" si="1"/>
        <v>Ok</v>
      </c>
      <c r="O30" s="64">
        <f>E150</f>
        <v>138</v>
      </c>
      <c r="P30" s="55">
        <f>F150-Ta</f>
        <v>20.249999999999996</v>
      </c>
      <c r="Q30" s="61">
        <f t="shared" si="2"/>
        <v>1.9999999999992468E-2</v>
      </c>
      <c r="R30" s="54">
        <f t="shared" si="3"/>
        <v>3.9999999999969872E-4</v>
      </c>
    </row>
    <row r="31" spans="1:18" x14ac:dyDescent="0.25">
      <c r="E31">
        <v>19</v>
      </c>
      <c r="F31">
        <v>20.38</v>
      </c>
      <c r="G31" t="s">
        <v>107</v>
      </c>
      <c r="H31" s="3" t="str">
        <f t="shared" si="0"/>
        <v>Ok</v>
      </c>
      <c r="I31" s="64">
        <f>E125</f>
        <v>113</v>
      </c>
      <c r="J31" s="7">
        <f>F125-Ta</f>
        <v>20.229999999999997</v>
      </c>
      <c r="K31" s="3" t="str">
        <f t="shared" si="1"/>
        <v>Ok</v>
      </c>
      <c r="O31" s="64">
        <f>E151</f>
        <v>139</v>
      </c>
      <c r="P31" s="55">
        <f>F151-Ta</f>
        <v>20.229999999999997</v>
      </c>
      <c r="Q31" s="61">
        <f t="shared" si="2"/>
        <v>0</v>
      </c>
      <c r="R31" s="54">
        <f t="shared" si="3"/>
        <v>0</v>
      </c>
    </row>
    <row r="32" spans="1:18" x14ac:dyDescent="0.25">
      <c r="E32">
        <v>20</v>
      </c>
      <c r="F32">
        <v>20.439999999999998</v>
      </c>
      <c r="G32" t="s">
        <v>108</v>
      </c>
      <c r="H32" s="3" t="str">
        <f t="shared" si="0"/>
        <v>Ok</v>
      </c>
      <c r="I32" s="64">
        <f>E127</f>
        <v>115</v>
      </c>
      <c r="J32" s="7">
        <f>F127-Ta</f>
        <v>20.209999999999997</v>
      </c>
      <c r="K32" s="3" t="str">
        <f t="shared" si="1"/>
        <v>Ok</v>
      </c>
      <c r="O32" s="64">
        <f>E152</f>
        <v>140</v>
      </c>
      <c r="P32" s="55">
        <f>F152-Ta</f>
        <v>20.209999999999997</v>
      </c>
      <c r="Q32" s="61">
        <f t="shared" si="2"/>
        <v>-2.0000000000006679E-2</v>
      </c>
      <c r="R32" s="54">
        <f t="shared" si="3"/>
        <v>4.0000000000026717E-4</v>
      </c>
    </row>
    <row r="33" spans="5:18" x14ac:dyDescent="0.25">
      <c r="E33">
        <v>21</v>
      </c>
      <c r="F33">
        <v>20.419999999999998</v>
      </c>
      <c r="G33" t="s">
        <v>109</v>
      </c>
      <c r="H33" s="3" t="str">
        <f t="shared" si="0"/>
        <v>Ok</v>
      </c>
      <c r="I33" s="64">
        <f>E134</f>
        <v>122</v>
      </c>
      <c r="J33" s="7">
        <f>F134-Ta</f>
        <v>20.209999999999997</v>
      </c>
      <c r="K33" s="3" t="str">
        <f t="shared" si="1"/>
        <v>Ok</v>
      </c>
      <c r="O33" s="64">
        <f>E158</f>
        <v>146</v>
      </c>
      <c r="P33" s="55">
        <f>F158-Ta</f>
        <v>20.249999999999996</v>
      </c>
      <c r="Q33" s="61">
        <f t="shared" si="2"/>
        <v>1.9999999999992468E-2</v>
      </c>
      <c r="R33" s="54">
        <f t="shared" si="3"/>
        <v>3.9999999999969872E-4</v>
      </c>
    </row>
    <row r="34" spans="5:18" x14ac:dyDescent="0.25">
      <c r="E34">
        <v>22</v>
      </c>
      <c r="F34">
        <v>20.399999999999999</v>
      </c>
      <c r="G34" t="s">
        <v>110</v>
      </c>
      <c r="H34" s="3" t="str">
        <f t="shared" si="0"/>
        <v>Ok</v>
      </c>
      <c r="I34" s="64">
        <f>E143</f>
        <v>131</v>
      </c>
      <c r="J34" s="7">
        <f>F143-Ta</f>
        <v>20.229999999999997</v>
      </c>
      <c r="K34" s="3" t="str">
        <f t="shared" si="1"/>
        <v>Ok</v>
      </c>
      <c r="O34" s="64">
        <f>E159</f>
        <v>147</v>
      </c>
      <c r="P34" s="55">
        <f>F159-Ta</f>
        <v>20.229999999999997</v>
      </c>
      <c r="Q34" s="61">
        <f t="shared" si="2"/>
        <v>0</v>
      </c>
      <c r="R34" s="54">
        <f t="shared" si="3"/>
        <v>0</v>
      </c>
    </row>
    <row r="35" spans="5:18" x14ac:dyDescent="0.25">
      <c r="E35">
        <v>23</v>
      </c>
      <c r="F35">
        <v>20.459999999999997</v>
      </c>
      <c r="G35" t="s">
        <v>111</v>
      </c>
      <c r="H35" s="3" t="str">
        <f t="shared" si="0"/>
        <v>Ok</v>
      </c>
      <c r="I35" s="64">
        <f>E150</f>
        <v>138</v>
      </c>
      <c r="J35" s="7">
        <f>F150-Ta</f>
        <v>20.249999999999996</v>
      </c>
      <c r="K35" s="3" t="str">
        <f t="shared" si="1"/>
        <v>Ok</v>
      </c>
      <c r="O35" s="64">
        <f>E161</f>
        <v>149</v>
      </c>
      <c r="P35" s="55">
        <f>F161-Ta</f>
        <v>20.249999999999996</v>
      </c>
      <c r="Q35" s="61">
        <f t="shared" si="2"/>
        <v>1.9999999999992468E-2</v>
      </c>
      <c r="R35" s="54">
        <f t="shared" si="3"/>
        <v>3.9999999999969872E-4</v>
      </c>
    </row>
    <row r="36" spans="5:18" x14ac:dyDescent="0.25">
      <c r="E36">
        <v>24</v>
      </c>
      <c r="F36">
        <v>20.439999999999998</v>
      </c>
      <c r="G36" t="s">
        <v>112</v>
      </c>
      <c r="H36" s="3" t="str">
        <f t="shared" si="0"/>
        <v>Ok</v>
      </c>
      <c r="I36" s="64">
        <f>E153</f>
        <v>141</v>
      </c>
      <c r="J36" s="7">
        <f>F153-Ta</f>
        <v>20.249999999999996</v>
      </c>
      <c r="K36" s="3" t="str">
        <f t="shared" si="1"/>
        <v>Ok</v>
      </c>
      <c r="O36" s="64">
        <f>E174</f>
        <v>162</v>
      </c>
      <c r="P36" s="55">
        <f>F174-Ta</f>
        <v>20.229999999999997</v>
      </c>
      <c r="Q36" s="61">
        <f t="shared" si="2"/>
        <v>0</v>
      </c>
      <c r="R36" s="54">
        <f t="shared" si="3"/>
        <v>0</v>
      </c>
    </row>
    <row r="37" spans="5:18" x14ac:dyDescent="0.25">
      <c r="E37">
        <v>25</v>
      </c>
      <c r="F37">
        <v>20.399999999999999</v>
      </c>
      <c r="G37" t="s">
        <v>113</v>
      </c>
      <c r="H37" s="3" t="str">
        <f t="shared" si="0"/>
        <v>Ok</v>
      </c>
      <c r="I37" s="64">
        <f>E154</f>
        <v>142</v>
      </c>
      <c r="J37" s="7">
        <f>F154-Ta</f>
        <v>20.229999999999997</v>
      </c>
      <c r="K37" s="3" t="str">
        <f t="shared" si="1"/>
        <v>Ok</v>
      </c>
      <c r="O37" s="64">
        <f>E175</f>
        <v>163</v>
      </c>
      <c r="P37" s="55">
        <f>F175-Ta</f>
        <v>20.209999999999997</v>
      </c>
      <c r="Q37" s="61">
        <f t="shared" si="2"/>
        <v>-2.0000000000006679E-2</v>
      </c>
      <c r="R37" s="54">
        <f t="shared" si="3"/>
        <v>4.0000000000026717E-4</v>
      </c>
    </row>
    <row r="38" spans="5:18" x14ac:dyDescent="0.25">
      <c r="E38">
        <v>26</v>
      </c>
      <c r="F38">
        <v>20.439999999999998</v>
      </c>
      <c r="G38" t="s">
        <v>114</v>
      </c>
      <c r="H38" s="3" t="str">
        <f t="shared" si="0"/>
        <v>Ok</v>
      </c>
      <c r="I38" s="64">
        <f>E156</f>
        <v>144</v>
      </c>
      <c r="J38" s="7">
        <f>F156-Ta</f>
        <v>20.249999999999996</v>
      </c>
      <c r="K38" s="3" t="str">
        <f t="shared" si="1"/>
        <v>Ok</v>
      </c>
      <c r="O38" s="64">
        <f>E179</f>
        <v>167</v>
      </c>
      <c r="P38" s="55">
        <f>F179-Ta</f>
        <v>20.229999999999997</v>
      </c>
      <c r="Q38" s="61">
        <f t="shared" si="2"/>
        <v>0</v>
      </c>
      <c r="R38" s="54">
        <f t="shared" si="3"/>
        <v>0</v>
      </c>
    </row>
    <row r="39" spans="5:18" x14ac:dyDescent="0.25">
      <c r="E39">
        <v>27</v>
      </c>
      <c r="F39">
        <v>20.399999999999999</v>
      </c>
      <c r="G39" t="s">
        <v>115</v>
      </c>
      <c r="H39" s="3" t="str">
        <f t="shared" si="0"/>
        <v>Ok</v>
      </c>
      <c r="I39" s="64">
        <f>E160</f>
        <v>148</v>
      </c>
      <c r="J39" s="7">
        <f>F160-Ta</f>
        <v>20.209999999999997</v>
      </c>
      <c r="K39" s="3" t="str">
        <f t="shared" si="1"/>
        <v>Ok</v>
      </c>
      <c r="O39" s="64">
        <f>E181</f>
        <v>169</v>
      </c>
      <c r="P39" s="55">
        <f>F181-Ta</f>
        <v>20.229999999999997</v>
      </c>
      <c r="Q39" s="61">
        <f t="shared" si="2"/>
        <v>0</v>
      </c>
      <c r="R39" s="54">
        <f t="shared" si="3"/>
        <v>0</v>
      </c>
    </row>
    <row r="40" spans="5:18" x14ac:dyDescent="0.25">
      <c r="E40">
        <v>28</v>
      </c>
      <c r="F40">
        <v>20.459999999999997</v>
      </c>
      <c r="G40" t="s">
        <v>116</v>
      </c>
      <c r="H40" s="3" t="str">
        <f t="shared" si="0"/>
        <v>Ok</v>
      </c>
      <c r="I40" s="64">
        <f>E176</f>
        <v>164</v>
      </c>
      <c r="J40" s="7">
        <f>F176-Ta</f>
        <v>20.249999999999996</v>
      </c>
      <c r="K40" s="3" t="str">
        <f t="shared" si="1"/>
        <v>Ok</v>
      </c>
      <c r="O40" s="64">
        <f>E182</f>
        <v>170</v>
      </c>
      <c r="P40" s="55">
        <f>F182-Ta</f>
        <v>20.209999999999997</v>
      </c>
      <c r="Q40" s="61">
        <f t="shared" si="2"/>
        <v>-2.0000000000006679E-2</v>
      </c>
      <c r="R40" s="54">
        <f t="shared" si="3"/>
        <v>4.0000000000026717E-4</v>
      </c>
    </row>
    <row r="41" spans="5:18" x14ac:dyDescent="0.25">
      <c r="E41">
        <v>29</v>
      </c>
      <c r="F41">
        <v>20.439999999999998</v>
      </c>
      <c r="G41" t="s">
        <v>117</v>
      </c>
      <c r="H41" s="3" t="str">
        <f t="shared" si="0"/>
        <v>Ok</v>
      </c>
      <c r="I41" s="64">
        <f>E188</f>
        <v>176</v>
      </c>
      <c r="J41" s="7">
        <f>F188-Ta</f>
        <v>20.249999999999996</v>
      </c>
      <c r="K41" s="3" t="str">
        <f t="shared" si="1"/>
        <v>Ok</v>
      </c>
      <c r="O41" s="64">
        <f>E184</f>
        <v>172</v>
      </c>
      <c r="P41" s="55">
        <f>F184-Ta</f>
        <v>20.229999999999997</v>
      </c>
      <c r="Q41" s="61">
        <f t="shared" si="2"/>
        <v>0</v>
      </c>
      <c r="R41" s="54">
        <f t="shared" si="3"/>
        <v>0</v>
      </c>
    </row>
    <row r="42" spans="5:18" x14ac:dyDescent="0.25">
      <c r="E42">
        <v>30</v>
      </c>
      <c r="F42">
        <v>20.439999999999998</v>
      </c>
      <c r="G42" t="s">
        <v>118</v>
      </c>
      <c r="H42" s="3" t="str">
        <f t="shared" si="0"/>
        <v>Ok</v>
      </c>
      <c r="I42" s="64">
        <f>E193</f>
        <v>181</v>
      </c>
      <c r="J42" s="7">
        <f>F193-Ta</f>
        <v>20.249999999999996</v>
      </c>
      <c r="K42" s="3" t="str">
        <f t="shared" si="1"/>
        <v>Ok</v>
      </c>
      <c r="O42" s="64">
        <f>E186</f>
        <v>174</v>
      </c>
      <c r="P42" s="55">
        <f>F186-Ta</f>
        <v>20.229999999999997</v>
      </c>
      <c r="Q42" s="61">
        <f t="shared" si="2"/>
        <v>0</v>
      </c>
      <c r="R42" s="54">
        <f t="shared" si="3"/>
        <v>0</v>
      </c>
    </row>
    <row r="43" spans="5:18" x14ac:dyDescent="0.25">
      <c r="E43">
        <v>31</v>
      </c>
      <c r="F43">
        <v>20.419999999999998</v>
      </c>
      <c r="G43" t="s">
        <v>119</v>
      </c>
      <c r="H43" s="3" t="str">
        <f t="shared" si="0"/>
        <v>Ok</v>
      </c>
    </row>
    <row r="44" spans="5:18" x14ac:dyDescent="0.25">
      <c r="E44">
        <v>32</v>
      </c>
      <c r="F44">
        <v>20.459999999999997</v>
      </c>
      <c r="G44" t="s">
        <v>120</v>
      </c>
      <c r="H44" s="3" t="str">
        <f t="shared" si="0"/>
        <v>Ok</v>
      </c>
    </row>
    <row r="45" spans="5:18" x14ac:dyDescent="0.25">
      <c r="E45">
        <v>33</v>
      </c>
      <c r="F45">
        <v>20.419999999999998</v>
      </c>
      <c r="G45" t="s">
        <v>121</v>
      </c>
      <c r="H45" s="3" t="str">
        <f t="shared" ref="H45:H76" si="4">IF(Qn-(F45-Ta)&gt;2*ENT,"Fara E","Ok")</f>
        <v>Ok</v>
      </c>
    </row>
    <row r="46" spans="5:18" x14ac:dyDescent="0.25">
      <c r="E46">
        <v>34</v>
      </c>
      <c r="F46">
        <v>20.459999999999997</v>
      </c>
      <c r="G46" t="s">
        <v>122</v>
      </c>
      <c r="H46" s="3" t="str">
        <f t="shared" si="4"/>
        <v>Ok</v>
      </c>
    </row>
    <row r="47" spans="5:18" x14ac:dyDescent="0.25">
      <c r="E47">
        <v>35</v>
      </c>
      <c r="F47">
        <v>20.439999999999998</v>
      </c>
      <c r="G47" t="s">
        <v>123</v>
      </c>
      <c r="H47" s="3" t="str">
        <f t="shared" si="4"/>
        <v>Ok</v>
      </c>
    </row>
    <row r="48" spans="5:18" x14ac:dyDescent="0.25">
      <c r="E48">
        <v>36</v>
      </c>
      <c r="F48">
        <v>20.419999999999998</v>
      </c>
      <c r="G48" t="s">
        <v>124</v>
      </c>
      <c r="H48" s="3" t="str">
        <f t="shared" si="4"/>
        <v>Ok</v>
      </c>
    </row>
    <row r="49" spans="5:8" x14ac:dyDescent="0.25">
      <c r="E49">
        <v>37</v>
      </c>
      <c r="F49">
        <v>20.399999999999999</v>
      </c>
      <c r="G49" t="s">
        <v>125</v>
      </c>
      <c r="H49" s="3" t="str">
        <f t="shared" si="4"/>
        <v>Ok</v>
      </c>
    </row>
    <row r="50" spans="5:8" x14ac:dyDescent="0.25">
      <c r="E50">
        <v>38</v>
      </c>
      <c r="F50">
        <v>20.399999999999999</v>
      </c>
      <c r="G50" t="s">
        <v>126</v>
      </c>
      <c r="H50" s="3" t="str">
        <f t="shared" si="4"/>
        <v>Ok</v>
      </c>
    </row>
    <row r="51" spans="5:8" x14ac:dyDescent="0.25">
      <c r="E51">
        <v>39</v>
      </c>
      <c r="F51">
        <v>20.399999999999999</v>
      </c>
      <c r="G51" t="s">
        <v>127</v>
      </c>
      <c r="H51" s="3" t="str">
        <f t="shared" si="4"/>
        <v>Ok</v>
      </c>
    </row>
    <row r="52" spans="5:8" x14ac:dyDescent="0.25">
      <c r="E52">
        <v>40</v>
      </c>
      <c r="F52">
        <v>20.399999999999999</v>
      </c>
      <c r="G52" t="s">
        <v>128</v>
      </c>
      <c r="H52" s="3" t="str">
        <f t="shared" si="4"/>
        <v>Ok</v>
      </c>
    </row>
    <row r="53" spans="5:8" x14ac:dyDescent="0.25">
      <c r="E53">
        <v>41</v>
      </c>
      <c r="F53">
        <v>20.399999999999999</v>
      </c>
      <c r="G53" t="s">
        <v>129</v>
      </c>
      <c r="H53" s="3" t="str">
        <f t="shared" si="4"/>
        <v>Ok</v>
      </c>
    </row>
    <row r="54" spans="5:8" x14ac:dyDescent="0.25">
      <c r="E54">
        <v>42</v>
      </c>
      <c r="F54">
        <v>20.399999999999999</v>
      </c>
      <c r="G54" t="s">
        <v>130</v>
      </c>
      <c r="H54" s="3" t="str">
        <f t="shared" si="4"/>
        <v>Ok</v>
      </c>
    </row>
    <row r="55" spans="5:8" x14ac:dyDescent="0.25">
      <c r="E55">
        <v>43</v>
      </c>
      <c r="F55">
        <v>20.419999999999998</v>
      </c>
      <c r="G55" t="s">
        <v>131</v>
      </c>
      <c r="H55" s="3" t="str">
        <f t="shared" si="4"/>
        <v>Ok</v>
      </c>
    </row>
    <row r="56" spans="5:8" x14ac:dyDescent="0.25">
      <c r="E56">
        <v>44</v>
      </c>
      <c r="F56">
        <v>20.399999999999999</v>
      </c>
      <c r="G56" t="s">
        <v>132</v>
      </c>
      <c r="H56" s="3" t="str">
        <f t="shared" si="4"/>
        <v>Ok</v>
      </c>
    </row>
    <row r="57" spans="5:8" x14ac:dyDescent="0.25">
      <c r="E57">
        <v>45</v>
      </c>
      <c r="F57">
        <v>20.419999999999998</v>
      </c>
      <c r="G57" t="s">
        <v>133</v>
      </c>
      <c r="H57" s="3" t="str">
        <f t="shared" si="4"/>
        <v>Ok</v>
      </c>
    </row>
    <row r="58" spans="5:8" x14ac:dyDescent="0.25">
      <c r="E58">
        <v>46</v>
      </c>
      <c r="F58">
        <v>20.419999999999998</v>
      </c>
      <c r="G58" t="s">
        <v>134</v>
      </c>
      <c r="H58" s="3" t="str">
        <f t="shared" si="4"/>
        <v>Ok</v>
      </c>
    </row>
    <row r="59" spans="5:8" x14ac:dyDescent="0.25">
      <c r="E59">
        <v>47</v>
      </c>
      <c r="F59">
        <v>20.399999999999999</v>
      </c>
      <c r="G59" t="s">
        <v>135</v>
      </c>
      <c r="H59" s="3" t="str">
        <f t="shared" si="4"/>
        <v>Ok</v>
      </c>
    </row>
    <row r="60" spans="5:8" x14ac:dyDescent="0.25">
      <c r="E60">
        <v>48</v>
      </c>
      <c r="F60">
        <v>20.419999999999998</v>
      </c>
      <c r="G60" t="s">
        <v>136</v>
      </c>
      <c r="H60" s="3" t="str">
        <f t="shared" si="4"/>
        <v>Ok</v>
      </c>
    </row>
    <row r="61" spans="5:8" x14ac:dyDescent="0.25">
      <c r="E61">
        <v>49</v>
      </c>
      <c r="F61">
        <v>20.399999999999999</v>
      </c>
      <c r="G61" t="s">
        <v>137</v>
      </c>
      <c r="H61" s="3" t="str">
        <f t="shared" si="4"/>
        <v>Ok</v>
      </c>
    </row>
    <row r="62" spans="5:8" x14ac:dyDescent="0.25">
      <c r="E62">
        <v>50</v>
      </c>
      <c r="F62">
        <v>20.419999999999998</v>
      </c>
      <c r="G62" t="s">
        <v>138</v>
      </c>
      <c r="H62" s="3" t="str">
        <f t="shared" si="4"/>
        <v>Ok</v>
      </c>
    </row>
    <row r="63" spans="5:8" x14ac:dyDescent="0.25">
      <c r="E63">
        <v>51</v>
      </c>
      <c r="F63">
        <v>20.439999999999998</v>
      </c>
      <c r="G63" t="s">
        <v>139</v>
      </c>
      <c r="H63" s="3" t="str">
        <f t="shared" si="4"/>
        <v>Ok</v>
      </c>
    </row>
    <row r="64" spans="5:8" x14ac:dyDescent="0.25">
      <c r="E64">
        <v>52</v>
      </c>
      <c r="F64">
        <v>20.439999999999998</v>
      </c>
      <c r="G64" t="s">
        <v>140</v>
      </c>
      <c r="H64" s="3" t="str">
        <f t="shared" si="4"/>
        <v>Ok</v>
      </c>
    </row>
    <row r="65" spans="5:8" x14ac:dyDescent="0.25">
      <c r="E65">
        <v>53</v>
      </c>
      <c r="F65">
        <v>20.459999999999997</v>
      </c>
      <c r="G65" t="s">
        <v>141</v>
      </c>
      <c r="H65" s="3" t="str">
        <f t="shared" si="4"/>
        <v>Ok</v>
      </c>
    </row>
    <row r="66" spans="5:8" x14ac:dyDescent="0.25">
      <c r="E66">
        <v>54</v>
      </c>
      <c r="F66">
        <v>20.399999999999999</v>
      </c>
      <c r="G66" t="s">
        <v>142</v>
      </c>
      <c r="H66" s="3" t="str">
        <f t="shared" si="4"/>
        <v>Ok</v>
      </c>
    </row>
    <row r="67" spans="5:8" x14ac:dyDescent="0.25">
      <c r="E67">
        <v>55</v>
      </c>
      <c r="F67">
        <v>20.419999999999998</v>
      </c>
      <c r="G67" t="s">
        <v>143</v>
      </c>
      <c r="H67" s="3" t="str">
        <f t="shared" si="4"/>
        <v>Ok</v>
      </c>
    </row>
    <row r="68" spans="5:8" x14ac:dyDescent="0.25">
      <c r="E68">
        <v>56</v>
      </c>
      <c r="F68">
        <v>20.399999999999999</v>
      </c>
      <c r="G68" t="s">
        <v>144</v>
      </c>
      <c r="H68" s="3" t="str">
        <f t="shared" si="4"/>
        <v>Ok</v>
      </c>
    </row>
    <row r="69" spans="5:8" x14ac:dyDescent="0.25">
      <c r="E69">
        <v>57</v>
      </c>
      <c r="F69">
        <v>20.399999999999999</v>
      </c>
      <c r="G69" t="s">
        <v>145</v>
      </c>
      <c r="H69" s="3" t="str">
        <f t="shared" si="4"/>
        <v>Ok</v>
      </c>
    </row>
    <row r="70" spans="5:8" x14ac:dyDescent="0.25">
      <c r="E70">
        <v>58</v>
      </c>
      <c r="F70">
        <v>20.399999999999999</v>
      </c>
      <c r="G70" t="s">
        <v>146</v>
      </c>
      <c r="H70" s="3" t="str">
        <f t="shared" si="4"/>
        <v>Ok</v>
      </c>
    </row>
    <row r="71" spans="5:8" x14ac:dyDescent="0.25">
      <c r="E71">
        <v>59</v>
      </c>
      <c r="F71">
        <v>20.419999999999998</v>
      </c>
      <c r="G71" t="s">
        <v>147</v>
      </c>
      <c r="H71" s="3" t="str">
        <f t="shared" si="4"/>
        <v>Ok</v>
      </c>
    </row>
    <row r="72" spans="5:8" x14ac:dyDescent="0.25">
      <c r="E72">
        <v>60</v>
      </c>
      <c r="F72">
        <v>20.419999999999998</v>
      </c>
      <c r="G72" t="s">
        <v>148</v>
      </c>
      <c r="H72" s="3" t="str">
        <f t="shared" si="4"/>
        <v>Ok</v>
      </c>
    </row>
    <row r="73" spans="5:8" x14ac:dyDescent="0.25">
      <c r="E73">
        <v>61</v>
      </c>
      <c r="F73">
        <v>20.439999999999998</v>
      </c>
      <c r="G73" t="s">
        <v>149</v>
      </c>
      <c r="H73" s="3" t="str">
        <f t="shared" si="4"/>
        <v>Ok</v>
      </c>
    </row>
    <row r="74" spans="5:8" x14ac:dyDescent="0.25">
      <c r="E74">
        <v>62</v>
      </c>
      <c r="F74">
        <v>20.439999999999998</v>
      </c>
      <c r="G74" t="s">
        <v>150</v>
      </c>
      <c r="H74" s="3" t="str">
        <f t="shared" si="4"/>
        <v>Ok</v>
      </c>
    </row>
    <row r="75" spans="5:8" x14ac:dyDescent="0.25">
      <c r="E75">
        <v>63</v>
      </c>
      <c r="F75">
        <v>20.419999999999998</v>
      </c>
      <c r="G75" t="s">
        <v>151</v>
      </c>
      <c r="H75" s="3" t="str">
        <f t="shared" si="4"/>
        <v>Ok</v>
      </c>
    </row>
    <row r="76" spans="5:8" x14ac:dyDescent="0.25">
      <c r="E76">
        <v>64</v>
      </c>
      <c r="F76">
        <v>20.439999999999998</v>
      </c>
      <c r="G76" t="s">
        <v>152</v>
      </c>
      <c r="H76" s="3" t="str">
        <f t="shared" si="4"/>
        <v>Ok</v>
      </c>
    </row>
    <row r="77" spans="5:8" x14ac:dyDescent="0.25">
      <c r="E77">
        <v>65</v>
      </c>
      <c r="F77">
        <v>20.439999999999998</v>
      </c>
      <c r="G77" t="s">
        <v>153</v>
      </c>
      <c r="H77" s="3" t="str">
        <f t="shared" ref="H77:H108" si="5">IF(Qn-(F77-Ta)&gt;2*ENT,"Fara E","Ok")</f>
        <v>Ok</v>
      </c>
    </row>
    <row r="78" spans="5:8" x14ac:dyDescent="0.25">
      <c r="E78">
        <v>66</v>
      </c>
      <c r="F78">
        <v>20.399999999999999</v>
      </c>
      <c r="G78" t="s">
        <v>154</v>
      </c>
      <c r="H78" s="3" t="str">
        <f t="shared" si="5"/>
        <v>Ok</v>
      </c>
    </row>
    <row r="79" spans="5:8" x14ac:dyDescent="0.25">
      <c r="E79">
        <v>67</v>
      </c>
      <c r="F79">
        <v>20.419999999999998</v>
      </c>
      <c r="G79" t="s">
        <v>155</v>
      </c>
      <c r="H79" s="3" t="str">
        <f t="shared" si="5"/>
        <v>Ok</v>
      </c>
    </row>
    <row r="80" spans="5:8" x14ac:dyDescent="0.25">
      <c r="E80">
        <v>68</v>
      </c>
      <c r="F80">
        <v>20.419999999999998</v>
      </c>
      <c r="G80" t="s">
        <v>156</v>
      </c>
      <c r="H80" s="3" t="str">
        <f t="shared" si="5"/>
        <v>Ok</v>
      </c>
    </row>
    <row r="81" spans="5:8" x14ac:dyDescent="0.25">
      <c r="E81">
        <v>69</v>
      </c>
      <c r="F81">
        <v>20.38</v>
      </c>
      <c r="G81" t="s">
        <v>157</v>
      </c>
      <c r="H81" s="3" t="str">
        <f t="shared" si="5"/>
        <v>Ok</v>
      </c>
    </row>
    <row r="82" spans="5:8" x14ac:dyDescent="0.25">
      <c r="E82">
        <v>70</v>
      </c>
      <c r="F82">
        <v>20.419999999999998</v>
      </c>
      <c r="G82" t="s">
        <v>158</v>
      </c>
      <c r="H82" s="3" t="str">
        <f t="shared" si="5"/>
        <v>Ok</v>
      </c>
    </row>
    <row r="83" spans="5:8" x14ac:dyDescent="0.25">
      <c r="E83">
        <v>71</v>
      </c>
      <c r="F83">
        <v>20.439999999999998</v>
      </c>
      <c r="G83" t="s">
        <v>159</v>
      </c>
      <c r="H83" s="3" t="str">
        <f t="shared" si="5"/>
        <v>Ok</v>
      </c>
    </row>
    <row r="84" spans="5:8" x14ac:dyDescent="0.25">
      <c r="E84">
        <v>72</v>
      </c>
      <c r="F84">
        <v>20.439999999999998</v>
      </c>
      <c r="G84" t="s">
        <v>160</v>
      </c>
      <c r="H84" s="3" t="str">
        <f t="shared" si="5"/>
        <v>Ok</v>
      </c>
    </row>
    <row r="85" spans="5:8" x14ac:dyDescent="0.25">
      <c r="E85">
        <v>73</v>
      </c>
      <c r="F85">
        <v>20.439999999999998</v>
      </c>
      <c r="G85" t="s">
        <v>161</v>
      </c>
      <c r="H85" s="3" t="str">
        <f t="shared" si="5"/>
        <v>Ok</v>
      </c>
    </row>
    <row r="86" spans="5:8" x14ac:dyDescent="0.25">
      <c r="E86">
        <v>74</v>
      </c>
      <c r="F86">
        <v>20.439999999999998</v>
      </c>
      <c r="G86" t="s">
        <v>162</v>
      </c>
      <c r="H86" s="3" t="str">
        <f t="shared" si="5"/>
        <v>Ok</v>
      </c>
    </row>
    <row r="87" spans="5:8" x14ac:dyDescent="0.25">
      <c r="E87">
        <v>75</v>
      </c>
      <c r="F87">
        <v>20.439999999999998</v>
      </c>
      <c r="G87" t="s">
        <v>163</v>
      </c>
      <c r="H87" s="3" t="str">
        <f t="shared" si="5"/>
        <v>Ok</v>
      </c>
    </row>
    <row r="88" spans="5:8" x14ac:dyDescent="0.25">
      <c r="E88">
        <v>76</v>
      </c>
      <c r="F88">
        <v>20.439999999999998</v>
      </c>
      <c r="G88" t="s">
        <v>164</v>
      </c>
      <c r="H88" s="3" t="str">
        <f t="shared" si="5"/>
        <v>Ok</v>
      </c>
    </row>
    <row r="89" spans="5:8" x14ac:dyDescent="0.25">
      <c r="E89">
        <v>77</v>
      </c>
      <c r="F89">
        <v>20.419999999999998</v>
      </c>
      <c r="G89" t="s">
        <v>165</v>
      </c>
      <c r="H89" s="3" t="str">
        <f t="shared" si="5"/>
        <v>Ok</v>
      </c>
    </row>
    <row r="90" spans="5:8" x14ac:dyDescent="0.25">
      <c r="E90">
        <v>78</v>
      </c>
      <c r="F90">
        <v>20.419999999999998</v>
      </c>
      <c r="G90" t="s">
        <v>166</v>
      </c>
      <c r="H90" s="3" t="str">
        <f t="shared" si="5"/>
        <v>Ok</v>
      </c>
    </row>
    <row r="91" spans="5:8" x14ac:dyDescent="0.25">
      <c r="E91">
        <v>79</v>
      </c>
      <c r="F91">
        <v>20.419999999999998</v>
      </c>
      <c r="G91" t="s">
        <v>167</v>
      </c>
      <c r="H91" s="3" t="str">
        <f t="shared" si="5"/>
        <v>Ok</v>
      </c>
    </row>
    <row r="92" spans="5:8" x14ac:dyDescent="0.25">
      <c r="E92">
        <v>80</v>
      </c>
      <c r="F92">
        <v>20.399999999999999</v>
      </c>
      <c r="G92" t="s">
        <v>168</v>
      </c>
      <c r="H92" s="3" t="str">
        <f t="shared" si="5"/>
        <v>Ok</v>
      </c>
    </row>
    <row r="93" spans="5:8" x14ac:dyDescent="0.25">
      <c r="E93">
        <v>81</v>
      </c>
      <c r="F93">
        <v>20.439999999999998</v>
      </c>
      <c r="G93" t="s">
        <v>169</v>
      </c>
      <c r="H93" s="3" t="str">
        <f t="shared" si="5"/>
        <v>Ok</v>
      </c>
    </row>
    <row r="94" spans="5:8" x14ac:dyDescent="0.25">
      <c r="E94">
        <v>82</v>
      </c>
      <c r="F94">
        <v>20.439999999999998</v>
      </c>
      <c r="G94" t="s">
        <v>170</v>
      </c>
      <c r="H94" s="3" t="str">
        <f t="shared" si="5"/>
        <v>Ok</v>
      </c>
    </row>
    <row r="95" spans="5:8" x14ac:dyDescent="0.25">
      <c r="E95">
        <v>83</v>
      </c>
      <c r="F95">
        <v>20.419999999999998</v>
      </c>
      <c r="G95" t="s">
        <v>171</v>
      </c>
      <c r="H95" s="3" t="str">
        <f t="shared" si="5"/>
        <v>Ok</v>
      </c>
    </row>
    <row r="96" spans="5:8" x14ac:dyDescent="0.25">
      <c r="E96">
        <v>84</v>
      </c>
      <c r="F96">
        <v>20.459999999999997</v>
      </c>
      <c r="G96" t="s">
        <v>172</v>
      </c>
      <c r="H96" s="3" t="str">
        <f t="shared" si="5"/>
        <v>Ok</v>
      </c>
    </row>
    <row r="97" spans="5:8" x14ac:dyDescent="0.25">
      <c r="E97">
        <v>85</v>
      </c>
      <c r="F97">
        <v>20.439999999999998</v>
      </c>
      <c r="G97" t="s">
        <v>173</v>
      </c>
      <c r="H97" s="3" t="str">
        <f t="shared" si="5"/>
        <v>Ok</v>
      </c>
    </row>
    <row r="98" spans="5:8" x14ac:dyDescent="0.25">
      <c r="E98">
        <v>86</v>
      </c>
      <c r="F98">
        <v>20.439999999999998</v>
      </c>
      <c r="G98" t="s">
        <v>174</v>
      </c>
      <c r="H98" s="3" t="str">
        <f t="shared" si="5"/>
        <v>Ok</v>
      </c>
    </row>
    <row r="99" spans="5:8" x14ac:dyDescent="0.25">
      <c r="E99">
        <v>87</v>
      </c>
      <c r="F99">
        <v>20.439999999999998</v>
      </c>
      <c r="G99" t="s">
        <v>175</v>
      </c>
      <c r="H99" s="3" t="str">
        <f t="shared" si="5"/>
        <v>Ok</v>
      </c>
    </row>
    <row r="100" spans="5:8" x14ac:dyDescent="0.25">
      <c r="E100">
        <v>88</v>
      </c>
      <c r="F100">
        <v>20.419999999999998</v>
      </c>
      <c r="G100" t="s">
        <v>176</v>
      </c>
      <c r="H100" s="3" t="str">
        <f t="shared" si="5"/>
        <v>Ok</v>
      </c>
    </row>
    <row r="101" spans="5:8" x14ac:dyDescent="0.25">
      <c r="E101">
        <v>89</v>
      </c>
      <c r="F101">
        <v>20.439999999999998</v>
      </c>
      <c r="G101" t="s">
        <v>177</v>
      </c>
      <c r="H101" s="3" t="str">
        <f t="shared" si="5"/>
        <v>Ok</v>
      </c>
    </row>
    <row r="102" spans="5:8" x14ac:dyDescent="0.25">
      <c r="E102">
        <v>90</v>
      </c>
      <c r="F102">
        <v>20.419999999999998</v>
      </c>
      <c r="G102" t="s">
        <v>178</v>
      </c>
      <c r="H102" s="3" t="str">
        <f t="shared" si="5"/>
        <v>Ok</v>
      </c>
    </row>
    <row r="103" spans="5:8" x14ac:dyDescent="0.25">
      <c r="E103">
        <v>91</v>
      </c>
      <c r="F103">
        <v>20.419999999999998</v>
      </c>
      <c r="G103" t="s">
        <v>179</v>
      </c>
      <c r="H103" s="3" t="str">
        <f t="shared" si="5"/>
        <v>Ok</v>
      </c>
    </row>
    <row r="104" spans="5:8" x14ac:dyDescent="0.25">
      <c r="E104">
        <v>92</v>
      </c>
      <c r="F104">
        <v>20.399999999999999</v>
      </c>
      <c r="G104" t="s">
        <v>180</v>
      </c>
      <c r="H104" s="3" t="str">
        <f t="shared" si="5"/>
        <v>Ok</v>
      </c>
    </row>
    <row r="105" spans="5:8" x14ac:dyDescent="0.25">
      <c r="E105">
        <v>93</v>
      </c>
      <c r="F105">
        <v>20.439999999999998</v>
      </c>
      <c r="G105" t="s">
        <v>181</v>
      </c>
      <c r="H105" s="3" t="str">
        <f t="shared" si="5"/>
        <v>Ok</v>
      </c>
    </row>
    <row r="106" spans="5:8" x14ac:dyDescent="0.25">
      <c r="E106">
        <v>94</v>
      </c>
      <c r="F106">
        <v>20.459999999999997</v>
      </c>
      <c r="G106" t="s">
        <v>182</v>
      </c>
      <c r="H106" s="3" t="str">
        <f t="shared" si="5"/>
        <v>Ok</v>
      </c>
    </row>
    <row r="107" spans="5:8" x14ac:dyDescent="0.25">
      <c r="E107">
        <v>95</v>
      </c>
      <c r="F107">
        <v>20.399999999999999</v>
      </c>
      <c r="G107" t="s">
        <v>183</v>
      </c>
      <c r="H107" s="3" t="str">
        <f t="shared" si="5"/>
        <v>Ok</v>
      </c>
    </row>
    <row r="108" spans="5:8" x14ac:dyDescent="0.25">
      <c r="E108">
        <v>96</v>
      </c>
      <c r="F108">
        <v>20.439999999999998</v>
      </c>
      <c r="G108" t="s">
        <v>184</v>
      </c>
      <c r="H108" s="3" t="str">
        <f t="shared" si="5"/>
        <v>Ok</v>
      </c>
    </row>
    <row r="109" spans="5:8" x14ac:dyDescent="0.25">
      <c r="E109">
        <v>97</v>
      </c>
      <c r="F109">
        <v>20.419999999999998</v>
      </c>
      <c r="G109" t="s">
        <v>185</v>
      </c>
      <c r="H109" s="3" t="str">
        <f t="shared" ref="H109:H140" si="6">IF(Qn-(F109-Ta)&gt;2*ENT,"Fara E","Ok")</f>
        <v>Ok</v>
      </c>
    </row>
    <row r="110" spans="5:8" x14ac:dyDescent="0.25">
      <c r="E110">
        <v>98</v>
      </c>
      <c r="F110">
        <v>20.399999999999999</v>
      </c>
      <c r="G110" t="s">
        <v>186</v>
      </c>
      <c r="H110" s="3" t="str">
        <f t="shared" si="6"/>
        <v>Ok</v>
      </c>
    </row>
    <row r="111" spans="5:8" x14ac:dyDescent="0.25">
      <c r="E111">
        <v>99</v>
      </c>
      <c r="F111">
        <v>20.399999999999999</v>
      </c>
      <c r="G111" t="s">
        <v>187</v>
      </c>
      <c r="H111" s="3" t="str">
        <f t="shared" si="6"/>
        <v>Ok</v>
      </c>
    </row>
    <row r="112" spans="5:8" x14ac:dyDescent="0.25">
      <c r="E112">
        <v>100</v>
      </c>
      <c r="F112">
        <v>20.459999999999997</v>
      </c>
      <c r="G112" t="s">
        <v>188</v>
      </c>
      <c r="H112" s="3" t="str">
        <f t="shared" si="6"/>
        <v>Ok</v>
      </c>
    </row>
    <row r="113" spans="5:8" x14ac:dyDescent="0.25">
      <c r="E113">
        <v>101</v>
      </c>
      <c r="F113">
        <v>20.419999999999998</v>
      </c>
      <c r="G113" t="s">
        <v>189</v>
      </c>
      <c r="H113" s="3" t="str">
        <f t="shared" si="6"/>
        <v>Ok</v>
      </c>
    </row>
    <row r="114" spans="5:8" x14ac:dyDescent="0.25">
      <c r="E114">
        <v>102</v>
      </c>
      <c r="F114">
        <v>20.419999999999998</v>
      </c>
      <c r="G114" t="s">
        <v>190</v>
      </c>
      <c r="H114" s="3" t="str">
        <f t="shared" si="6"/>
        <v>Ok</v>
      </c>
    </row>
    <row r="115" spans="5:8" x14ac:dyDescent="0.25">
      <c r="E115">
        <v>103</v>
      </c>
      <c r="F115">
        <v>20.419999999999998</v>
      </c>
      <c r="G115" t="s">
        <v>191</v>
      </c>
      <c r="H115" s="3" t="str">
        <f t="shared" si="6"/>
        <v>Ok</v>
      </c>
    </row>
    <row r="116" spans="5:8" x14ac:dyDescent="0.25">
      <c r="E116">
        <v>104</v>
      </c>
      <c r="F116">
        <v>20.399999999999999</v>
      </c>
      <c r="G116" t="s">
        <v>192</v>
      </c>
      <c r="H116" s="3" t="str">
        <f t="shared" si="6"/>
        <v>Ok</v>
      </c>
    </row>
    <row r="117" spans="5:8" x14ac:dyDescent="0.25">
      <c r="E117">
        <v>105</v>
      </c>
      <c r="F117">
        <v>20.419999999999998</v>
      </c>
      <c r="G117" t="s">
        <v>193</v>
      </c>
      <c r="H117" s="3" t="str">
        <f t="shared" si="6"/>
        <v>Ok</v>
      </c>
    </row>
    <row r="118" spans="5:8" x14ac:dyDescent="0.25">
      <c r="E118">
        <v>106</v>
      </c>
      <c r="F118">
        <v>20.419999999999998</v>
      </c>
      <c r="G118" t="s">
        <v>194</v>
      </c>
      <c r="H118" s="3" t="str">
        <f t="shared" si="6"/>
        <v>Ok</v>
      </c>
    </row>
    <row r="119" spans="5:8" x14ac:dyDescent="0.25">
      <c r="E119">
        <v>107</v>
      </c>
      <c r="F119">
        <v>20.419999999999998</v>
      </c>
      <c r="G119" t="s">
        <v>195</v>
      </c>
      <c r="H119" s="3" t="str">
        <f t="shared" si="6"/>
        <v>Ok</v>
      </c>
    </row>
    <row r="120" spans="5:8" x14ac:dyDescent="0.25">
      <c r="E120">
        <v>108</v>
      </c>
      <c r="F120">
        <v>20.439999999999998</v>
      </c>
      <c r="G120" t="s">
        <v>196</v>
      </c>
      <c r="H120" s="3" t="str">
        <f t="shared" si="6"/>
        <v>Ok</v>
      </c>
    </row>
    <row r="121" spans="5:8" x14ac:dyDescent="0.25">
      <c r="E121">
        <v>109</v>
      </c>
      <c r="F121">
        <v>20.439999999999998</v>
      </c>
      <c r="G121" t="s">
        <v>197</v>
      </c>
      <c r="H121" s="3" t="str">
        <f t="shared" si="6"/>
        <v>Ok</v>
      </c>
    </row>
    <row r="122" spans="5:8" x14ac:dyDescent="0.25">
      <c r="E122">
        <v>110</v>
      </c>
      <c r="F122">
        <v>20.399999999999999</v>
      </c>
      <c r="G122" t="s">
        <v>198</v>
      </c>
      <c r="H122" s="3" t="str">
        <f t="shared" si="6"/>
        <v>Ok</v>
      </c>
    </row>
    <row r="123" spans="5:8" x14ac:dyDescent="0.25">
      <c r="E123">
        <v>111</v>
      </c>
      <c r="F123">
        <v>20.439999999999998</v>
      </c>
      <c r="G123" t="s">
        <v>199</v>
      </c>
      <c r="H123" s="3" t="str">
        <f t="shared" si="6"/>
        <v>Ok</v>
      </c>
    </row>
    <row r="124" spans="5:8" x14ac:dyDescent="0.25">
      <c r="E124">
        <v>112</v>
      </c>
      <c r="F124">
        <v>20.459999999999997</v>
      </c>
      <c r="G124" t="s">
        <v>200</v>
      </c>
      <c r="H124" s="3" t="str">
        <f t="shared" si="6"/>
        <v>Ok</v>
      </c>
    </row>
    <row r="125" spans="5:8" x14ac:dyDescent="0.25">
      <c r="E125">
        <v>113</v>
      </c>
      <c r="F125">
        <v>20.419999999999998</v>
      </c>
      <c r="G125" t="s">
        <v>201</v>
      </c>
      <c r="H125" s="3" t="str">
        <f t="shared" si="6"/>
        <v>Ok</v>
      </c>
    </row>
    <row r="126" spans="5:8" x14ac:dyDescent="0.25">
      <c r="E126">
        <v>114</v>
      </c>
      <c r="F126">
        <v>20.439999999999998</v>
      </c>
      <c r="G126" t="s">
        <v>202</v>
      </c>
      <c r="H126" s="3" t="str">
        <f t="shared" si="6"/>
        <v>Ok</v>
      </c>
    </row>
    <row r="127" spans="5:8" x14ac:dyDescent="0.25">
      <c r="E127">
        <v>115</v>
      </c>
      <c r="F127">
        <v>20.399999999999999</v>
      </c>
      <c r="G127" t="s">
        <v>203</v>
      </c>
      <c r="H127" s="3" t="str">
        <f t="shared" si="6"/>
        <v>Ok</v>
      </c>
    </row>
    <row r="128" spans="5:8" x14ac:dyDescent="0.25">
      <c r="E128">
        <v>116</v>
      </c>
      <c r="F128">
        <v>20.439999999999998</v>
      </c>
      <c r="G128" t="s">
        <v>204</v>
      </c>
      <c r="H128" s="3" t="str">
        <f t="shared" si="6"/>
        <v>Ok</v>
      </c>
    </row>
    <row r="129" spans="5:8" x14ac:dyDescent="0.25">
      <c r="E129">
        <v>117</v>
      </c>
      <c r="F129">
        <v>20.439999999999998</v>
      </c>
      <c r="G129" t="s">
        <v>205</v>
      </c>
      <c r="H129" s="3" t="str">
        <f t="shared" si="6"/>
        <v>Ok</v>
      </c>
    </row>
    <row r="130" spans="5:8" x14ac:dyDescent="0.25">
      <c r="E130">
        <v>118</v>
      </c>
      <c r="F130">
        <v>20.36</v>
      </c>
      <c r="G130" t="s">
        <v>206</v>
      </c>
      <c r="H130" s="3" t="str">
        <f t="shared" si="6"/>
        <v>Ok</v>
      </c>
    </row>
    <row r="131" spans="5:8" x14ac:dyDescent="0.25">
      <c r="E131">
        <v>119</v>
      </c>
      <c r="F131">
        <v>20.439999999999998</v>
      </c>
      <c r="G131" t="s">
        <v>207</v>
      </c>
      <c r="H131" s="3" t="str">
        <f t="shared" si="6"/>
        <v>Ok</v>
      </c>
    </row>
    <row r="132" spans="5:8" x14ac:dyDescent="0.25">
      <c r="E132">
        <v>120</v>
      </c>
      <c r="F132">
        <v>20.439999999999998</v>
      </c>
      <c r="G132" t="s">
        <v>208</v>
      </c>
      <c r="H132" s="3" t="str">
        <f t="shared" si="6"/>
        <v>Ok</v>
      </c>
    </row>
    <row r="133" spans="5:8" x14ac:dyDescent="0.25">
      <c r="E133">
        <v>121</v>
      </c>
      <c r="F133">
        <v>20.419999999999998</v>
      </c>
      <c r="G133" t="s">
        <v>209</v>
      </c>
      <c r="H133" s="3" t="str">
        <f t="shared" si="6"/>
        <v>Ok</v>
      </c>
    </row>
    <row r="134" spans="5:8" x14ac:dyDescent="0.25">
      <c r="E134">
        <v>122</v>
      </c>
      <c r="F134">
        <v>20.399999999999999</v>
      </c>
      <c r="G134" t="s">
        <v>210</v>
      </c>
      <c r="H134" s="3" t="str">
        <f t="shared" si="6"/>
        <v>Ok</v>
      </c>
    </row>
    <row r="135" spans="5:8" x14ac:dyDescent="0.25">
      <c r="E135">
        <v>123</v>
      </c>
      <c r="F135">
        <v>20.399999999999999</v>
      </c>
      <c r="G135" t="s">
        <v>211</v>
      </c>
      <c r="H135" s="3" t="str">
        <f t="shared" si="6"/>
        <v>Ok</v>
      </c>
    </row>
    <row r="136" spans="5:8" x14ac:dyDescent="0.25">
      <c r="E136">
        <v>124</v>
      </c>
      <c r="F136">
        <v>20.419999999999998</v>
      </c>
      <c r="G136" t="s">
        <v>212</v>
      </c>
      <c r="H136" s="3" t="str">
        <f t="shared" si="6"/>
        <v>Ok</v>
      </c>
    </row>
    <row r="137" spans="5:8" x14ac:dyDescent="0.25">
      <c r="E137">
        <v>125</v>
      </c>
      <c r="F137">
        <v>20.439999999999998</v>
      </c>
      <c r="G137" t="s">
        <v>213</v>
      </c>
      <c r="H137" s="3" t="str">
        <f t="shared" si="6"/>
        <v>Ok</v>
      </c>
    </row>
    <row r="138" spans="5:8" x14ac:dyDescent="0.25">
      <c r="E138">
        <v>126</v>
      </c>
      <c r="F138">
        <v>20.419999999999998</v>
      </c>
      <c r="G138" t="s">
        <v>214</v>
      </c>
      <c r="H138" s="3" t="str">
        <f t="shared" si="6"/>
        <v>Ok</v>
      </c>
    </row>
    <row r="139" spans="5:8" x14ac:dyDescent="0.25">
      <c r="E139">
        <v>127</v>
      </c>
      <c r="F139">
        <v>20.419999999999998</v>
      </c>
      <c r="G139" t="s">
        <v>215</v>
      </c>
      <c r="H139" s="3" t="str">
        <f t="shared" si="6"/>
        <v>Ok</v>
      </c>
    </row>
    <row r="140" spans="5:8" x14ac:dyDescent="0.25">
      <c r="E140">
        <v>128</v>
      </c>
      <c r="F140">
        <v>20.399999999999999</v>
      </c>
      <c r="G140" t="s">
        <v>216</v>
      </c>
      <c r="H140" s="3" t="str">
        <f t="shared" si="6"/>
        <v>Ok</v>
      </c>
    </row>
    <row r="141" spans="5:8" x14ac:dyDescent="0.25">
      <c r="E141">
        <v>129</v>
      </c>
      <c r="F141">
        <v>20.419999999999998</v>
      </c>
      <c r="G141" t="s">
        <v>217</v>
      </c>
      <c r="H141" s="3" t="str">
        <f t="shared" ref="H141:H172" si="7">IF(Qn-(F141-Ta)&gt;2*ENT,"Fara E","Ok")</f>
        <v>Ok</v>
      </c>
    </row>
    <row r="142" spans="5:8" x14ac:dyDescent="0.25">
      <c r="E142">
        <v>130</v>
      </c>
      <c r="F142">
        <v>20.419999999999998</v>
      </c>
      <c r="G142" t="s">
        <v>218</v>
      </c>
      <c r="H142" s="3" t="str">
        <f t="shared" si="7"/>
        <v>Ok</v>
      </c>
    </row>
    <row r="143" spans="5:8" x14ac:dyDescent="0.25">
      <c r="E143">
        <v>131</v>
      </c>
      <c r="F143">
        <v>20.419999999999998</v>
      </c>
      <c r="G143" t="s">
        <v>219</v>
      </c>
      <c r="H143" s="3" t="str">
        <f t="shared" si="7"/>
        <v>Ok</v>
      </c>
    </row>
    <row r="144" spans="5:8" x14ac:dyDescent="0.25">
      <c r="E144">
        <v>132</v>
      </c>
      <c r="F144">
        <v>20.399999999999999</v>
      </c>
      <c r="G144" t="s">
        <v>220</v>
      </c>
      <c r="H144" s="3" t="str">
        <f t="shared" si="7"/>
        <v>Ok</v>
      </c>
    </row>
    <row r="145" spans="5:8" x14ac:dyDescent="0.25">
      <c r="E145">
        <v>133</v>
      </c>
      <c r="F145">
        <v>20.419999999999998</v>
      </c>
      <c r="G145" t="s">
        <v>221</v>
      </c>
      <c r="H145" s="3" t="str">
        <f t="shared" si="7"/>
        <v>Ok</v>
      </c>
    </row>
    <row r="146" spans="5:8" x14ac:dyDescent="0.25">
      <c r="E146">
        <v>134</v>
      </c>
      <c r="F146">
        <v>20.439999999999998</v>
      </c>
      <c r="G146" t="s">
        <v>222</v>
      </c>
      <c r="H146" s="3" t="str">
        <f t="shared" si="7"/>
        <v>Ok</v>
      </c>
    </row>
    <row r="147" spans="5:8" x14ac:dyDescent="0.25">
      <c r="E147">
        <v>135</v>
      </c>
      <c r="F147">
        <v>20.399999999999999</v>
      </c>
      <c r="G147" t="s">
        <v>223</v>
      </c>
      <c r="H147" s="3" t="str">
        <f t="shared" si="7"/>
        <v>Ok</v>
      </c>
    </row>
    <row r="148" spans="5:8" x14ac:dyDescent="0.25">
      <c r="E148">
        <v>136</v>
      </c>
      <c r="F148">
        <v>20.399999999999999</v>
      </c>
      <c r="G148" t="s">
        <v>224</v>
      </c>
      <c r="H148" s="3" t="str">
        <f t="shared" si="7"/>
        <v>Ok</v>
      </c>
    </row>
    <row r="149" spans="5:8" x14ac:dyDescent="0.25">
      <c r="E149">
        <v>137</v>
      </c>
      <c r="F149">
        <v>20.419999999999998</v>
      </c>
      <c r="G149" t="s">
        <v>225</v>
      </c>
      <c r="H149" s="3" t="str">
        <f t="shared" si="7"/>
        <v>Ok</v>
      </c>
    </row>
    <row r="150" spans="5:8" x14ac:dyDescent="0.25">
      <c r="E150">
        <v>138</v>
      </c>
      <c r="F150">
        <v>20.439999999999998</v>
      </c>
      <c r="G150" t="s">
        <v>226</v>
      </c>
      <c r="H150" s="3" t="str">
        <f t="shared" si="7"/>
        <v>Ok</v>
      </c>
    </row>
    <row r="151" spans="5:8" x14ac:dyDescent="0.25">
      <c r="E151">
        <v>139</v>
      </c>
      <c r="F151">
        <v>20.419999999999998</v>
      </c>
      <c r="G151" t="s">
        <v>227</v>
      </c>
      <c r="H151" s="3" t="str">
        <f t="shared" si="7"/>
        <v>Ok</v>
      </c>
    </row>
    <row r="152" spans="5:8" x14ac:dyDescent="0.25">
      <c r="E152">
        <v>140</v>
      </c>
      <c r="F152">
        <v>20.399999999999999</v>
      </c>
      <c r="G152" t="s">
        <v>228</v>
      </c>
      <c r="H152" s="3" t="str">
        <f t="shared" si="7"/>
        <v>Ok</v>
      </c>
    </row>
    <row r="153" spans="5:8" x14ac:dyDescent="0.25">
      <c r="E153">
        <v>141</v>
      </c>
      <c r="F153">
        <v>20.439999999999998</v>
      </c>
      <c r="G153" t="s">
        <v>229</v>
      </c>
      <c r="H153" s="3" t="str">
        <f t="shared" si="7"/>
        <v>Ok</v>
      </c>
    </row>
    <row r="154" spans="5:8" x14ac:dyDescent="0.25">
      <c r="E154">
        <v>142</v>
      </c>
      <c r="F154">
        <v>20.419999999999998</v>
      </c>
      <c r="G154" t="s">
        <v>230</v>
      </c>
      <c r="H154" s="3" t="str">
        <f t="shared" si="7"/>
        <v>Ok</v>
      </c>
    </row>
    <row r="155" spans="5:8" x14ac:dyDescent="0.25">
      <c r="E155">
        <v>143</v>
      </c>
      <c r="F155">
        <v>20.439999999999998</v>
      </c>
      <c r="G155" t="s">
        <v>231</v>
      </c>
      <c r="H155" s="3" t="str">
        <f t="shared" si="7"/>
        <v>Ok</v>
      </c>
    </row>
    <row r="156" spans="5:8" x14ac:dyDescent="0.25">
      <c r="E156">
        <v>144</v>
      </c>
      <c r="F156">
        <v>20.439999999999998</v>
      </c>
      <c r="G156" t="s">
        <v>232</v>
      </c>
      <c r="H156" s="3" t="str">
        <f t="shared" si="7"/>
        <v>Ok</v>
      </c>
    </row>
    <row r="157" spans="5:8" x14ac:dyDescent="0.25">
      <c r="E157">
        <v>145</v>
      </c>
      <c r="F157">
        <v>20.439999999999998</v>
      </c>
      <c r="G157" t="s">
        <v>233</v>
      </c>
      <c r="H157" s="3" t="str">
        <f t="shared" si="7"/>
        <v>Ok</v>
      </c>
    </row>
    <row r="158" spans="5:8" x14ac:dyDescent="0.25">
      <c r="E158">
        <v>146</v>
      </c>
      <c r="F158">
        <v>20.439999999999998</v>
      </c>
      <c r="G158" t="s">
        <v>234</v>
      </c>
      <c r="H158" s="3" t="str">
        <f t="shared" si="7"/>
        <v>Ok</v>
      </c>
    </row>
    <row r="159" spans="5:8" x14ac:dyDescent="0.25">
      <c r="E159">
        <v>147</v>
      </c>
      <c r="F159">
        <v>20.419999999999998</v>
      </c>
      <c r="G159" t="s">
        <v>235</v>
      </c>
      <c r="H159" s="3" t="str">
        <f t="shared" si="7"/>
        <v>Ok</v>
      </c>
    </row>
    <row r="160" spans="5:8" x14ac:dyDescent="0.25">
      <c r="E160">
        <v>148</v>
      </c>
      <c r="F160">
        <v>20.399999999999999</v>
      </c>
      <c r="G160" t="s">
        <v>236</v>
      </c>
      <c r="H160" s="3" t="str">
        <f t="shared" si="7"/>
        <v>Ok</v>
      </c>
    </row>
    <row r="161" spans="5:8" x14ac:dyDescent="0.25">
      <c r="E161">
        <v>149</v>
      </c>
      <c r="F161">
        <v>20.439999999999998</v>
      </c>
      <c r="G161" t="s">
        <v>237</v>
      </c>
      <c r="H161" s="3" t="str">
        <f t="shared" si="7"/>
        <v>Ok</v>
      </c>
    </row>
    <row r="162" spans="5:8" x14ac:dyDescent="0.25">
      <c r="E162">
        <v>150</v>
      </c>
      <c r="F162">
        <v>20.419999999999998</v>
      </c>
      <c r="G162" t="s">
        <v>238</v>
      </c>
      <c r="H162" s="3" t="str">
        <f t="shared" si="7"/>
        <v>Ok</v>
      </c>
    </row>
    <row r="163" spans="5:8" x14ac:dyDescent="0.25">
      <c r="E163">
        <v>151</v>
      </c>
      <c r="F163">
        <v>20.399999999999999</v>
      </c>
      <c r="G163" t="s">
        <v>239</v>
      </c>
      <c r="H163" s="3" t="str">
        <f t="shared" si="7"/>
        <v>Ok</v>
      </c>
    </row>
    <row r="164" spans="5:8" x14ac:dyDescent="0.25">
      <c r="E164">
        <v>152</v>
      </c>
      <c r="F164">
        <v>20.439999999999998</v>
      </c>
      <c r="G164" t="s">
        <v>240</v>
      </c>
      <c r="H164" s="3" t="str">
        <f t="shared" si="7"/>
        <v>Ok</v>
      </c>
    </row>
    <row r="165" spans="5:8" x14ac:dyDescent="0.25">
      <c r="E165">
        <v>153</v>
      </c>
      <c r="F165">
        <v>20.399999999999999</v>
      </c>
      <c r="G165" t="s">
        <v>241</v>
      </c>
      <c r="H165" s="3" t="str">
        <f t="shared" si="7"/>
        <v>Ok</v>
      </c>
    </row>
    <row r="166" spans="5:8" x14ac:dyDescent="0.25">
      <c r="E166">
        <v>154</v>
      </c>
      <c r="F166">
        <v>20.399999999999999</v>
      </c>
      <c r="G166" t="s">
        <v>242</v>
      </c>
      <c r="H166" s="3" t="str">
        <f t="shared" si="7"/>
        <v>Ok</v>
      </c>
    </row>
    <row r="167" spans="5:8" x14ac:dyDescent="0.25">
      <c r="E167">
        <v>155</v>
      </c>
      <c r="F167">
        <v>20.419999999999998</v>
      </c>
      <c r="G167" t="s">
        <v>243</v>
      </c>
      <c r="H167" s="3" t="str">
        <f t="shared" si="7"/>
        <v>Ok</v>
      </c>
    </row>
    <row r="168" spans="5:8" x14ac:dyDescent="0.25">
      <c r="E168">
        <v>156</v>
      </c>
      <c r="F168">
        <v>20.419999999999998</v>
      </c>
      <c r="G168" t="s">
        <v>244</v>
      </c>
      <c r="H168" s="3" t="str">
        <f t="shared" si="7"/>
        <v>Ok</v>
      </c>
    </row>
    <row r="169" spans="5:8" x14ac:dyDescent="0.25">
      <c r="E169">
        <v>157</v>
      </c>
      <c r="F169">
        <v>20.38</v>
      </c>
      <c r="G169" t="s">
        <v>245</v>
      </c>
      <c r="H169" s="3" t="str">
        <f t="shared" si="7"/>
        <v>Ok</v>
      </c>
    </row>
    <row r="170" spans="5:8" x14ac:dyDescent="0.25">
      <c r="E170">
        <v>158</v>
      </c>
      <c r="F170">
        <v>20.439999999999998</v>
      </c>
      <c r="G170" t="s">
        <v>246</v>
      </c>
      <c r="H170" s="3" t="str">
        <f t="shared" si="7"/>
        <v>Ok</v>
      </c>
    </row>
    <row r="171" spans="5:8" x14ac:dyDescent="0.25">
      <c r="E171">
        <v>159</v>
      </c>
      <c r="F171">
        <v>20.399999999999999</v>
      </c>
      <c r="G171" t="s">
        <v>247</v>
      </c>
      <c r="H171" s="3" t="str">
        <f t="shared" si="7"/>
        <v>Ok</v>
      </c>
    </row>
    <row r="172" spans="5:8" x14ac:dyDescent="0.25">
      <c r="E172">
        <v>160</v>
      </c>
      <c r="F172">
        <v>20.419999999999998</v>
      </c>
      <c r="G172" t="s">
        <v>248</v>
      </c>
      <c r="H172" s="3" t="str">
        <f t="shared" si="7"/>
        <v>Ok</v>
      </c>
    </row>
    <row r="173" spans="5:8" x14ac:dyDescent="0.25">
      <c r="E173">
        <v>161</v>
      </c>
      <c r="F173">
        <v>20.399999999999999</v>
      </c>
      <c r="G173" t="s">
        <v>249</v>
      </c>
      <c r="H173" s="3" t="str">
        <f t="shared" ref="H173:H194" si="8">IF(Qn-(F173-Ta)&gt;2*ENT,"Fara E","Ok")</f>
        <v>Ok</v>
      </c>
    </row>
    <row r="174" spans="5:8" x14ac:dyDescent="0.25">
      <c r="E174">
        <v>162</v>
      </c>
      <c r="F174">
        <v>20.419999999999998</v>
      </c>
      <c r="G174" t="s">
        <v>250</v>
      </c>
      <c r="H174" s="3" t="str">
        <f t="shared" si="8"/>
        <v>Ok</v>
      </c>
    </row>
    <row r="175" spans="5:8" x14ac:dyDescent="0.25">
      <c r="E175">
        <v>163</v>
      </c>
      <c r="F175">
        <v>20.399999999999999</v>
      </c>
      <c r="G175" t="s">
        <v>251</v>
      </c>
      <c r="H175" s="3" t="str">
        <f t="shared" si="8"/>
        <v>Ok</v>
      </c>
    </row>
    <row r="176" spans="5:8" x14ac:dyDescent="0.25">
      <c r="E176">
        <v>164</v>
      </c>
      <c r="F176">
        <v>20.439999999999998</v>
      </c>
      <c r="G176" t="s">
        <v>252</v>
      </c>
      <c r="H176" s="3" t="str">
        <f t="shared" si="8"/>
        <v>Ok</v>
      </c>
    </row>
    <row r="177" spans="5:8" x14ac:dyDescent="0.25">
      <c r="E177">
        <v>165</v>
      </c>
      <c r="F177">
        <v>20.399999999999999</v>
      </c>
      <c r="G177" t="s">
        <v>253</v>
      </c>
      <c r="H177" s="3" t="str">
        <f t="shared" si="8"/>
        <v>Ok</v>
      </c>
    </row>
    <row r="178" spans="5:8" x14ac:dyDescent="0.25">
      <c r="E178">
        <v>166</v>
      </c>
      <c r="F178">
        <v>20.38</v>
      </c>
      <c r="G178" t="s">
        <v>254</v>
      </c>
      <c r="H178" s="3" t="str">
        <f t="shared" si="8"/>
        <v>Ok</v>
      </c>
    </row>
    <row r="179" spans="5:8" x14ac:dyDescent="0.25">
      <c r="E179">
        <v>167</v>
      </c>
      <c r="F179">
        <v>20.419999999999998</v>
      </c>
      <c r="G179" t="s">
        <v>255</v>
      </c>
      <c r="H179" s="3" t="str">
        <f t="shared" si="8"/>
        <v>Ok</v>
      </c>
    </row>
    <row r="180" spans="5:8" x14ac:dyDescent="0.25">
      <c r="E180">
        <v>168</v>
      </c>
      <c r="F180">
        <v>20.419999999999998</v>
      </c>
      <c r="G180" t="s">
        <v>256</v>
      </c>
      <c r="H180" s="3" t="str">
        <f t="shared" si="8"/>
        <v>Ok</v>
      </c>
    </row>
    <row r="181" spans="5:8" x14ac:dyDescent="0.25">
      <c r="E181">
        <v>169</v>
      </c>
      <c r="F181">
        <v>20.419999999999998</v>
      </c>
      <c r="G181" t="s">
        <v>257</v>
      </c>
      <c r="H181" s="3" t="str">
        <f t="shared" si="8"/>
        <v>Ok</v>
      </c>
    </row>
    <row r="182" spans="5:8" x14ac:dyDescent="0.25">
      <c r="E182">
        <v>170</v>
      </c>
      <c r="F182">
        <v>20.399999999999999</v>
      </c>
      <c r="G182" t="s">
        <v>258</v>
      </c>
      <c r="H182" s="3" t="str">
        <f t="shared" si="8"/>
        <v>Ok</v>
      </c>
    </row>
    <row r="183" spans="5:8" x14ac:dyDescent="0.25">
      <c r="E183">
        <v>171</v>
      </c>
      <c r="F183">
        <v>20.439999999999998</v>
      </c>
      <c r="G183" t="s">
        <v>259</v>
      </c>
      <c r="H183" s="3" t="str">
        <f t="shared" si="8"/>
        <v>Ok</v>
      </c>
    </row>
    <row r="184" spans="5:8" x14ac:dyDescent="0.25">
      <c r="E184">
        <v>172</v>
      </c>
      <c r="F184">
        <v>20.419999999999998</v>
      </c>
      <c r="G184" t="s">
        <v>260</v>
      </c>
      <c r="H184" s="3" t="str">
        <f t="shared" si="8"/>
        <v>Ok</v>
      </c>
    </row>
    <row r="185" spans="5:8" x14ac:dyDescent="0.25">
      <c r="E185">
        <v>173</v>
      </c>
      <c r="F185">
        <v>20.399999999999999</v>
      </c>
      <c r="G185" t="s">
        <v>261</v>
      </c>
      <c r="H185" s="3" t="str">
        <f t="shared" si="8"/>
        <v>Ok</v>
      </c>
    </row>
    <row r="186" spans="5:8" x14ac:dyDescent="0.25">
      <c r="E186">
        <v>174</v>
      </c>
      <c r="F186">
        <v>20.419999999999998</v>
      </c>
      <c r="G186" t="s">
        <v>262</v>
      </c>
      <c r="H186" s="3" t="str">
        <f t="shared" si="8"/>
        <v>Ok</v>
      </c>
    </row>
    <row r="187" spans="5:8" x14ac:dyDescent="0.25">
      <c r="E187">
        <v>175</v>
      </c>
      <c r="F187">
        <v>20.419999999999998</v>
      </c>
      <c r="G187" t="s">
        <v>263</v>
      </c>
      <c r="H187" s="3" t="str">
        <f t="shared" si="8"/>
        <v>Ok</v>
      </c>
    </row>
    <row r="188" spans="5:8" x14ac:dyDescent="0.25">
      <c r="E188">
        <v>176</v>
      </c>
      <c r="F188">
        <v>20.439999999999998</v>
      </c>
      <c r="G188" t="s">
        <v>264</v>
      </c>
      <c r="H188" s="3" t="str">
        <f t="shared" si="8"/>
        <v>Ok</v>
      </c>
    </row>
    <row r="189" spans="5:8" x14ac:dyDescent="0.25">
      <c r="E189">
        <v>177</v>
      </c>
      <c r="F189">
        <v>20.419999999999998</v>
      </c>
      <c r="G189" t="s">
        <v>265</v>
      </c>
      <c r="H189" s="3" t="str">
        <f t="shared" si="8"/>
        <v>Ok</v>
      </c>
    </row>
    <row r="190" spans="5:8" x14ac:dyDescent="0.25">
      <c r="E190">
        <v>178</v>
      </c>
      <c r="F190">
        <v>20.439999999999998</v>
      </c>
      <c r="G190" t="s">
        <v>266</v>
      </c>
      <c r="H190" s="3" t="str">
        <f t="shared" si="8"/>
        <v>Ok</v>
      </c>
    </row>
    <row r="191" spans="5:8" x14ac:dyDescent="0.25">
      <c r="E191">
        <v>179</v>
      </c>
      <c r="F191">
        <v>20.399999999999999</v>
      </c>
      <c r="G191" t="s">
        <v>267</v>
      </c>
      <c r="H191" s="3" t="str">
        <f t="shared" si="8"/>
        <v>Ok</v>
      </c>
    </row>
    <row r="192" spans="5:8" x14ac:dyDescent="0.25">
      <c r="E192">
        <v>180</v>
      </c>
      <c r="F192">
        <v>20.419999999999998</v>
      </c>
      <c r="G192" t="s">
        <v>268</v>
      </c>
      <c r="H192" s="3" t="str">
        <f t="shared" si="8"/>
        <v>Ok</v>
      </c>
    </row>
    <row r="193" spans="5:8" x14ac:dyDescent="0.25">
      <c r="E193">
        <v>181</v>
      </c>
      <c r="F193">
        <v>20.439999999999998</v>
      </c>
      <c r="G193" t="s">
        <v>269</v>
      </c>
      <c r="H193" s="3" t="str">
        <f t="shared" si="8"/>
        <v>Ok</v>
      </c>
    </row>
    <row r="194" spans="5:8" x14ac:dyDescent="0.25">
      <c r="E194">
        <v>182</v>
      </c>
      <c r="F194">
        <v>20.419999999999998</v>
      </c>
      <c r="G194" t="s">
        <v>270</v>
      </c>
      <c r="H194" s="3" t="str">
        <f t="shared" si="8"/>
        <v>Ok</v>
      </c>
    </row>
    <row r="195" spans="5:8" x14ac:dyDescent="0.25">
      <c r="E195"/>
      <c r="F195"/>
      <c r="G195"/>
    </row>
    <row r="196" spans="5:8" x14ac:dyDescent="0.25">
      <c r="E196"/>
      <c r="F196"/>
      <c r="G196"/>
    </row>
    <row r="197" spans="5:8" x14ac:dyDescent="0.25">
      <c r="E197"/>
      <c r="F197"/>
      <c r="G197"/>
    </row>
    <row r="198" spans="5:8" x14ac:dyDescent="0.25">
      <c r="E198"/>
      <c r="F198"/>
      <c r="G198"/>
    </row>
    <row r="199" spans="5:8" x14ac:dyDescent="0.25">
      <c r="E199"/>
      <c r="F199"/>
      <c r="G199"/>
    </row>
    <row r="200" spans="5:8" x14ac:dyDescent="0.25">
      <c r="E200"/>
      <c r="F200"/>
      <c r="G200"/>
    </row>
    <row r="201" spans="5:8" x14ac:dyDescent="0.25">
      <c r="E201"/>
      <c r="F201"/>
      <c r="G201"/>
    </row>
    <row r="202" spans="5:8" x14ac:dyDescent="0.25">
      <c r="E202"/>
      <c r="F202"/>
      <c r="G202"/>
    </row>
    <row r="203" spans="5:8" x14ac:dyDescent="0.25">
      <c r="E203"/>
      <c r="F203"/>
      <c r="G203"/>
    </row>
    <row r="204" spans="5:8" x14ac:dyDescent="0.25">
      <c r="E204"/>
      <c r="F204"/>
      <c r="G204"/>
    </row>
    <row r="205" spans="5:8" x14ac:dyDescent="0.25">
      <c r="E205"/>
      <c r="F205"/>
      <c r="G205"/>
    </row>
    <row r="206" spans="5:8" x14ac:dyDescent="0.25">
      <c r="E206"/>
      <c r="F206"/>
      <c r="G206"/>
    </row>
    <row r="207" spans="5:8" x14ac:dyDescent="0.25">
      <c r="E207"/>
      <c r="F207"/>
      <c r="G207"/>
    </row>
    <row r="208" spans="5:8" x14ac:dyDescent="0.25">
      <c r="E208"/>
      <c r="F208"/>
      <c r="G208"/>
    </row>
    <row r="209" spans="5:7" x14ac:dyDescent="0.25">
      <c r="E209"/>
      <c r="F209"/>
      <c r="G209"/>
    </row>
    <row r="210" spans="5:7" x14ac:dyDescent="0.25">
      <c r="E210"/>
      <c r="F210"/>
      <c r="G210"/>
    </row>
    <row r="211" spans="5:7" x14ac:dyDescent="0.25">
      <c r="E211"/>
      <c r="F211"/>
      <c r="G211"/>
    </row>
    <row r="212" spans="5:7" x14ac:dyDescent="0.25">
      <c r="E212"/>
      <c r="F212"/>
      <c r="G212"/>
    </row>
    <row r="213" spans="5:7" x14ac:dyDescent="0.25">
      <c r="E213"/>
      <c r="F213"/>
      <c r="G213"/>
    </row>
    <row r="214" spans="5:7" x14ac:dyDescent="0.25">
      <c r="E214"/>
      <c r="F214"/>
      <c r="G214"/>
    </row>
    <row r="215" spans="5:7" x14ac:dyDescent="0.25">
      <c r="E215"/>
      <c r="F215"/>
      <c r="G215"/>
    </row>
    <row r="216" spans="5:7" x14ac:dyDescent="0.25">
      <c r="E216"/>
      <c r="F216"/>
      <c r="G216"/>
    </row>
    <row r="217" spans="5:7" x14ac:dyDescent="0.25">
      <c r="E217"/>
      <c r="F217"/>
      <c r="G217"/>
    </row>
    <row r="218" spans="5:7" x14ac:dyDescent="0.25">
      <c r="E218"/>
      <c r="F218"/>
      <c r="G218"/>
    </row>
    <row r="219" spans="5:7" x14ac:dyDescent="0.25">
      <c r="E219"/>
      <c r="F219"/>
      <c r="G219"/>
    </row>
    <row r="220" spans="5:7" x14ac:dyDescent="0.25">
      <c r="E220"/>
      <c r="F220"/>
      <c r="G220"/>
    </row>
    <row r="221" spans="5:7" x14ac:dyDescent="0.25">
      <c r="E221"/>
      <c r="F221"/>
      <c r="G221"/>
    </row>
    <row r="222" spans="5:7" x14ac:dyDescent="0.25">
      <c r="E222"/>
      <c r="F222"/>
      <c r="G222"/>
    </row>
    <row r="223" spans="5:7" x14ac:dyDescent="0.25">
      <c r="E223"/>
      <c r="F223"/>
      <c r="G223"/>
    </row>
    <row r="224" spans="5:7" x14ac:dyDescent="0.25">
      <c r="E224"/>
      <c r="F224"/>
      <c r="G224"/>
    </row>
    <row r="225" spans="5:7" x14ac:dyDescent="0.25">
      <c r="E225"/>
      <c r="F225"/>
      <c r="G225"/>
    </row>
    <row r="226" spans="5:7" x14ac:dyDescent="0.25">
      <c r="E226"/>
      <c r="F226"/>
      <c r="G226"/>
    </row>
    <row r="227" spans="5:7" x14ac:dyDescent="0.25">
      <c r="E227"/>
      <c r="F227"/>
      <c r="G227"/>
    </row>
    <row r="228" spans="5:7" x14ac:dyDescent="0.25">
      <c r="E228"/>
      <c r="F228"/>
      <c r="G228"/>
    </row>
    <row r="229" spans="5:7" x14ac:dyDescent="0.25">
      <c r="E229"/>
      <c r="F229"/>
      <c r="G229"/>
    </row>
    <row r="230" spans="5:7" x14ac:dyDescent="0.25">
      <c r="E230"/>
      <c r="F230"/>
      <c r="G230"/>
    </row>
    <row r="231" spans="5:7" x14ac:dyDescent="0.25">
      <c r="E231"/>
      <c r="F231"/>
      <c r="G231"/>
    </row>
    <row r="232" spans="5:7" x14ac:dyDescent="0.25">
      <c r="E232"/>
      <c r="F232"/>
      <c r="G232"/>
    </row>
    <row r="233" spans="5:7" x14ac:dyDescent="0.25">
      <c r="E233"/>
      <c r="F233"/>
      <c r="G233"/>
    </row>
    <row r="234" spans="5:7" x14ac:dyDescent="0.25">
      <c r="E234"/>
      <c r="F234"/>
      <c r="G234"/>
    </row>
    <row r="235" spans="5:7" x14ac:dyDescent="0.25">
      <c r="E235"/>
      <c r="F235"/>
      <c r="G235"/>
    </row>
    <row r="236" spans="5:7" x14ac:dyDescent="0.25">
      <c r="E236"/>
      <c r="F236"/>
      <c r="G236"/>
    </row>
    <row r="237" spans="5:7" x14ac:dyDescent="0.25">
      <c r="E237"/>
      <c r="F237"/>
      <c r="G237"/>
    </row>
    <row r="238" spans="5:7" x14ac:dyDescent="0.25">
      <c r="E238"/>
      <c r="F238"/>
      <c r="G238"/>
    </row>
    <row r="239" spans="5:7" x14ac:dyDescent="0.25">
      <c r="E239"/>
      <c r="F239"/>
      <c r="G239"/>
    </row>
    <row r="240" spans="5:7" x14ac:dyDescent="0.25">
      <c r="E240"/>
      <c r="F240"/>
      <c r="G240"/>
    </row>
    <row r="241" spans="5:7" x14ac:dyDescent="0.25">
      <c r="E241"/>
      <c r="F241"/>
      <c r="G241"/>
    </row>
    <row r="242" spans="5:7" x14ac:dyDescent="0.25">
      <c r="E242"/>
      <c r="F242"/>
      <c r="G242"/>
    </row>
    <row r="243" spans="5:7" x14ac:dyDescent="0.25">
      <c r="E243"/>
      <c r="F243"/>
      <c r="G243"/>
    </row>
    <row r="244" spans="5:7" x14ac:dyDescent="0.25">
      <c r="E244"/>
      <c r="F244"/>
      <c r="G244"/>
    </row>
    <row r="245" spans="5:7" x14ac:dyDescent="0.25">
      <c r="E245"/>
      <c r="F245"/>
      <c r="G245"/>
    </row>
    <row r="246" spans="5:7" x14ac:dyDescent="0.25">
      <c r="E246"/>
      <c r="F246"/>
      <c r="G246"/>
    </row>
    <row r="247" spans="5:7" x14ac:dyDescent="0.25">
      <c r="E247"/>
      <c r="F247"/>
      <c r="G247"/>
    </row>
    <row r="248" spans="5:7" x14ac:dyDescent="0.25">
      <c r="E248"/>
      <c r="F248"/>
      <c r="G248"/>
    </row>
    <row r="249" spans="5:7" x14ac:dyDescent="0.25">
      <c r="E249"/>
      <c r="F249"/>
      <c r="G249"/>
    </row>
    <row r="250" spans="5:7" x14ac:dyDescent="0.25">
      <c r="E250"/>
      <c r="F250"/>
      <c r="G250"/>
    </row>
    <row r="251" spans="5:7" x14ac:dyDescent="0.25">
      <c r="E251"/>
      <c r="F251"/>
      <c r="G251"/>
    </row>
    <row r="252" spans="5:7" x14ac:dyDescent="0.25">
      <c r="E252"/>
      <c r="F252"/>
      <c r="G252"/>
    </row>
    <row r="253" spans="5:7" x14ac:dyDescent="0.25">
      <c r="E253"/>
      <c r="F253"/>
      <c r="G253"/>
    </row>
    <row r="254" spans="5:7" x14ac:dyDescent="0.25">
      <c r="E254"/>
      <c r="F254"/>
      <c r="G254"/>
    </row>
    <row r="255" spans="5:7" x14ac:dyDescent="0.25">
      <c r="E255"/>
      <c r="F255"/>
      <c r="G255"/>
    </row>
    <row r="256" spans="5:7" x14ac:dyDescent="0.25">
      <c r="E256"/>
      <c r="F256"/>
      <c r="G256"/>
    </row>
    <row r="257" spans="5:7" x14ac:dyDescent="0.25">
      <c r="E257"/>
      <c r="F257"/>
      <c r="G257"/>
    </row>
    <row r="258" spans="5:7" x14ac:dyDescent="0.25">
      <c r="E258"/>
      <c r="F258"/>
      <c r="G258"/>
    </row>
    <row r="259" spans="5:7" x14ac:dyDescent="0.25">
      <c r="E259"/>
      <c r="F259"/>
      <c r="G259"/>
    </row>
    <row r="260" spans="5:7" x14ac:dyDescent="0.25">
      <c r="E260"/>
      <c r="F260"/>
      <c r="G260"/>
    </row>
    <row r="261" spans="5:7" x14ac:dyDescent="0.25">
      <c r="E261"/>
      <c r="F261"/>
      <c r="G261"/>
    </row>
    <row r="262" spans="5:7" x14ac:dyDescent="0.25">
      <c r="E262"/>
      <c r="F262"/>
      <c r="G262"/>
    </row>
    <row r="263" spans="5:7" x14ac:dyDescent="0.25">
      <c r="E263"/>
      <c r="F263"/>
      <c r="G263"/>
    </row>
    <row r="264" spans="5:7" x14ac:dyDescent="0.25">
      <c r="E264"/>
      <c r="F264"/>
      <c r="G264"/>
    </row>
    <row r="265" spans="5:7" x14ac:dyDescent="0.25">
      <c r="E265"/>
      <c r="F265"/>
      <c r="G265"/>
    </row>
    <row r="266" spans="5:7" x14ac:dyDescent="0.25">
      <c r="E266"/>
      <c r="F266"/>
      <c r="G266"/>
    </row>
    <row r="267" spans="5:7" x14ac:dyDescent="0.25">
      <c r="E267"/>
      <c r="F267"/>
      <c r="G267"/>
    </row>
    <row r="268" spans="5:7" x14ac:dyDescent="0.25">
      <c r="E268"/>
      <c r="F268"/>
      <c r="G268"/>
    </row>
    <row r="269" spans="5:7" x14ac:dyDescent="0.25">
      <c r="E269"/>
      <c r="F269"/>
      <c r="G269"/>
    </row>
    <row r="270" spans="5:7" x14ac:dyDescent="0.25">
      <c r="E270"/>
      <c r="F270"/>
      <c r="G270"/>
    </row>
    <row r="271" spans="5:7" x14ac:dyDescent="0.25">
      <c r="E271"/>
      <c r="F271"/>
      <c r="G271"/>
    </row>
    <row r="272" spans="5:7" x14ac:dyDescent="0.25">
      <c r="E272"/>
      <c r="F272"/>
      <c r="G272"/>
    </row>
    <row r="273" spans="5:7" x14ac:dyDescent="0.25">
      <c r="E273"/>
      <c r="F273"/>
      <c r="G273"/>
    </row>
    <row r="274" spans="5:7" x14ac:dyDescent="0.25">
      <c r="E274"/>
      <c r="F274"/>
      <c r="G274"/>
    </row>
    <row r="275" spans="5:7" x14ac:dyDescent="0.25">
      <c r="E275"/>
      <c r="F275"/>
      <c r="G275"/>
    </row>
    <row r="276" spans="5:7" x14ac:dyDescent="0.25">
      <c r="E276"/>
      <c r="F276"/>
      <c r="G276"/>
    </row>
    <row r="277" spans="5:7" x14ac:dyDescent="0.25">
      <c r="E277"/>
      <c r="F277"/>
      <c r="G277"/>
    </row>
    <row r="278" spans="5:7" x14ac:dyDescent="0.25">
      <c r="E278"/>
      <c r="F278"/>
      <c r="G278"/>
    </row>
    <row r="279" spans="5:7" x14ac:dyDescent="0.25">
      <c r="E279"/>
      <c r="F279"/>
      <c r="G279"/>
    </row>
    <row r="280" spans="5:7" x14ac:dyDescent="0.25">
      <c r="E280"/>
      <c r="F280"/>
      <c r="G280"/>
    </row>
    <row r="281" spans="5:7" x14ac:dyDescent="0.25">
      <c r="E281"/>
      <c r="F281"/>
      <c r="G281"/>
    </row>
    <row r="282" spans="5:7" x14ac:dyDescent="0.25">
      <c r="E282"/>
      <c r="F282"/>
      <c r="G282"/>
    </row>
    <row r="283" spans="5:7" x14ac:dyDescent="0.25">
      <c r="E283"/>
      <c r="F283"/>
      <c r="G283"/>
    </row>
    <row r="284" spans="5:7" x14ac:dyDescent="0.25">
      <c r="E284"/>
      <c r="F284"/>
      <c r="G284"/>
    </row>
    <row r="285" spans="5:7" x14ac:dyDescent="0.25">
      <c r="E285"/>
      <c r="F285"/>
      <c r="G285"/>
    </row>
    <row r="286" spans="5:7" x14ac:dyDescent="0.25">
      <c r="E286"/>
      <c r="F286"/>
      <c r="G286"/>
    </row>
    <row r="287" spans="5:7" x14ac:dyDescent="0.25">
      <c r="E287"/>
      <c r="F287"/>
      <c r="G287"/>
    </row>
    <row r="288" spans="5:7" x14ac:dyDescent="0.25">
      <c r="E288"/>
      <c r="F288"/>
      <c r="G288"/>
    </row>
    <row r="289" spans="5:7" x14ac:dyDescent="0.25">
      <c r="E289"/>
      <c r="F289"/>
      <c r="G289"/>
    </row>
    <row r="290" spans="5:7" x14ac:dyDescent="0.25">
      <c r="E290"/>
      <c r="F290"/>
      <c r="G290"/>
    </row>
    <row r="291" spans="5:7" x14ac:dyDescent="0.25">
      <c r="E291"/>
      <c r="F291"/>
      <c r="G291"/>
    </row>
    <row r="292" spans="5:7" x14ac:dyDescent="0.25">
      <c r="E292"/>
      <c r="F292"/>
      <c r="G292"/>
    </row>
    <row r="293" spans="5:7" x14ac:dyDescent="0.25">
      <c r="E293"/>
      <c r="F293"/>
      <c r="G293"/>
    </row>
    <row r="294" spans="5:7" x14ac:dyDescent="0.25">
      <c r="E294"/>
      <c r="F294"/>
      <c r="G294"/>
    </row>
    <row r="295" spans="5:7" x14ac:dyDescent="0.25">
      <c r="E295"/>
      <c r="F295"/>
      <c r="G295"/>
    </row>
    <row r="296" spans="5:7" x14ac:dyDescent="0.25">
      <c r="E296"/>
      <c r="F296"/>
      <c r="G296"/>
    </row>
    <row r="297" spans="5:7" x14ac:dyDescent="0.25">
      <c r="E297"/>
      <c r="F297"/>
      <c r="G297"/>
    </row>
    <row r="298" spans="5:7" x14ac:dyDescent="0.25">
      <c r="E298"/>
      <c r="F298"/>
      <c r="G298"/>
    </row>
    <row r="299" spans="5:7" x14ac:dyDescent="0.25">
      <c r="E299"/>
      <c r="F299"/>
      <c r="G299"/>
    </row>
    <row r="300" spans="5:7" x14ac:dyDescent="0.25">
      <c r="E300"/>
      <c r="F300"/>
      <c r="G300"/>
    </row>
    <row r="301" spans="5:7" x14ac:dyDescent="0.25">
      <c r="E301"/>
      <c r="F301"/>
      <c r="G301"/>
    </row>
    <row r="302" spans="5:7" x14ac:dyDescent="0.25">
      <c r="E302"/>
      <c r="F302"/>
      <c r="G302"/>
    </row>
    <row r="303" spans="5:7" x14ac:dyDescent="0.25">
      <c r="E303"/>
      <c r="F303"/>
      <c r="G303"/>
    </row>
    <row r="304" spans="5:7" x14ac:dyDescent="0.25">
      <c r="E304"/>
      <c r="F304"/>
      <c r="G304"/>
    </row>
    <row r="305" spans="5:7" x14ac:dyDescent="0.25">
      <c r="E305"/>
      <c r="F305"/>
      <c r="G305"/>
    </row>
    <row r="306" spans="5:7" x14ac:dyDescent="0.25">
      <c r="E306"/>
      <c r="F306"/>
      <c r="G306"/>
    </row>
    <row r="307" spans="5:7" x14ac:dyDescent="0.25">
      <c r="E307"/>
      <c r="F307"/>
      <c r="G307"/>
    </row>
    <row r="308" spans="5:7" x14ac:dyDescent="0.25">
      <c r="E308"/>
      <c r="F308"/>
      <c r="G308"/>
    </row>
    <row r="309" spans="5:7" x14ac:dyDescent="0.25">
      <c r="E309"/>
      <c r="F309"/>
      <c r="G309"/>
    </row>
    <row r="310" spans="5:7" x14ac:dyDescent="0.25">
      <c r="E310"/>
      <c r="F310"/>
      <c r="G310"/>
    </row>
    <row r="311" spans="5:7" x14ac:dyDescent="0.25">
      <c r="E311"/>
      <c r="F311"/>
      <c r="G311"/>
    </row>
    <row r="312" spans="5:7" x14ac:dyDescent="0.25">
      <c r="E312"/>
      <c r="F312"/>
      <c r="G312"/>
    </row>
    <row r="313" spans="5:7" x14ac:dyDescent="0.25">
      <c r="E313"/>
      <c r="F313"/>
      <c r="G313"/>
    </row>
    <row r="314" spans="5:7" x14ac:dyDescent="0.25">
      <c r="E314"/>
      <c r="F314"/>
      <c r="G314"/>
    </row>
    <row r="315" spans="5:7" x14ac:dyDescent="0.25">
      <c r="E315"/>
      <c r="F315"/>
      <c r="G315"/>
    </row>
    <row r="316" spans="5:7" x14ac:dyDescent="0.25">
      <c r="E316"/>
      <c r="F316"/>
      <c r="G316"/>
    </row>
    <row r="317" spans="5:7" x14ac:dyDescent="0.25">
      <c r="E317"/>
      <c r="F317"/>
      <c r="G317"/>
    </row>
    <row r="318" spans="5:7" x14ac:dyDescent="0.25">
      <c r="E318"/>
      <c r="F318"/>
      <c r="G318"/>
    </row>
    <row r="319" spans="5:7" x14ac:dyDescent="0.25">
      <c r="E319"/>
      <c r="F319"/>
      <c r="G319"/>
    </row>
    <row r="320" spans="5:7" x14ac:dyDescent="0.25">
      <c r="E320"/>
      <c r="F320"/>
      <c r="G320"/>
    </row>
    <row r="321" spans="5:7" x14ac:dyDescent="0.25">
      <c r="E321"/>
      <c r="F321"/>
      <c r="G321"/>
    </row>
    <row r="322" spans="5:7" x14ac:dyDescent="0.25">
      <c r="E322"/>
      <c r="F322"/>
      <c r="G322"/>
    </row>
    <row r="323" spans="5:7" x14ac:dyDescent="0.25">
      <c r="E323"/>
      <c r="F323"/>
      <c r="G323"/>
    </row>
    <row r="324" spans="5:7" x14ac:dyDescent="0.25">
      <c r="E324"/>
      <c r="F324"/>
      <c r="G324"/>
    </row>
    <row r="325" spans="5:7" x14ac:dyDescent="0.25">
      <c r="E325"/>
      <c r="F325"/>
      <c r="G325"/>
    </row>
    <row r="326" spans="5:7" x14ac:dyDescent="0.25">
      <c r="E326"/>
      <c r="F326"/>
      <c r="G326"/>
    </row>
    <row r="327" spans="5:7" x14ac:dyDescent="0.25">
      <c r="E327"/>
      <c r="F327"/>
      <c r="G327"/>
    </row>
    <row r="328" spans="5:7" x14ac:dyDescent="0.25">
      <c r="E328"/>
      <c r="F328"/>
      <c r="G328"/>
    </row>
    <row r="329" spans="5:7" x14ac:dyDescent="0.25">
      <c r="E329"/>
      <c r="F329"/>
      <c r="G329"/>
    </row>
    <row r="330" spans="5:7" x14ac:dyDescent="0.25">
      <c r="E330"/>
      <c r="F330"/>
      <c r="G330"/>
    </row>
    <row r="331" spans="5:7" x14ac:dyDescent="0.25">
      <c r="E331"/>
      <c r="F331"/>
      <c r="G331"/>
    </row>
    <row r="332" spans="5:7" x14ac:dyDescent="0.25">
      <c r="E332"/>
      <c r="F332"/>
      <c r="G332"/>
    </row>
    <row r="333" spans="5:7" x14ac:dyDescent="0.25">
      <c r="E333"/>
      <c r="F333"/>
      <c r="G333"/>
    </row>
    <row r="334" spans="5:7" x14ac:dyDescent="0.25">
      <c r="E334"/>
      <c r="F334"/>
      <c r="G334"/>
    </row>
    <row r="335" spans="5:7" x14ac:dyDescent="0.25">
      <c r="E335"/>
      <c r="F335"/>
      <c r="G335"/>
    </row>
    <row r="336" spans="5:7" x14ac:dyDescent="0.25">
      <c r="E336"/>
      <c r="F336"/>
      <c r="G336"/>
    </row>
    <row r="337" spans="5:7" x14ac:dyDescent="0.25">
      <c r="E337"/>
      <c r="F337"/>
      <c r="G337"/>
    </row>
    <row r="338" spans="5:7" x14ac:dyDescent="0.25">
      <c r="E338"/>
      <c r="F338"/>
      <c r="G338"/>
    </row>
    <row r="339" spans="5:7" x14ac:dyDescent="0.25">
      <c r="E339"/>
      <c r="F339"/>
      <c r="G339"/>
    </row>
    <row r="340" spans="5:7" x14ac:dyDescent="0.25">
      <c r="E340"/>
      <c r="F340"/>
      <c r="G340"/>
    </row>
    <row r="341" spans="5:7" x14ac:dyDescent="0.25">
      <c r="E341"/>
      <c r="F341"/>
      <c r="G341"/>
    </row>
    <row r="342" spans="5:7" x14ac:dyDescent="0.25">
      <c r="E342"/>
      <c r="F342"/>
      <c r="G342"/>
    </row>
    <row r="343" spans="5:7" x14ac:dyDescent="0.25">
      <c r="E343"/>
      <c r="F343"/>
      <c r="G343"/>
    </row>
    <row r="344" spans="5:7" x14ac:dyDescent="0.25">
      <c r="E344"/>
      <c r="F344"/>
      <c r="G344"/>
    </row>
    <row r="345" spans="5:7" x14ac:dyDescent="0.25">
      <c r="E345"/>
      <c r="F345"/>
      <c r="G345"/>
    </row>
    <row r="346" spans="5:7" x14ac:dyDescent="0.25">
      <c r="E346"/>
      <c r="F346"/>
      <c r="G346"/>
    </row>
    <row r="347" spans="5:7" x14ac:dyDescent="0.25">
      <c r="E347"/>
      <c r="F347"/>
      <c r="G347"/>
    </row>
    <row r="348" spans="5:7" x14ac:dyDescent="0.25">
      <c r="E348"/>
      <c r="F348"/>
      <c r="G348"/>
    </row>
    <row r="349" spans="5:7" x14ac:dyDescent="0.25">
      <c r="E349"/>
      <c r="F349"/>
      <c r="G349"/>
    </row>
    <row r="350" spans="5:7" x14ac:dyDescent="0.25">
      <c r="E350"/>
      <c r="F350"/>
      <c r="G350"/>
    </row>
    <row r="351" spans="5:7" x14ac:dyDescent="0.25">
      <c r="E351"/>
      <c r="F351"/>
      <c r="G351"/>
    </row>
    <row r="352" spans="5:7" x14ac:dyDescent="0.25">
      <c r="E352"/>
      <c r="F352"/>
      <c r="G352"/>
    </row>
    <row r="353" spans="5:7" x14ac:dyDescent="0.25">
      <c r="E353"/>
      <c r="F353"/>
      <c r="G353"/>
    </row>
    <row r="354" spans="5:7" x14ac:dyDescent="0.25">
      <c r="E354"/>
      <c r="F354"/>
      <c r="G354"/>
    </row>
    <row r="355" spans="5:7" x14ac:dyDescent="0.25">
      <c r="E355"/>
      <c r="F355"/>
      <c r="G355"/>
    </row>
    <row r="356" spans="5:7" x14ac:dyDescent="0.25">
      <c r="E356"/>
      <c r="F356"/>
      <c r="G356"/>
    </row>
    <row r="357" spans="5:7" x14ac:dyDescent="0.25">
      <c r="E357"/>
      <c r="F357"/>
      <c r="G357"/>
    </row>
    <row r="358" spans="5:7" x14ac:dyDescent="0.25">
      <c r="E358"/>
      <c r="F358"/>
      <c r="G358"/>
    </row>
    <row r="359" spans="5:7" x14ac:dyDescent="0.25">
      <c r="E359"/>
      <c r="F359"/>
      <c r="G359"/>
    </row>
    <row r="360" spans="5:7" x14ac:dyDescent="0.25">
      <c r="E360"/>
      <c r="F360"/>
      <c r="G360"/>
    </row>
    <row r="361" spans="5:7" x14ac:dyDescent="0.25">
      <c r="E361"/>
      <c r="F361"/>
      <c r="G361"/>
    </row>
    <row r="362" spans="5:7" x14ac:dyDescent="0.25">
      <c r="E362"/>
      <c r="F362"/>
      <c r="G362"/>
    </row>
    <row r="363" spans="5:7" x14ac:dyDescent="0.25">
      <c r="E363"/>
      <c r="F363"/>
      <c r="G363"/>
    </row>
    <row r="364" spans="5:7" x14ac:dyDescent="0.25">
      <c r="E364"/>
      <c r="F364"/>
      <c r="G364"/>
    </row>
    <row r="365" spans="5:7" x14ac:dyDescent="0.25">
      <c r="E365"/>
      <c r="F365"/>
      <c r="G365"/>
    </row>
    <row r="366" spans="5:7" x14ac:dyDescent="0.25">
      <c r="E366"/>
      <c r="F366"/>
      <c r="G366"/>
    </row>
    <row r="367" spans="5:7" x14ac:dyDescent="0.25">
      <c r="E367"/>
      <c r="F367"/>
      <c r="G367"/>
    </row>
    <row r="368" spans="5:7" x14ac:dyDescent="0.25">
      <c r="E368"/>
      <c r="F368"/>
      <c r="G368"/>
    </row>
    <row r="369" spans="5:7" x14ac:dyDescent="0.25">
      <c r="E369"/>
      <c r="F369"/>
      <c r="G369"/>
    </row>
    <row r="370" spans="5:7" x14ac:dyDescent="0.25">
      <c r="E370"/>
      <c r="F370"/>
      <c r="G370"/>
    </row>
    <row r="371" spans="5:7" x14ac:dyDescent="0.25">
      <c r="E371"/>
      <c r="F371"/>
      <c r="G371"/>
    </row>
    <row r="372" spans="5:7" x14ac:dyDescent="0.25">
      <c r="E372"/>
      <c r="F372"/>
      <c r="G372"/>
    </row>
    <row r="373" spans="5:7" x14ac:dyDescent="0.25">
      <c r="E373"/>
      <c r="F373"/>
      <c r="G373"/>
    </row>
    <row r="374" spans="5:7" x14ac:dyDescent="0.25">
      <c r="E374"/>
      <c r="F374"/>
      <c r="G374"/>
    </row>
    <row r="375" spans="5:7" x14ac:dyDescent="0.25">
      <c r="E375"/>
      <c r="F375"/>
      <c r="G375"/>
    </row>
    <row r="376" spans="5:7" x14ac:dyDescent="0.25">
      <c r="E376"/>
      <c r="F376"/>
      <c r="G376"/>
    </row>
    <row r="377" spans="5:7" x14ac:dyDescent="0.25">
      <c r="E377"/>
      <c r="F377"/>
      <c r="G377"/>
    </row>
    <row r="378" spans="5:7" x14ac:dyDescent="0.25">
      <c r="E378"/>
      <c r="F378"/>
      <c r="G378"/>
    </row>
    <row r="379" spans="5:7" x14ac:dyDescent="0.25">
      <c r="E379"/>
      <c r="F379"/>
      <c r="G379"/>
    </row>
    <row r="380" spans="5:7" x14ac:dyDescent="0.25">
      <c r="E380"/>
      <c r="F380"/>
      <c r="G380"/>
    </row>
    <row r="381" spans="5:7" x14ac:dyDescent="0.25">
      <c r="E381"/>
      <c r="F381"/>
      <c r="G381"/>
    </row>
    <row r="382" spans="5:7" x14ac:dyDescent="0.25">
      <c r="E382"/>
      <c r="F382"/>
      <c r="G382"/>
    </row>
    <row r="383" spans="5:7" x14ac:dyDescent="0.25">
      <c r="E383"/>
      <c r="F383"/>
      <c r="G383"/>
    </row>
    <row r="384" spans="5:7" x14ac:dyDescent="0.25">
      <c r="E384"/>
      <c r="F384"/>
      <c r="G384"/>
    </row>
    <row r="385" spans="5:7" x14ac:dyDescent="0.25">
      <c r="E385"/>
      <c r="F385"/>
      <c r="G385"/>
    </row>
    <row r="386" spans="5:7" x14ac:dyDescent="0.25">
      <c r="E386"/>
      <c r="F386"/>
      <c r="G386"/>
    </row>
    <row r="387" spans="5:7" x14ac:dyDescent="0.25">
      <c r="E387"/>
      <c r="F387"/>
      <c r="G387"/>
    </row>
    <row r="388" spans="5:7" x14ac:dyDescent="0.25">
      <c r="E388"/>
      <c r="F388"/>
      <c r="G388"/>
    </row>
    <row r="389" spans="5:7" x14ac:dyDescent="0.25">
      <c r="E389"/>
      <c r="F389"/>
      <c r="G389"/>
    </row>
    <row r="390" spans="5:7" x14ac:dyDescent="0.25">
      <c r="E390"/>
      <c r="F390"/>
      <c r="G390"/>
    </row>
    <row r="391" spans="5:7" x14ac:dyDescent="0.25">
      <c r="E391"/>
      <c r="F391"/>
      <c r="G391"/>
    </row>
    <row r="392" spans="5:7" x14ac:dyDescent="0.25">
      <c r="E392"/>
      <c r="F392"/>
      <c r="G392"/>
    </row>
    <row r="393" spans="5:7" x14ac:dyDescent="0.25">
      <c r="E393"/>
      <c r="F393"/>
      <c r="G393"/>
    </row>
    <row r="394" spans="5:7" x14ac:dyDescent="0.25">
      <c r="E394"/>
      <c r="F394"/>
      <c r="G394"/>
    </row>
    <row r="395" spans="5:7" x14ac:dyDescent="0.25">
      <c r="E395"/>
      <c r="F395"/>
      <c r="G395"/>
    </row>
    <row r="396" spans="5:7" x14ac:dyDescent="0.25">
      <c r="E396"/>
      <c r="F396"/>
      <c r="G396"/>
    </row>
    <row r="397" spans="5:7" x14ac:dyDescent="0.25">
      <c r="E397"/>
      <c r="F397"/>
      <c r="G397"/>
    </row>
    <row r="398" spans="5:7" x14ac:dyDescent="0.25">
      <c r="E398"/>
      <c r="F398"/>
      <c r="G398"/>
    </row>
    <row r="399" spans="5:7" x14ac:dyDescent="0.25">
      <c r="E399"/>
      <c r="F399"/>
      <c r="G399"/>
    </row>
    <row r="400" spans="5:7" x14ac:dyDescent="0.25">
      <c r="E400"/>
      <c r="F400"/>
      <c r="G400"/>
    </row>
    <row r="401" spans="5:7" x14ac:dyDescent="0.25">
      <c r="E401"/>
      <c r="F401"/>
      <c r="G401"/>
    </row>
    <row r="402" spans="5:7" x14ac:dyDescent="0.25">
      <c r="E402"/>
      <c r="F402"/>
      <c r="G402"/>
    </row>
    <row r="403" spans="5:7" x14ac:dyDescent="0.25">
      <c r="E403"/>
      <c r="F403"/>
      <c r="G403"/>
    </row>
    <row r="404" spans="5:7" x14ac:dyDescent="0.25">
      <c r="E404"/>
      <c r="F404"/>
      <c r="G404"/>
    </row>
    <row r="405" spans="5:7" x14ac:dyDescent="0.25">
      <c r="E405"/>
      <c r="F405"/>
      <c r="G405"/>
    </row>
    <row r="406" spans="5:7" x14ac:dyDescent="0.25">
      <c r="E406"/>
      <c r="F406"/>
      <c r="G406"/>
    </row>
    <row r="407" spans="5:7" x14ac:dyDescent="0.25">
      <c r="E407"/>
      <c r="F407"/>
      <c r="G407"/>
    </row>
    <row r="408" spans="5:7" x14ac:dyDescent="0.25">
      <c r="E408"/>
      <c r="F408"/>
      <c r="G408"/>
    </row>
    <row r="409" spans="5:7" x14ac:dyDescent="0.25">
      <c r="E409"/>
      <c r="F409"/>
      <c r="G409"/>
    </row>
    <row r="410" spans="5:7" x14ac:dyDescent="0.25">
      <c r="E410"/>
      <c r="F410"/>
      <c r="G410"/>
    </row>
    <row r="411" spans="5:7" x14ac:dyDescent="0.25">
      <c r="E411"/>
      <c r="F411"/>
      <c r="G411"/>
    </row>
    <row r="412" spans="5:7" x14ac:dyDescent="0.25">
      <c r="E412"/>
      <c r="F412"/>
      <c r="G412"/>
    </row>
    <row r="413" spans="5:7" x14ac:dyDescent="0.25">
      <c r="E413"/>
      <c r="F413"/>
      <c r="G413"/>
    </row>
    <row r="414" spans="5:7" x14ac:dyDescent="0.25">
      <c r="E414"/>
      <c r="F414"/>
      <c r="G414"/>
    </row>
    <row r="415" spans="5:7" x14ac:dyDescent="0.25">
      <c r="E415"/>
      <c r="F415"/>
      <c r="G415"/>
    </row>
    <row r="416" spans="5:7" x14ac:dyDescent="0.25">
      <c r="E416"/>
      <c r="F416"/>
      <c r="G416"/>
    </row>
    <row r="417" spans="5:7" x14ac:dyDescent="0.25">
      <c r="E417"/>
      <c r="F417"/>
      <c r="G417"/>
    </row>
    <row r="418" spans="5:7" x14ac:dyDescent="0.25">
      <c r="E418"/>
      <c r="F418"/>
      <c r="G418"/>
    </row>
    <row r="419" spans="5:7" x14ac:dyDescent="0.25">
      <c r="E419"/>
      <c r="F419"/>
      <c r="G419"/>
    </row>
    <row r="420" spans="5:7" x14ac:dyDescent="0.25">
      <c r="E420"/>
      <c r="F420"/>
      <c r="G420"/>
    </row>
    <row r="421" spans="5:7" x14ac:dyDescent="0.25">
      <c r="E421"/>
      <c r="F421"/>
      <c r="G421"/>
    </row>
    <row r="422" spans="5:7" x14ac:dyDescent="0.25">
      <c r="E422"/>
      <c r="F422"/>
      <c r="G422"/>
    </row>
    <row r="423" spans="5:7" x14ac:dyDescent="0.25">
      <c r="E423"/>
      <c r="F423"/>
      <c r="G423"/>
    </row>
    <row r="424" spans="5:7" x14ac:dyDescent="0.25">
      <c r="E424"/>
      <c r="F424"/>
      <c r="G424"/>
    </row>
    <row r="425" spans="5:7" x14ac:dyDescent="0.25">
      <c r="E425"/>
      <c r="F425"/>
      <c r="G425"/>
    </row>
    <row r="426" spans="5:7" x14ac:dyDescent="0.25">
      <c r="E426"/>
      <c r="F426"/>
      <c r="G426"/>
    </row>
    <row r="427" spans="5:7" x14ac:dyDescent="0.25">
      <c r="E427"/>
      <c r="F427"/>
      <c r="G427"/>
    </row>
    <row r="428" spans="5:7" x14ac:dyDescent="0.25">
      <c r="E428"/>
      <c r="F428"/>
      <c r="G428"/>
    </row>
    <row r="429" spans="5:7" x14ac:dyDescent="0.25">
      <c r="E429"/>
      <c r="F429"/>
      <c r="G429"/>
    </row>
    <row r="430" spans="5:7" x14ac:dyDescent="0.25">
      <c r="E430"/>
      <c r="F430"/>
      <c r="G430"/>
    </row>
    <row r="431" spans="5:7" x14ac:dyDescent="0.25">
      <c r="E431"/>
      <c r="F431"/>
      <c r="G431"/>
    </row>
    <row r="432" spans="5:7" x14ac:dyDescent="0.25">
      <c r="E432"/>
      <c r="F432"/>
      <c r="G432"/>
    </row>
    <row r="433" spans="5:7" x14ac:dyDescent="0.25">
      <c r="E433"/>
      <c r="F433"/>
      <c r="G433"/>
    </row>
    <row r="434" spans="5:7" x14ac:dyDescent="0.25">
      <c r="E434"/>
      <c r="F434"/>
      <c r="G434"/>
    </row>
    <row r="435" spans="5:7" x14ac:dyDescent="0.25">
      <c r="E435"/>
      <c r="F435"/>
      <c r="G435"/>
    </row>
    <row r="436" spans="5:7" x14ac:dyDescent="0.25">
      <c r="E436"/>
      <c r="F436"/>
      <c r="G436"/>
    </row>
    <row r="437" spans="5:7" x14ac:dyDescent="0.25">
      <c r="E437"/>
      <c r="F437"/>
      <c r="G437"/>
    </row>
    <row r="438" spans="5:7" x14ac:dyDescent="0.25">
      <c r="E438"/>
      <c r="F438"/>
      <c r="G438"/>
    </row>
    <row r="439" spans="5:7" x14ac:dyDescent="0.25">
      <c r="E439"/>
      <c r="F439"/>
      <c r="G439"/>
    </row>
    <row r="440" spans="5:7" x14ac:dyDescent="0.25">
      <c r="E440"/>
      <c r="F440"/>
      <c r="G440"/>
    </row>
    <row r="441" spans="5:7" x14ac:dyDescent="0.25">
      <c r="E441"/>
      <c r="F441"/>
      <c r="G441"/>
    </row>
    <row r="442" spans="5:7" x14ac:dyDescent="0.25">
      <c r="E442"/>
      <c r="F442"/>
      <c r="G442"/>
    </row>
    <row r="443" spans="5:7" x14ac:dyDescent="0.25">
      <c r="E443"/>
      <c r="F443"/>
      <c r="G443"/>
    </row>
    <row r="444" spans="5:7" x14ac:dyDescent="0.25">
      <c r="E444"/>
      <c r="F444"/>
      <c r="G444"/>
    </row>
    <row r="445" spans="5:7" x14ac:dyDescent="0.25">
      <c r="E445"/>
      <c r="F445"/>
      <c r="G445"/>
    </row>
    <row r="446" spans="5:7" x14ac:dyDescent="0.25">
      <c r="E446"/>
      <c r="F446"/>
      <c r="G446"/>
    </row>
    <row r="447" spans="5:7" x14ac:dyDescent="0.25">
      <c r="E447"/>
      <c r="F447"/>
      <c r="G447"/>
    </row>
    <row r="448" spans="5:7" x14ac:dyDescent="0.25">
      <c r="E448"/>
      <c r="F448"/>
      <c r="G448"/>
    </row>
    <row r="449" spans="5:7" x14ac:dyDescent="0.25">
      <c r="E449"/>
      <c r="F449"/>
      <c r="G449"/>
    </row>
    <row r="450" spans="5:7" x14ac:dyDescent="0.25">
      <c r="E450"/>
      <c r="F450"/>
      <c r="G450"/>
    </row>
    <row r="451" spans="5:7" x14ac:dyDescent="0.25">
      <c r="E451"/>
      <c r="F451"/>
      <c r="G451"/>
    </row>
    <row r="452" spans="5:7" x14ac:dyDescent="0.25">
      <c r="E452"/>
      <c r="F452"/>
      <c r="G452"/>
    </row>
    <row r="453" spans="5:7" x14ac:dyDescent="0.25">
      <c r="E453"/>
      <c r="F453"/>
      <c r="G453"/>
    </row>
    <row r="454" spans="5:7" x14ac:dyDescent="0.25">
      <c r="E454"/>
      <c r="F454"/>
      <c r="G454"/>
    </row>
    <row r="455" spans="5:7" x14ac:dyDescent="0.25">
      <c r="E455"/>
      <c r="F455"/>
      <c r="G455"/>
    </row>
    <row r="456" spans="5:7" x14ac:dyDescent="0.25">
      <c r="E456"/>
      <c r="F456"/>
      <c r="G456"/>
    </row>
    <row r="457" spans="5:7" x14ac:dyDescent="0.25">
      <c r="E457"/>
      <c r="F457"/>
      <c r="G457"/>
    </row>
    <row r="458" spans="5:7" x14ac:dyDescent="0.25">
      <c r="E458"/>
      <c r="F458"/>
      <c r="G458"/>
    </row>
    <row r="459" spans="5:7" x14ac:dyDescent="0.25">
      <c r="E459"/>
      <c r="F459"/>
      <c r="G459"/>
    </row>
    <row r="460" spans="5:7" x14ac:dyDescent="0.25">
      <c r="E460"/>
      <c r="F460"/>
      <c r="G460"/>
    </row>
    <row r="461" spans="5:7" x14ac:dyDescent="0.25">
      <c r="E461"/>
      <c r="F461"/>
      <c r="G461"/>
    </row>
    <row r="462" spans="5:7" x14ac:dyDescent="0.25">
      <c r="E462"/>
      <c r="F462"/>
      <c r="G462"/>
    </row>
    <row r="463" spans="5:7" x14ac:dyDescent="0.25">
      <c r="E463"/>
      <c r="F463"/>
      <c r="G463"/>
    </row>
    <row r="464" spans="5:7" x14ac:dyDescent="0.25">
      <c r="E464"/>
      <c r="F464"/>
      <c r="G464"/>
    </row>
    <row r="465" spans="5:7" x14ac:dyDescent="0.25">
      <c r="E465"/>
      <c r="F465"/>
      <c r="G465"/>
    </row>
    <row r="466" spans="5:7" x14ac:dyDescent="0.25">
      <c r="E466"/>
      <c r="F466"/>
      <c r="G466"/>
    </row>
    <row r="467" spans="5:7" x14ac:dyDescent="0.25">
      <c r="E467"/>
      <c r="F467"/>
      <c r="G467"/>
    </row>
    <row r="468" spans="5:7" x14ac:dyDescent="0.25">
      <c r="E468"/>
      <c r="F468"/>
      <c r="G468"/>
    </row>
    <row r="469" spans="5:7" x14ac:dyDescent="0.25">
      <c r="E469"/>
      <c r="F469"/>
      <c r="G469"/>
    </row>
    <row r="470" spans="5:7" x14ac:dyDescent="0.25">
      <c r="E470"/>
      <c r="F470"/>
      <c r="G470"/>
    </row>
    <row r="471" spans="5:7" x14ac:dyDescent="0.25">
      <c r="E471"/>
      <c r="F471"/>
      <c r="G471"/>
    </row>
    <row r="472" spans="5:7" x14ac:dyDescent="0.25">
      <c r="E472"/>
      <c r="F472"/>
      <c r="G472"/>
    </row>
    <row r="473" spans="5:7" x14ac:dyDescent="0.25">
      <c r="E473"/>
      <c r="F473"/>
      <c r="G473"/>
    </row>
    <row r="474" spans="5:7" x14ac:dyDescent="0.25">
      <c r="E474"/>
      <c r="F474"/>
      <c r="G474"/>
    </row>
    <row r="475" spans="5:7" x14ac:dyDescent="0.25">
      <c r="E475"/>
      <c r="F475"/>
      <c r="G475"/>
    </row>
    <row r="476" spans="5:7" x14ac:dyDescent="0.25">
      <c r="E476"/>
      <c r="F476"/>
      <c r="G476"/>
    </row>
    <row r="477" spans="5:7" x14ac:dyDescent="0.25">
      <c r="E477"/>
      <c r="F477"/>
      <c r="G477"/>
    </row>
    <row r="478" spans="5:7" x14ac:dyDescent="0.25">
      <c r="E478"/>
      <c r="F478"/>
      <c r="G478"/>
    </row>
    <row r="479" spans="5:7" x14ac:dyDescent="0.25">
      <c r="E479"/>
      <c r="F479"/>
      <c r="G479"/>
    </row>
    <row r="480" spans="5:7" x14ac:dyDescent="0.25">
      <c r="E480"/>
      <c r="F480"/>
      <c r="G480"/>
    </row>
    <row r="481" spans="5:7" x14ac:dyDescent="0.25">
      <c r="E481"/>
      <c r="F481"/>
      <c r="G481"/>
    </row>
    <row r="482" spans="5:7" x14ac:dyDescent="0.25">
      <c r="E482"/>
      <c r="F482"/>
      <c r="G482"/>
    </row>
    <row r="483" spans="5:7" x14ac:dyDescent="0.25">
      <c r="E483"/>
      <c r="F483"/>
      <c r="G483"/>
    </row>
    <row r="484" spans="5:7" x14ac:dyDescent="0.25">
      <c r="E484"/>
      <c r="F484"/>
      <c r="G484"/>
    </row>
    <row r="485" spans="5:7" x14ac:dyDescent="0.25">
      <c r="E485"/>
      <c r="F485"/>
      <c r="G485"/>
    </row>
    <row r="486" spans="5:7" x14ac:dyDescent="0.25">
      <c r="E486"/>
      <c r="F486"/>
      <c r="G486"/>
    </row>
    <row r="487" spans="5:7" x14ac:dyDescent="0.25">
      <c r="E487"/>
      <c r="F487"/>
      <c r="G487"/>
    </row>
    <row r="488" spans="5:7" x14ac:dyDescent="0.25">
      <c r="E488"/>
      <c r="F488"/>
      <c r="G488"/>
    </row>
    <row r="489" spans="5:7" x14ac:dyDescent="0.25">
      <c r="E489"/>
      <c r="F489"/>
      <c r="G489"/>
    </row>
    <row r="490" spans="5:7" x14ac:dyDescent="0.25">
      <c r="E490"/>
      <c r="F490"/>
      <c r="G490"/>
    </row>
    <row r="491" spans="5:7" x14ac:dyDescent="0.25">
      <c r="E491"/>
      <c r="F491"/>
      <c r="G491"/>
    </row>
    <row r="492" spans="5:7" x14ac:dyDescent="0.25">
      <c r="E492"/>
      <c r="F492"/>
      <c r="G492"/>
    </row>
    <row r="493" spans="5:7" x14ac:dyDescent="0.25">
      <c r="E493"/>
      <c r="F493"/>
      <c r="G493"/>
    </row>
    <row r="494" spans="5:7" x14ac:dyDescent="0.25">
      <c r="E494"/>
      <c r="F494"/>
      <c r="G494"/>
    </row>
    <row r="495" spans="5:7" x14ac:dyDescent="0.25">
      <c r="E495"/>
      <c r="F495"/>
      <c r="G495"/>
    </row>
    <row r="496" spans="5:7" x14ac:dyDescent="0.25">
      <c r="E496"/>
      <c r="F496"/>
      <c r="G496"/>
    </row>
    <row r="497" spans="5:7" x14ac:dyDescent="0.25">
      <c r="E497"/>
      <c r="F497"/>
      <c r="G497"/>
    </row>
    <row r="498" spans="5:7" x14ac:dyDescent="0.25">
      <c r="E498"/>
      <c r="F498"/>
      <c r="G498"/>
    </row>
    <row r="499" spans="5:7" x14ac:dyDescent="0.25">
      <c r="E499"/>
      <c r="F499"/>
      <c r="G499"/>
    </row>
    <row r="500" spans="5:7" x14ac:dyDescent="0.25">
      <c r="E500"/>
      <c r="F500"/>
      <c r="G500"/>
    </row>
    <row r="501" spans="5:7" x14ac:dyDescent="0.25">
      <c r="E501"/>
      <c r="F501"/>
      <c r="G501"/>
    </row>
    <row r="502" spans="5:7" x14ac:dyDescent="0.25">
      <c r="E502"/>
      <c r="F502"/>
      <c r="G502"/>
    </row>
    <row r="503" spans="5:7" x14ac:dyDescent="0.25">
      <c r="E503"/>
      <c r="F503"/>
      <c r="G503"/>
    </row>
    <row r="504" spans="5:7" x14ac:dyDescent="0.25">
      <c r="E504"/>
      <c r="F504"/>
      <c r="G504"/>
    </row>
    <row r="505" spans="5:7" x14ac:dyDescent="0.25">
      <c r="E505"/>
      <c r="F505"/>
      <c r="G505"/>
    </row>
    <row r="506" spans="5:7" x14ac:dyDescent="0.25">
      <c r="E506"/>
      <c r="F506"/>
      <c r="G506"/>
    </row>
    <row r="507" spans="5:7" x14ac:dyDescent="0.25">
      <c r="E507"/>
      <c r="F507"/>
      <c r="G507"/>
    </row>
    <row r="508" spans="5:7" x14ac:dyDescent="0.25">
      <c r="E508"/>
      <c r="F508"/>
      <c r="G508"/>
    </row>
    <row r="509" spans="5:7" x14ac:dyDescent="0.25">
      <c r="E509"/>
      <c r="F509"/>
      <c r="G509"/>
    </row>
    <row r="510" spans="5:7" x14ac:dyDescent="0.25">
      <c r="E510"/>
      <c r="F510"/>
      <c r="G510"/>
    </row>
    <row r="511" spans="5:7" x14ac:dyDescent="0.25">
      <c r="E511"/>
      <c r="F511"/>
      <c r="G511"/>
    </row>
    <row r="512" spans="5:7" x14ac:dyDescent="0.25">
      <c r="E512"/>
      <c r="F512"/>
      <c r="G512"/>
    </row>
    <row r="513" spans="5:7" x14ac:dyDescent="0.25">
      <c r="E513"/>
      <c r="F513"/>
      <c r="G513"/>
    </row>
    <row r="514" spans="5:7" x14ac:dyDescent="0.25">
      <c r="E514"/>
      <c r="F514"/>
      <c r="G514"/>
    </row>
    <row r="515" spans="5:7" x14ac:dyDescent="0.25">
      <c r="E515"/>
      <c r="F515"/>
      <c r="G515"/>
    </row>
    <row r="516" spans="5:7" x14ac:dyDescent="0.25">
      <c r="E516"/>
      <c r="F516"/>
      <c r="G516"/>
    </row>
    <row r="517" spans="5:7" x14ac:dyDescent="0.25">
      <c r="E517"/>
      <c r="F517"/>
      <c r="G517"/>
    </row>
    <row r="518" spans="5:7" x14ac:dyDescent="0.25">
      <c r="E518"/>
      <c r="F518"/>
      <c r="G518"/>
    </row>
    <row r="519" spans="5:7" x14ac:dyDescent="0.25">
      <c r="E519"/>
      <c r="F519"/>
      <c r="G519"/>
    </row>
    <row r="520" spans="5:7" x14ac:dyDescent="0.25">
      <c r="E520"/>
      <c r="F520"/>
      <c r="G520"/>
    </row>
    <row r="521" spans="5:7" x14ac:dyDescent="0.25">
      <c r="E521"/>
      <c r="F521"/>
      <c r="G521"/>
    </row>
    <row r="522" spans="5:7" x14ac:dyDescent="0.25">
      <c r="E522"/>
      <c r="F522"/>
      <c r="G522"/>
    </row>
    <row r="523" spans="5:7" x14ac:dyDescent="0.25">
      <c r="E523"/>
      <c r="F523"/>
      <c r="G523"/>
    </row>
    <row r="524" spans="5:7" x14ac:dyDescent="0.25">
      <c r="E524"/>
      <c r="F524"/>
      <c r="G524"/>
    </row>
    <row r="525" spans="5:7" x14ac:dyDescent="0.25">
      <c r="E525"/>
      <c r="F525"/>
      <c r="G525"/>
    </row>
    <row r="526" spans="5:7" x14ac:dyDescent="0.25">
      <c r="E526"/>
      <c r="F526"/>
      <c r="G526"/>
    </row>
    <row r="527" spans="5:7" x14ac:dyDescent="0.25">
      <c r="E527"/>
      <c r="F527"/>
      <c r="G527"/>
    </row>
    <row r="528" spans="5:7" x14ac:dyDescent="0.25">
      <c r="E528"/>
      <c r="F528"/>
      <c r="G528"/>
    </row>
    <row r="529" spans="5:7" x14ac:dyDescent="0.25">
      <c r="E529"/>
      <c r="F529"/>
      <c r="G529"/>
    </row>
    <row r="530" spans="5:7" x14ac:dyDescent="0.25">
      <c r="E530"/>
      <c r="F530"/>
      <c r="G530"/>
    </row>
    <row r="531" spans="5:7" x14ac:dyDescent="0.25">
      <c r="E531"/>
      <c r="F531"/>
      <c r="G531"/>
    </row>
    <row r="532" spans="5:7" x14ac:dyDescent="0.25">
      <c r="E532"/>
      <c r="F532"/>
      <c r="G532"/>
    </row>
    <row r="533" spans="5:7" x14ac:dyDescent="0.25">
      <c r="E533"/>
      <c r="F533"/>
      <c r="G533"/>
    </row>
    <row r="534" spans="5:7" x14ac:dyDescent="0.25">
      <c r="E534"/>
      <c r="F534"/>
      <c r="G534"/>
    </row>
    <row r="535" spans="5:7" x14ac:dyDescent="0.25">
      <c r="E535"/>
      <c r="F535"/>
      <c r="G535"/>
    </row>
    <row r="536" spans="5:7" x14ac:dyDescent="0.25">
      <c r="E536"/>
      <c r="F536"/>
      <c r="G536"/>
    </row>
    <row r="537" spans="5:7" x14ac:dyDescent="0.25">
      <c r="E537"/>
      <c r="F537"/>
      <c r="G537"/>
    </row>
    <row r="538" spans="5:7" x14ac:dyDescent="0.25">
      <c r="E538"/>
      <c r="F538"/>
      <c r="G538"/>
    </row>
    <row r="539" spans="5:7" x14ac:dyDescent="0.25">
      <c r="E539"/>
      <c r="F539"/>
      <c r="G539"/>
    </row>
    <row r="540" spans="5:7" x14ac:dyDescent="0.25">
      <c r="E540"/>
      <c r="F540"/>
      <c r="G540"/>
    </row>
    <row r="541" spans="5:7" x14ac:dyDescent="0.25">
      <c r="E541"/>
      <c r="F541"/>
      <c r="G541"/>
    </row>
    <row r="542" spans="5:7" x14ac:dyDescent="0.25">
      <c r="E542"/>
      <c r="F542"/>
      <c r="G542"/>
    </row>
    <row r="543" spans="5:7" x14ac:dyDescent="0.25">
      <c r="E543"/>
      <c r="F543"/>
      <c r="G543"/>
    </row>
    <row r="544" spans="5:7" x14ac:dyDescent="0.25">
      <c r="E544"/>
      <c r="F544"/>
      <c r="G544"/>
    </row>
    <row r="545" spans="5:7" x14ac:dyDescent="0.25">
      <c r="E545"/>
      <c r="F545"/>
      <c r="G545"/>
    </row>
    <row r="546" spans="5:7" x14ac:dyDescent="0.25">
      <c r="E546"/>
      <c r="F546"/>
      <c r="G546"/>
    </row>
    <row r="547" spans="5:7" x14ac:dyDescent="0.25">
      <c r="E547"/>
      <c r="F547"/>
      <c r="G547"/>
    </row>
    <row r="548" spans="5:7" x14ac:dyDescent="0.25">
      <c r="E548"/>
      <c r="F548"/>
      <c r="G548"/>
    </row>
    <row r="549" spans="5:7" x14ac:dyDescent="0.25">
      <c r="E549"/>
      <c r="F549"/>
      <c r="G549"/>
    </row>
    <row r="550" spans="5:7" x14ac:dyDescent="0.25">
      <c r="E550"/>
      <c r="F550"/>
      <c r="G550"/>
    </row>
    <row r="551" spans="5:7" x14ac:dyDescent="0.25">
      <c r="E551"/>
      <c r="F551"/>
      <c r="G551"/>
    </row>
    <row r="552" spans="5:7" x14ac:dyDescent="0.25">
      <c r="E552"/>
      <c r="F552"/>
      <c r="G552"/>
    </row>
    <row r="553" spans="5:7" x14ac:dyDescent="0.25">
      <c r="E553"/>
      <c r="F553"/>
      <c r="G553"/>
    </row>
    <row r="554" spans="5:7" x14ac:dyDescent="0.25">
      <c r="E554"/>
      <c r="F554"/>
      <c r="G554"/>
    </row>
    <row r="555" spans="5:7" x14ac:dyDescent="0.25">
      <c r="E555"/>
      <c r="F555"/>
      <c r="G555"/>
    </row>
    <row r="556" spans="5:7" x14ac:dyDescent="0.25">
      <c r="E556"/>
      <c r="F556"/>
      <c r="G556"/>
    </row>
    <row r="557" spans="5:7" x14ac:dyDescent="0.25">
      <c r="E557"/>
      <c r="F557"/>
      <c r="G557"/>
    </row>
    <row r="558" spans="5:7" x14ac:dyDescent="0.25">
      <c r="E558"/>
      <c r="F558"/>
      <c r="G558"/>
    </row>
    <row r="559" spans="5:7" x14ac:dyDescent="0.25">
      <c r="E559"/>
      <c r="F559"/>
      <c r="G559"/>
    </row>
    <row r="560" spans="5:7" x14ac:dyDescent="0.25">
      <c r="E560"/>
      <c r="F560"/>
      <c r="G560"/>
    </row>
    <row r="561" spans="5:7" x14ac:dyDescent="0.25">
      <c r="E561"/>
      <c r="F561"/>
      <c r="G561"/>
    </row>
    <row r="562" spans="5:7" x14ac:dyDescent="0.25">
      <c r="E562"/>
      <c r="F562"/>
      <c r="G562"/>
    </row>
    <row r="563" spans="5:7" x14ac:dyDescent="0.25">
      <c r="E563"/>
      <c r="F563"/>
      <c r="G563"/>
    </row>
    <row r="564" spans="5:7" x14ac:dyDescent="0.25">
      <c r="E564"/>
      <c r="F564"/>
      <c r="G564"/>
    </row>
    <row r="565" spans="5:7" x14ac:dyDescent="0.25">
      <c r="E565"/>
      <c r="F565"/>
      <c r="G565"/>
    </row>
    <row r="566" spans="5:7" x14ac:dyDescent="0.25">
      <c r="E566"/>
      <c r="F566"/>
      <c r="G566"/>
    </row>
    <row r="567" spans="5:7" x14ac:dyDescent="0.25">
      <c r="E567"/>
      <c r="F567"/>
      <c r="G567"/>
    </row>
    <row r="568" spans="5:7" x14ac:dyDescent="0.25">
      <c r="E568"/>
      <c r="F568"/>
      <c r="G568"/>
    </row>
    <row r="569" spans="5:7" x14ac:dyDescent="0.25">
      <c r="E569"/>
      <c r="F569"/>
      <c r="G569"/>
    </row>
    <row r="570" spans="5:7" x14ac:dyDescent="0.25">
      <c r="E570"/>
      <c r="F570"/>
      <c r="G570"/>
    </row>
    <row r="571" spans="5:7" x14ac:dyDescent="0.25">
      <c r="E571"/>
      <c r="F571"/>
      <c r="G571"/>
    </row>
    <row r="572" spans="5:7" x14ac:dyDescent="0.25">
      <c r="E572"/>
      <c r="F572"/>
      <c r="G572"/>
    </row>
    <row r="573" spans="5:7" x14ac:dyDescent="0.25">
      <c r="E573"/>
      <c r="F573"/>
      <c r="G573"/>
    </row>
    <row r="574" spans="5:7" x14ac:dyDescent="0.25">
      <c r="E574"/>
      <c r="F574"/>
      <c r="G574"/>
    </row>
    <row r="575" spans="5:7" x14ac:dyDescent="0.25">
      <c r="E575"/>
      <c r="F575"/>
      <c r="G575"/>
    </row>
    <row r="576" spans="5:7" x14ac:dyDescent="0.25">
      <c r="E576"/>
      <c r="F576"/>
      <c r="G576"/>
    </row>
    <row r="577" spans="5:7" x14ac:dyDescent="0.25">
      <c r="E577"/>
      <c r="F577"/>
      <c r="G577"/>
    </row>
    <row r="578" spans="5:7" x14ac:dyDescent="0.25">
      <c r="E578"/>
      <c r="F578"/>
      <c r="G578"/>
    </row>
    <row r="579" spans="5:7" x14ac:dyDescent="0.25">
      <c r="E579"/>
      <c r="F579"/>
      <c r="G579"/>
    </row>
    <row r="580" spans="5:7" x14ac:dyDescent="0.25">
      <c r="E580"/>
      <c r="F580"/>
      <c r="G580"/>
    </row>
    <row r="581" spans="5:7" x14ac:dyDescent="0.25">
      <c r="E581"/>
      <c r="F581"/>
      <c r="G581"/>
    </row>
    <row r="582" spans="5:7" x14ac:dyDescent="0.25">
      <c r="E582"/>
      <c r="F582"/>
      <c r="G582"/>
    </row>
    <row r="583" spans="5:7" x14ac:dyDescent="0.25">
      <c r="E583"/>
      <c r="F583"/>
      <c r="G583"/>
    </row>
    <row r="584" spans="5:7" x14ac:dyDescent="0.25">
      <c r="E584"/>
      <c r="F584"/>
      <c r="G584"/>
    </row>
    <row r="585" spans="5:7" x14ac:dyDescent="0.25">
      <c r="E585"/>
      <c r="F585"/>
      <c r="G585"/>
    </row>
    <row r="586" spans="5:7" x14ac:dyDescent="0.25">
      <c r="E586"/>
      <c r="F586"/>
      <c r="G586"/>
    </row>
    <row r="587" spans="5:7" x14ac:dyDescent="0.25">
      <c r="E587"/>
      <c r="F587"/>
      <c r="G587"/>
    </row>
    <row r="588" spans="5:7" x14ac:dyDescent="0.25">
      <c r="E588"/>
      <c r="F588"/>
      <c r="G588"/>
    </row>
    <row r="589" spans="5:7" x14ac:dyDescent="0.25">
      <c r="E589"/>
      <c r="F589"/>
      <c r="G589"/>
    </row>
    <row r="590" spans="5:7" x14ac:dyDescent="0.25">
      <c r="E590"/>
      <c r="F590"/>
      <c r="G590"/>
    </row>
    <row r="591" spans="5:7" x14ac:dyDescent="0.25">
      <c r="E591"/>
      <c r="F591"/>
      <c r="G591"/>
    </row>
    <row r="592" spans="5:7" x14ac:dyDescent="0.25">
      <c r="E592"/>
      <c r="F592"/>
      <c r="G592"/>
    </row>
    <row r="593" spans="5:7" x14ac:dyDescent="0.25">
      <c r="E593"/>
      <c r="F593"/>
      <c r="G593"/>
    </row>
    <row r="594" spans="5:7" x14ac:dyDescent="0.25">
      <c r="E594"/>
      <c r="F594"/>
      <c r="G594"/>
    </row>
    <row r="595" spans="5:7" x14ac:dyDescent="0.25">
      <c r="E595"/>
      <c r="F595"/>
      <c r="G595"/>
    </row>
    <row r="596" spans="5:7" x14ac:dyDescent="0.25">
      <c r="E596"/>
      <c r="F596"/>
      <c r="G596"/>
    </row>
    <row r="597" spans="5:7" x14ac:dyDescent="0.25">
      <c r="E597"/>
      <c r="F597"/>
      <c r="G597"/>
    </row>
    <row r="598" spans="5:7" x14ac:dyDescent="0.25">
      <c r="E598"/>
      <c r="F598"/>
      <c r="G598"/>
    </row>
    <row r="599" spans="5:7" x14ac:dyDescent="0.25">
      <c r="E599"/>
      <c r="F599"/>
      <c r="G599"/>
    </row>
    <row r="600" spans="5:7" x14ac:dyDescent="0.25">
      <c r="E600"/>
      <c r="F600"/>
      <c r="G600"/>
    </row>
    <row r="601" spans="5:7" x14ac:dyDescent="0.25">
      <c r="E601"/>
      <c r="F601"/>
      <c r="G601"/>
    </row>
    <row r="602" spans="5:7" x14ac:dyDescent="0.25">
      <c r="E602"/>
      <c r="F602"/>
      <c r="G602"/>
    </row>
    <row r="603" spans="5:7" x14ac:dyDescent="0.25">
      <c r="E603"/>
      <c r="F603"/>
      <c r="G603"/>
    </row>
    <row r="604" spans="5:7" x14ac:dyDescent="0.25">
      <c r="E604"/>
      <c r="F604"/>
      <c r="G604"/>
    </row>
    <row r="605" spans="5:7" x14ac:dyDescent="0.25">
      <c r="E605"/>
      <c r="F605"/>
      <c r="G605"/>
    </row>
    <row r="606" spans="5:7" x14ac:dyDescent="0.25">
      <c r="E606"/>
      <c r="F606"/>
      <c r="G606"/>
    </row>
    <row r="607" spans="5:7" x14ac:dyDescent="0.25">
      <c r="E607"/>
      <c r="F607"/>
      <c r="G607"/>
    </row>
    <row r="608" spans="5:7" x14ac:dyDescent="0.25">
      <c r="E608"/>
      <c r="F608"/>
      <c r="G608"/>
    </row>
    <row r="609" spans="5:7" x14ac:dyDescent="0.25">
      <c r="E609"/>
      <c r="F609"/>
      <c r="G609"/>
    </row>
    <row r="610" spans="5:7" x14ac:dyDescent="0.25">
      <c r="E610"/>
      <c r="F610"/>
      <c r="G610"/>
    </row>
    <row r="611" spans="5:7" x14ac:dyDescent="0.25">
      <c r="E611"/>
      <c r="F611"/>
      <c r="G611"/>
    </row>
    <row r="612" spans="5:7" x14ac:dyDescent="0.25">
      <c r="E612"/>
      <c r="F612"/>
      <c r="G612"/>
    </row>
    <row r="613" spans="5:7" x14ac:dyDescent="0.25">
      <c r="E613"/>
      <c r="F613"/>
      <c r="G613"/>
    </row>
    <row r="614" spans="5:7" x14ac:dyDescent="0.25">
      <c r="E614"/>
      <c r="F614"/>
      <c r="G614"/>
    </row>
    <row r="615" spans="5:7" x14ac:dyDescent="0.25">
      <c r="E615"/>
      <c r="F615"/>
      <c r="G615"/>
    </row>
    <row r="616" spans="5:7" x14ac:dyDescent="0.25">
      <c r="E616"/>
      <c r="F616"/>
      <c r="G616"/>
    </row>
    <row r="617" spans="5:7" x14ac:dyDescent="0.25">
      <c r="E617"/>
      <c r="F617"/>
      <c r="G617"/>
    </row>
    <row r="618" spans="5:7" x14ac:dyDescent="0.25">
      <c r="E618"/>
      <c r="F618"/>
      <c r="G618"/>
    </row>
    <row r="619" spans="5:7" x14ac:dyDescent="0.25">
      <c r="E619"/>
      <c r="F619"/>
      <c r="G619"/>
    </row>
    <row r="620" spans="5:7" x14ac:dyDescent="0.25">
      <c r="E620"/>
      <c r="F620"/>
      <c r="G620"/>
    </row>
    <row r="621" spans="5:7" x14ac:dyDescent="0.25">
      <c r="E621"/>
      <c r="F621"/>
      <c r="G621"/>
    </row>
    <row r="622" spans="5:7" x14ac:dyDescent="0.25">
      <c r="E622"/>
      <c r="F622"/>
      <c r="G622"/>
    </row>
    <row r="623" spans="5:7" x14ac:dyDescent="0.25">
      <c r="E623"/>
      <c r="F623"/>
      <c r="G623"/>
    </row>
    <row r="624" spans="5:7" x14ac:dyDescent="0.25">
      <c r="E624"/>
      <c r="F624"/>
      <c r="G624"/>
    </row>
    <row r="625" spans="5:7" x14ac:dyDescent="0.25">
      <c r="E625"/>
      <c r="F625"/>
      <c r="G625"/>
    </row>
    <row r="626" spans="5:7" x14ac:dyDescent="0.25">
      <c r="E626"/>
      <c r="F626"/>
      <c r="G626"/>
    </row>
    <row r="627" spans="5:7" x14ac:dyDescent="0.25">
      <c r="E627"/>
      <c r="F627"/>
      <c r="G627"/>
    </row>
    <row r="628" spans="5:7" x14ac:dyDescent="0.25">
      <c r="E628"/>
      <c r="F628"/>
      <c r="G628"/>
    </row>
    <row r="629" spans="5:7" x14ac:dyDescent="0.25">
      <c r="E629"/>
      <c r="F629"/>
      <c r="G629"/>
    </row>
    <row r="630" spans="5:7" x14ac:dyDescent="0.25">
      <c r="E630"/>
      <c r="F630"/>
      <c r="G630"/>
    </row>
    <row r="631" spans="5:7" x14ac:dyDescent="0.25">
      <c r="E631"/>
      <c r="F631"/>
      <c r="G631"/>
    </row>
    <row r="632" spans="5:7" x14ac:dyDescent="0.25">
      <c r="E632"/>
      <c r="F632"/>
      <c r="G632"/>
    </row>
    <row r="633" spans="5:7" x14ac:dyDescent="0.25">
      <c r="E633"/>
      <c r="F633"/>
      <c r="G633"/>
    </row>
    <row r="634" spans="5:7" x14ac:dyDescent="0.25">
      <c r="E634"/>
      <c r="F634"/>
      <c r="G634"/>
    </row>
    <row r="635" spans="5:7" x14ac:dyDescent="0.25">
      <c r="E635"/>
      <c r="F635"/>
      <c r="G635"/>
    </row>
    <row r="636" spans="5:7" x14ac:dyDescent="0.25">
      <c r="E636"/>
      <c r="F636"/>
      <c r="G636"/>
    </row>
    <row r="637" spans="5:7" x14ac:dyDescent="0.25">
      <c r="E637"/>
      <c r="F637"/>
      <c r="G637"/>
    </row>
    <row r="638" spans="5:7" x14ac:dyDescent="0.25">
      <c r="E638"/>
      <c r="F638"/>
      <c r="G638"/>
    </row>
    <row r="639" spans="5:7" x14ac:dyDescent="0.25">
      <c r="E639"/>
      <c r="F639"/>
      <c r="G639"/>
    </row>
    <row r="640" spans="5:7" x14ac:dyDescent="0.25">
      <c r="E640"/>
      <c r="F640"/>
      <c r="G640"/>
    </row>
    <row r="641" spans="5:7" x14ac:dyDescent="0.25">
      <c r="E641"/>
      <c r="F641"/>
      <c r="G641"/>
    </row>
    <row r="642" spans="5:7" x14ac:dyDescent="0.25">
      <c r="E642"/>
      <c r="F642"/>
      <c r="G642"/>
    </row>
    <row r="643" spans="5:7" x14ac:dyDescent="0.25">
      <c r="E643"/>
      <c r="F643"/>
      <c r="G643"/>
    </row>
    <row r="644" spans="5:7" x14ac:dyDescent="0.25">
      <c r="E644"/>
      <c r="F644"/>
      <c r="G644"/>
    </row>
    <row r="645" spans="5:7" x14ac:dyDescent="0.25">
      <c r="E645"/>
      <c r="F645"/>
      <c r="G645"/>
    </row>
    <row r="646" spans="5:7" x14ac:dyDescent="0.25">
      <c r="E646"/>
      <c r="F646"/>
      <c r="G646"/>
    </row>
    <row r="647" spans="5:7" x14ac:dyDescent="0.25">
      <c r="E647"/>
      <c r="F647"/>
      <c r="G647"/>
    </row>
    <row r="648" spans="5:7" x14ac:dyDescent="0.25">
      <c r="E648"/>
      <c r="F648"/>
      <c r="G648"/>
    </row>
    <row r="649" spans="5:7" x14ac:dyDescent="0.25">
      <c r="E649"/>
      <c r="F649"/>
      <c r="G649"/>
    </row>
    <row r="650" spans="5:7" x14ac:dyDescent="0.25">
      <c r="E650"/>
      <c r="F650"/>
      <c r="G650"/>
    </row>
    <row r="651" spans="5:7" x14ac:dyDescent="0.25">
      <c r="E651"/>
      <c r="F651"/>
      <c r="G651"/>
    </row>
    <row r="652" spans="5:7" x14ac:dyDescent="0.25">
      <c r="E652"/>
      <c r="F652"/>
      <c r="G652"/>
    </row>
    <row r="653" spans="5:7" x14ac:dyDescent="0.25">
      <c r="E653"/>
      <c r="F653"/>
      <c r="G653"/>
    </row>
    <row r="654" spans="5:7" x14ac:dyDescent="0.25">
      <c r="E654"/>
      <c r="F654"/>
      <c r="G654"/>
    </row>
    <row r="655" spans="5:7" x14ac:dyDescent="0.25">
      <c r="E655"/>
      <c r="F655"/>
      <c r="G655"/>
    </row>
    <row r="656" spans="5:7" x14ac:dyDescent="0.25">
      <c r="E656"/>
      <c r="F656"/>
      <c r="G656"/>
    </row>
    <row r="657" spans="5:7" x14ac:dyDescent="0.25">
      <c r="E657"/>
      <c r="F657"/>
      <c r="G657"/>
    </row>
    <row r="658" spans="5:7" x14ac:dyDescent="0.25">
      <c r="E658"/>
      <c r="F658"/>
      <c r="G658"/>
    </row>
    <row r="659" spans="5:7" x14ac:dyDescent="0.25">
      <c r="E659"/>
      <c r="F659"/>
      <c r="G659"/>
    </row>
    <row r="660" spans="5:7" x14ac:dyDescent="0.25">
      <c r="E660"/>
      <c r="F660"/>
      <c r="G660"/>
    </row>
    <row r="661" spans="5:7" x14ac:dyDescent="0.25">
      <c r="E661"/>
      <c r="F661"/>
      <c r="G661"/>
    </row>
    <row r="662" spans="5:7" x14ac:dyDescent="0.25">
      <c r="E662"/>
      <c r="F662"/>
      <c r="G662"/>
    </row>
    <row r="663" spans="5:7" x14ac:dyDescent="0.25">
      <c r="E663"/>
      <c r="F663"/>
      <c r="G663"/>
    </row>
    <row r="664" spans="5:7" x14ac:dyDescent="0.25">
      <c r="E664"/>
      <c r="F664"/>
      <c r="G664"/>
    </row>
    <row r="665" spans="5:7" x14ac:dyDescent="0.25">
      <c r="E665"/>
      <c r="F665"/>
      <c r="G665"/>
    </row>
    <row r="666" spans="5:7" x14ac:dyDescent="0.25">
      <c r="E666"/>
      <c r="F666"/>
      <c r="G666"/>
    </row>
    <row r="667" spans="5:7" x14ac:dyDescent="0.25">
      <c r="E667"/>
      <c r="F667"/>
      <c r="G667"/>
    </row>
    <row r="668" spans="5:7" x14ac:dyDescent="0.25">
      <c r="E668"/>
      <c r="F668"/>
      <c r="G668"/>
    </row>
    <row r="669" spans="5:7" x14ac:dyDescent="0.25">
      <c r="E669"/>
      <c r="F669"/>
      <c r="G669"/>
    </row>
    <row r="670" spans="5:7" x14ac:dyDescent="0.25">
      <c r="E670"/>
      <c r="F670"/>
      <c r="G670"/>
    </row>
    <row r="671" spans="5:7" x14ac:dyDescent="0.25">
      <c r="E671"/>
      <c r="F671"/>
      <c r="G671"/>
    </row>
    <row r="672" spans="5:7" x14ac:dyDescent="0.25">
      <c r="E672"/>
      <c r="F672"/>
      <c r="G672"/>
    </row>
    <row r="673" spans="5:7" x14ac:dyDescent="0.25">
      <c r="E673"/>
      <c r="F673"/>
      <c r="G673"/>
    </row>
    <row r="674" spans="5:7" x14ac:dyDescent="0.25">
      <c r="E674"/>
      <c r="F674"/>
      <c r="G674"/>
    </row>
    <row r="675" spans="5:7" x14ac:dyDescent="0.25">
      <c r="E675"/>
      <c r="F675"/>
      <c r="G675"/>
    </row>
    <row r="676" spans="5:7" x14ac:dyDescent="0.25">
      <c r="E676"/>
      <c r="F676"/>
      <c r="G676"/>
    </row>
    <row r="677" spans="5:7" x14ac:dyDescent="0.25">
      <c r="E677"/>
      <c r="F677"/>
      <c r="G677"/>
    </row>
    <row r="678" spans="5:7" x14ac:dyDescent="0.25">
      <c r="E678"/>
      <c r="F678"/>
      <c r="G678"/>
    </row>
    <row r="679" spans="5:7" x14ac:dyDescent="0.25">
      <c r="E679"/>
      <c r="F679"/>
      <c r="G679"/>
    </row>
    <row r="680" spans="5:7" x14ac:dyDescent="0.25">
      <c r="E680"/>
      <c r="F680"/>
      <c r="G680"/>
    </row>
    <row r="681" spans="5:7" x14ac:dyDescent="0.25">
      <c r="E681"/>
      <c r="F681"/>
      <c r="G681"/>
    </row>
    <row r="682" spans="5:7" x14ac:dyDescent="0.25">
      <c r="E682"/>
      <c r="F682"/>
      <c r="G682"/>
    </row>
    <row r="683" spans="5:7" x14ac:dyDescent="0.25">
      <c r="E683"/>
      <c r="F683"/>
      <c r="G683"/>
    </row>
    <row r="684" spans="5:7" x14ac:dyDescent="0.25">
      <c r="E684"/>
      <c r="F684"/>
      <c r="G684"/>
    </row>
    <row r="685" spans="5:7" x14ac:dyDescent="0.25">
      <c r="E685"/>
      <c r="F685"/>
      <c r="G685"/>
    </row>
    <row r="686" spans="5:7" x14ac:dyDescent="0.25">
      <c r="E686"/>
      <c r="F686"/>
      <c r="G686"/>
    </row>
    <row r="687" spans="5:7" x14ac:dyDescent="0.25">
      <c r="E687"/>
      <c r="F687"/>
      <c r="G687"/>
    </row>
    <row r="688" spans="5:7" x14ac:dyDescent="0.25">
      <c r="E688"/>
      <c r="F688"/>
      <c r="G688"/>
    </row>
    <row r="689" spans="5:7" x14ac:dyDescent="0.25">
      <c r="E689"/>
      <c r="F689"/>
      <c r="G689"/>
    </row>
    <row r="690" spans="5:7" x14ac:dyDescent="0.25">
      <c r="E690"/>
      <c r="F690"/>
      <c r="G690"/>
    </row>
    <row r="691" spans="5:7" x14ac:dyDescent="0.25">
      <c r="E691"/>
      <c r="F691"/>
      <c r="G691"/>
    </row>
    <row r="692" spans="5:7" x14ac:dyDescent="0.25">
      <c r="E692"/>
      <c r="F692"/>
      <c r="G692"/>
    </row>
    <row r="693" spans="5:7" x14ac:dyDescent="0.25">
      <c r="E693"/>
      <c r="F693"/>
      <c r="G693"/>
    </row>
    <row r="694" spans="5:7" x14ac:dyDescent="0.25">
      <c r="E694"/>
      <c r="F694"/>
      <c r="G694"/>
    </row>
    <row r="695" spans="5:7" x14ac:dyDescent="0.25">
      <c r="E695"/>
      <c r="F695"/>
      <c r="G695"/>
    </row>
    <row r="696" spans="5:7" x14ac:dyDescent="0.25">
      <c r="E696"/>
      <c r="F696"/>
      <c r="G696"/>
    </row>
    <row r="697" spans="5:7" x14ac:dyDescent="0.25">
      <c r="E697"/>
      <c r="F697"/>
      <c r="G697"/>
    </row>
    <row r="698" spans="5:7" x14ac:dyDescent="0.25">
      <c r="E698"/>
      <c r="F698"/>
      <c r="G698"/>
    </row>
    <row r="699" spans="5:7" x14ac:dyDescent="0.25">
      <c r="E699"/>
      <c r="F699"/>
      <c r="G699"/>
    </row>
    <row r="700" spans="5:7" x14ac:dyDescent="0.25">
      <c r="E700"/>
      <c r="F700"/>
      <c r="G700"/>
    </row>
    <row r="701" spans="5:7" x14ac:dyDescent="0.25">
      <c r="E701"/>
      <c r="F701"/>
      <c r="G701"/>
    </row>
    <row r="702" spans="5:7" x14ac:dyDescent="0.25">
      <c r="E702"/>
      <c r="F702"/>
      <c r="G702"/>
    </row>
    <row r="703" spans="5:7" x14ac:dyDescent="0.25">
      <c r="E703"/>
      <c r="F703"/>
      <c r="G703"/>
    </row>
    <row r="704" spans="5:7" x14ac:dyDescent="0.25">
      <c r="E704"/>
      <c r="F704"/>
      <c r="G704"/>
    </row>
    <row r="705" spans="5:7" x14ac:dyDescent="0.25">
      <c r="E705"/>
      <c r="F705"/>
      <c r="G705"/>
    </row>
    <row r="706" spans="5:7" x14ac:dyDescent="0.25">
      <c r="E706"/>
      <c r="F706"/>
      <c r="G706"/>
    </row>
    <row r="707" spans="5:7" x14ac:dyDescent="0.25">
      <c r="E707"/>
      <c r="F707"/>
      <c r="G707"/>
    </row>
    <row r="708" spans="5:7" x14ac:dyDescent="0.25">
      <c r="E708"/>
      <c r="F708"/>
      <c r="G708"/>
    </row>
    <row r="709" spans="5:7" x14ac:dyDescent="0.25">
      <c r="E709"/>
      <c r="F709"/>
      <c r="G709"/>
    </row>
    <row r="710" spans="5:7" x14ac:dyDescent="0.25">
      <c r="E710"/>
      <c r="F710"/>
      <c r="G710"/>
    </row>
    <row r="711" spans="5:7" x14ac:dyDescent="0.25">
      <c r="E711"/>
      <c r="F711"/>
      <c r="G711"/>
    </row>
    <row r="712" spans="5:7" x14ac:dyDescent="0.25">
      <c r="E712"/>
      <c r="F712"/>
      <c r="G712"/>
    </row>
    <row r="713" spans="5:7" x14ac:dyDescent="0.25">
      <c r="E713"/>
      <c r="F713"/>
      <c r="G713"/>
    </row>
    <row r="714" spans="5:7" x14ac:dyDescent="0.25">
      <c r="E714"/>
      <c r="F714"/>
      <c r="G714"/>
    </row>
    <row r="715" spans="5:7" x14ac:dyDescent="0.25">
      <c r="E715"/>
      <c r="F715"/>
      <c r="G715"/>
    </row>
    <row r="716" spans="5:7" x14ac:dyDescent="0.25">
      <c r="E716"/>
      <c r="F716"/>
      <c r="G716"/>
    </row>
    <row r="717" spans="5:7" x14ac:dyDescent="0.25">
      <c r="E717"/>
      <c r="F717"/>
      <c r="G717"/>
    </row>
    <row r="718" spans="5:7" x14ac:dyDescent="0.25">
      <c r="E718"/>
      <c r="F718"/>
      <c r="G718"/>
    </row>
    <row r="719" spans="5:7" x14ac:dyDescent="0.25">
      <c r="E719"/>
      <c r="F719"/>
      <c r="G719"/>
    </row>
    <row r="720" spans="5:7" x14ac:dyDescent="0.25">
      <c r="E720"/>
      <c r="F720"/>
      <c r="G720"/>
    </row>
    <row r="721" spans="5:7" x14ac:dyDescent="0.25">
      <c r="E721"/>
      <c r="F721"/>
      <c r="G721"/>
    </row>
    <row r="722" spans="5:7" x14ac:dyDescent="0.25">
      <c r="E722"/>
      <c r="F722"/>
      <c r="G722"/>
    </row>
    <row r="723" spans="5:7" x14ac:dyDescent="0.25">
      <c r="E723"/>
      <c r="F723"/>
      <c r="G723"/>
    </row>
    <row r="724" spans="5:7" x14ac:dyDescent="0.25">
      <c r="E724"/>
      <c r="F724"/>
      <c r="G724"/>
    </row>
    <row r="725" spans="5:7" x14ac:dyDescent="0.25">
      <c r="E725"/>
      <c r="F725"/>
      <c r="G725"/>
    </row>
    <row r="726" spans="5:7" x14ac:dyDescent="0.25">
      <c r="E726"/>
      <c r="F726"/>
      <c r="G726"/>
    </row>
    <row r="727" spans="5:7" x14ac:dyDescent="0.25">
      <c r="E727"/>
      <c r="F727"/>
      <c r="G727"/>
    </row>
    <row r="728" spans="5:7" x14ac:dyDescent="0.25">
      <c r="E728"/>
      <c r="F728"/>
      <c r="G728"/>
    </row>
    <row r="729" spans="5:7" x14ac:dyDescent="0.25">
      <c r="E729"/>
      <c r="F729"/>
      <c r="G729"/>
    </row>
    <row r="730" spans="5:7" x14ac:dyDescent="0.25">
      <c r="E730"/>
      <c r="F730"/>
      <c r="G730"/>
    </row>
    <row r="731" spans="5:7" x14ac:dyDescent="0.25">
      <c r="E731"/>
      <c r="F731"/>
      <c r="G731"/>
    </row>
    <row r="732" spans="5:7" x14ac:dyDescent="0.25">
      <c r="E732"/>
      <c r="F732"/>
      <c r="G732"/>
    </row>
    <row r="733" spans="5:7" x14ac:dyDescent="0.25">
      <c r="E733"/>
      <c r="F733"/>
      <c r="G733"/>
    </row>
    <row r="734" spans="5:7" x14ac:dyDescent="0.25">
      <c r="E734"/>
      <c r="F734"/>
      <c r="G734"/>
    </row>
    <row r="735" spans="5:7" x14ac:dyDescent="0.25">
      <c r="E735"/>
      <c r="F735"/>
      <c r="G735"/>
    </row>
    <row r="736" spans="5:7" x14ac:dyDescent="0.25">
      <c r="E736"/>
      <c r="F736"/>
      <c r="G736"/>
    </row>
    <row r="737" spans="5:7" x14ac:dyDescent="0.25">
      <c r="E737"/>
      <c r="F737"/>
      <c r="G737"/>
    </row>
    <row r="738" spans="5:7" x14ac:dyDescent="0.25">
      <c r="E738"/>
      <c r="F738"/>
      <c r="G738"/>
    </row>
    <row r="739" spans="5:7" x14ac:dyDescent="0.25">
      <c r="E739"/>
      <c r="F739"/>
      <c r="G739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29"/>
  <sheetViews>
    <sheetView workbookViewId="0">
      <selection activeCell="B10" sqref="B10"/>
    </sheetView>
  </sheetViews>
  <sheetFormatPr defaultRowHeight="15" x14ac:dyDescent="0.25"/>
  <cols>
    <col min="1" max="1" width="4" customWidth="1"/>
    <col min="2" max="2" width="22.85546875" customWidth="1"/>
    <col min="3" max="3" width="10.7109375" customWidth="1"/>
    <col min="4" max="4" width="6" customWidth="1"/>
    <col min="5" max="5" width="45.5703125" customWidth="1"/>
    <col min="6" max="6" width="12.85546875" customWidth="1"/>
    <col min="7" max="7" width="5" customWidth="1"/>
    <col min="8" max="8" width="4" customWidth="1"/>
    <col min="9" max="9" width="9.7109375" customWidth="1"/>
    <col min="10" max="10" width="22.85546875" customWidth="1"/>
    <col min="11" max="11" width="4.140625" customWidth="1"/>
    <col min="12" max="12" width="8" customWidth="1"/>
    <col min="13" max="13" width="30.5703125" customWidth="1"/>
    <col min="14" max="14" width="16.42578125" customWidth="1"/>
    <col min="15" max="15" width="5.140625" style="4" customWidth="1"/>
    <col min="16" max="16" width="7.7109375" customWidth="1"/>
    <col min="17" max="18" width="9.7109375" customWidth="1"/>
    <col min="19" max="19" width="10.140625" customWidth="1"/>
    <col min="20" max="22" width="9.140625" customWidth="1"/>
  </cols>
  <sheetData>
    <row r="1" spans="1:25" x14ac:dyDescent="0.25">
      <c r="A1" t="s">
        <v>48</v>
      </c>
      <c r="B1" t="s">
        <v>49</v>
      </c>
      <c r="C1" t="s">
        <v>50</v>
      </c>
      <c r="D1">
        <v>50020</v>
      </c>
      <c r="E1" t="s">
        <v>271</v>
      </c>
      <c r="F1" t="s">
        <v>272</v>
      </c>
      <c r="G1">
        <v>6000</v>
      </c>
      <c r="H1">
        <v>190</v>
      </c>
      <c r="I1" s="71">
        <v>43536</v>
      </c>
      <c r="O1"/>
      <c r="V1" s="31"/>
      <c r="W1" s="31"/>
      <c r="X1" s="31"/>
      <c r="Y1" s="31"/>
    </row>
    <row r="2" spans="1:25" x14ac:dyDescent="0.25">
      <c r="A2">
        <v>1</v>
      </c>
      <c r="B2">
        <v>6020</v>
      </c>
      <c r="C2" t="s">
        <v>273</v>
      </c>
      <c r="O2"/>
    </row>
    <row r="3" spans="1:25" x14ac:dyDescent="0.25">
      <c r="A3">
        <v>2</v>
      </c>
      <c r="B3">
        <v>6000</v>
      </c>
      <c r="C3" t="s">
        <v>274</v>
      </c>
      <c r="O3"/>
    </row>
    <row r="4" spans="1:25" x14ac:dyDescent="0.25">
      <c r="A4">
        <v>3</v>
      </c>
      <c r="B4">
        <v>6020</v>
      </c>
      <c r="C4" t="s">
        <v>275</v>
      </c>
      <c r="O4"/>
    </row>
    <row r="5" spans="1:25" x14ac:dyDescent="0.25">
      <c r="A5">
        <v>4</v>
      </c>
      <c r="B5">
        <v>6020</v>
      </c>
      <c r="C5" t="s">
        <v>276</v>
      </c>
      <c r="O5"/>
    </row>
    <row r="6" spans="1:25" x14ac:dyDescent="0.25">
      <c r="A6">
        <v>5</v>
      </c>
      <c r="B6">
        <v>6020</v>
      </c>
      <c r="C6" t="s">
        <v>277</v>
      </c>
      <c r="O6"/>
    </row>
    <row r="7" spans="1:25" x14ac:dyDescent="0.25">
      <c r="A7">
        <v>6</v>
      </c>
      <c r="B7">
        <v>6020</v>
      </c>
      <c r="C7" t="s">
        <v>278</v>
      </c>
      <c r="O7"/>
    </row>
    <row r="8" spans="1:25" x14ac:dyDescent="0.25">
      <c r="A8">
        <v>7</v>
      </c>
      <c r="B8">
        <v>6000</v>
      </c>
      <c r="C8" t="s">
        <v>279</v>
      </c>
      <c r="O8"/>
    </row>
    <row r="9" spans="1:25" x14ac:dyDescent="0.25">
      <c r="A9">
        <v>8</v>
      </c>
      <c r="B9">
        <v>6020</v>
      </c>
      <c r="C9" t="s">
        <v>280</v>
      </c>
      <c r="O9"/>
    </row>
    <row r="10" spans="1:25" x14ac:dyDescent="0.25">
      <c r="A10">
        <v>9</v>
      </c>
      <c r="B10">
        <v>6000</v>
      </c>
      <c r="C10" t="s">
        <v>281</v>
      </c>
      <c r="O10"/>
    </row>
    <row r="11" spans="1:25" x14ac:dyDescent="0.25">
      <c r="A11">
        <v>10</v>
      </c>
      <c r="B11">
        <v>6000</v>
      </c>
      <c r="C11" t="s">
        <v>282</v>
      </c>
      <c r="O11"/>
    </row>
    <row r="12" spans="1:25" x14ac:dyDescent="0.25">
      <c r="A12">
        <v>11</v>
      </c>
      <c r="B12">
        <v>6000</v>
      </c>
      <c r="C12" t="s">
        <v>283</v>
      </c>
      <c r="O12"/>
    </row>
    <row r="13" spans="1:25" x14ac:dyDescent="0.25">
      <c r="A13">
        <v>12</v>
      </c>
      <c r="B13">
        <v>6020</v>
      </c>
      <c r="C13" t="s">
        <v>284</v>
      </c>
      <c r="O13"/>
    </row>
    <row r="14" spans="1:25" x14ac:dyDescent="0.25">
      <c r="A14">
        <v>13</v>
      </c>
      <c r="B14">
        <v>6000</v>
      </c>
      <c r="C14" t="s">
        <v>285</v>
      </c>
      <c r="O14"/>
    </row>
    <row r="15" spans="1:25" x14ac:dyDescent="0.25">
      <c r="A15">
        <v>14</v>
      </c>
      <c r="B15">
        <v>6020</v>
      </c>
      <c r="C15" t="s">
        <v>286</v>
      </c>
      <c r="O15"/>
    </row>
    <row r="16" spans="1:25" x14ac:dyDescent="0.25">
      <c r="A16">
        <v>15</v>
      </c>
      <c r="B16">
        <v>6020</v>
      </c>
      <c r="C16" t="s">
        <v>287</v>
      </c>
      <c r="O16"/>
    </row>
    <row r="17" spans="1:15" x14ac:dyDescent="0.25">
      <c r="A17">
        <v>16</v>
      </c>
      <c r="B17">
        <v>6020</v>
      </c>
      <c r="C17" t="s">
        <v>288</v>
      </c>
      <c r="O17"/>
    </row>
    <row r="18" spans="1:15" x14ac:dyDescent="0.25">
      <c r="A18">
        <v>17</v>
      </c>
      <c r="B18">
        <v>6040</v>
      </c>
      <c r="C18" t="s">
        <v>289</v>
      </c>
      <c r="O18"/>
    </row>
    <row r="19" spans="1:15" x14ac:dyDescent="0.25">
      <c r="A19">
        <v>18</v>
      </c>
      <c r="B19">
        <v>6000</v>
      </c>
      <c r="C19" t="s">
        <v>290</v>
      </c>
      <c r="O19"/>
    </row>
    <row r="20" spans="1:15" x14ac:dyDescent="0.25">
      <c r="A20">
        <v>19</v>
      </c>
      <c r="B20">
        <v>6000</v>
      </c>
      <c r="C20" t="s">
        <v>291</v>
      </c>
      <c r="O20"/>
    </row>
    <row r="21" spans="1:15" x14ac:dyDescent="0.25">
      <c r="A21">
        <v>20</v>
      </c>
      <c r="B21">
        <v>6000</v>
      </c>
      <c r="C21" t="s">
        <v>292</v>
      </c>
      <c r="O21"/>
    </row>
    <row r="22" spans="1:15" x14ac:dyDescent="0.25">
      <c r="A22">
        <v>21</v>
      </c>
      <c r="B22">
        <v>6000</v>
      </c>
      <c r="C22" t="s">
        <v>293</v>
      </c>
      <c r="O22"/>
    </row>
    <row r="23" spans="1:15" x14ac:dyDescent="0.25">
      <c r="A23">
        <v>22</v>
      </c>
      <c r="B23">
        <v>6100</v>
      </c>
      <c r="C23" t="s">
        <v>294</v>
      </c>
      <c r="O23"/>
    </row>
    <row r="24" spans="1:15" x14ac:dyDescent="0.25">
      <c r="A24">
        <v>23</v>
      </c>
      <c r="B24">
        <v>6000</v>
      </c>
      <c r="C24" t="s">
        <v>295</v>
      </c>
      <c r="O24"/>
    </row>
    <row r="25" spans="1:15" x14ac:dyDescent="0.25">
      <c r="A25">
        <v>24</v>
      </c>
      <c r="B25">
        <v>5980</v>
      </c>
      <c r="C25" t="s">
        <v>296</v>
      </c>
      <c r="O25"/>
    </row>
    <row r="26" spans="1:15" x14ac:dyDescent="0.25">
      <c r="A26">
        <v>25</v>
      </c>
      <c r="B26">
        <v>6000</v>
      </c>
      <c r="C26" t="s">
        <v>297</v>
      </c>
      <c r="O26"/>
    </row>
    <row r="27" spans="1:15" x14ac:dyDescent="0.25">
      <c r="A27">
        <v>26</v>
      </c>
      <c r="B27">
        <v>6000</v>
      </c>
      <c r="C27" t="s">
        <v>298</v>
      </c>
      <c r="O27"/>
    </row>
    <row r="28" spans="1:15" x14ac:dyDescent="0.25">
      <c r="A28">
        <v>27</v>
      </c>
      <c r="B28">
        <v>6000</v>
      </c>
      <c r="C28" t="s">
        <v>299</v>
      </c>
      <c r="O28"/>
    </row>
    <row r="29" spans="1:15" x14ac:dyDescent="0.25">
      <c r="A29">
        <v>28</v>
      </c>
      <c r="B29">
        <v>6020</v>
      </c>
      <c r="C29" t="s">
        <v>300</v>
      </c>
      <c r="O29"/>
    </row>
    <row r="30" spans="1:15" x14ac:dyDescent="0.25">
      <c r="A30">
        <v>29</v>
      </c>
      <c r="B30">
        <v>6020</v>
      </c>
      <c r="C30" t="s">
        <v>301</v>
      </c>
      <c r="O30"/>
    </row>
    <row r="31" spans="1:15" x14ac:dyDescent="0.25">
      <c r="A31">
        <v>30</v>
      </c>
      <c r="B31">
        <v>6020</v>
      </c>
      <c r="C31" t="s">
        <v>302</v>
      </c>
      <c r="O31"/>
    </row>
    <row r="32" spans="1:15" x14ac:dyDescent="0.25">
      <c r="A32">
        <v>31</v>
      </c>
      <c r="B32">
        <v>6000</v>
      </c>
      <c r="C32" t="s">
        <v>303</v>
      </c>
      <c r="O32"/>
    </row>
    <row r="33" spans="1:15" x14ac:dyDescent="0.25">
      <c r="A33">
        <v>32</v>
      </c>
      <c r="B33">
        <v>6000</v>
      </c>
      <c r="C33" t="s">
        <v>304</v>
      </c>
      <c r="O33"/>
    </row>
    <row r="34" spans="1:15" x14ac:dyDescent="0.25">
      <c r="A34">
        <v>33</v>
      </c>
      <c r="B34">
        <v>6020</v>
      </c>
      <c r="C34" t="s">
        <v>305</v>
      </c>
      <c r="O34"/>
    </row>
    <row r="35" spans="1:15" x14ac:dyDescent="0.25">
      <c r="A35">
        <v>34</v>
      </c>
      <c r="B35">
        <v>6000</v>
      </c>
      <c r="C35" t="s">
        <v>306</v>
      </c>
      <c r="O35"/>
    </row>
    <row r="36" spans="1:15" x14ac:dyDescent="0.25">
      <c r="A36">
        <v>35</v>
      </c>
      <c r="B36">
        <v>6000</v>
      </c>
      <c r="C36" t="s">
        <v>307</v>
      </c>
      <c r="O36"/>
    </row>
    <row r="37" spans="1:15" x14ac:dyDescent="0.25">
      <c r="A37">
        <v>36</v>
      </c>
      <c r="B37">
        <v>6000</v>
      </c>
      <c r="C37" t="s">
        <v>308</v>
      </c>
      <c r="O37"/>
    </row>
    <row r="38" spans="1:15" x14ac:dyDescent="0.25">
      <c r="A38">
        <v>37</v>
      </c>
      <c r="B38">
        <v>6000</v>
      </c>
      <c r="C38" t="s">
        <v>309</v>
      </c>
      <c r="O38"/>
    </row>
    <row r="39" spans="1:15" x14ac:dyDescent="0.25">
      <c r="A39">
        <v>38</v>
      </c>
      <c r="B39">
        <v>6000</v>
      </c>
      <c r="C39" t="s">
        <v>310</v>
      </c>
      <c r="O39"/>
    </row>
    <row r="40" spans="1:15" x14ac:dyDescent="0.25">
      <c r="A40">
        <v>39</v>
      </c>
      <c r="B40">
        <v>6020</v>
      </c>
      <c r="C40" t="s">
        <v>311</v>
      </c>
      <c r="O40"/>
    </row>
    <row r="41" spans="1:15" x14ac:dyDescent="0.25">
      <c r="A41">
        <v>40</v>
      </c>
      <c r="B41">
        <v>6000</v>
      </c>
      <c r="C41" t="s">
        <v>312</v>
      </c>
      <c r="O41"/>
    </row>
    <row r="42" spans="1:15" x14ac:dyDescent="0.25">
      <c r="A42">
        <v>41</v>
      </c>
      <c r="B42">
        <v>6000</v>
      </c>
      <c r="C42" t="s">
        <v>313</v>
      </c>
      <c r="O42"/>
    </row>
    <row r="43" spans="1:15" x14ac:dyDescent="0.25">
      <c r="A43">
        <v>42</v>
      </c>
      <c r="B43">
        <v>6020</v>
      </c>
      <c r="C43" t="s">
        <v>314</v>
      </c>
      <c r="O43"/>
    </row>
    <row r="44" spans="1:15" x14ac:dyDescent="0.25">
      <c r="A44">
        <v>43</v>
      </c>
      <c r="B44">
        <v>6000</v>
      </c>
      <c r="C44" t="s">
        <v>315</v>
      </c>
      <c r="O44"/>
    </row>
    <row r="45" spans="1:15" x14ac:dyDescent="0.25">
      <c r="A45">
        <v>44</v>
      </c>
      <c r="B45">
        <v>6020</v>
      </c>
      <c r="C45" t="s">
        <v>316</v>
      </c>
      <c r="O45"/>
    </row>
    <row r="46" spans="1:15" x14ac:dyDescent="0.25">
      <c r="A46">
        <v>45</v>
      </c>
      <c r="B46">
        <v>6000</v>
      </c>
      <c r="C46" t="s">
        <v>317</v>
      </c>
      <c r="O46"/>
    </row>
    <row r="47" spans="1:15" x14ac:dyDescent="0.25">
      <c r="A47">
        <v>46</v>
      </c>
      <c r="B47">
        <v>6040</v>
      </c>
      <c r="C47" t="s">
        <v>318</v>
      </c>
      <c r="O47"/>
    </row>
    <row r="48" spans="1:15" x14ac:dyDescent="0.25">
      <c r="A48">
        <v>47</v>
      </c>
      <c r="B48">
        <v>6000</v>
      </c>
      <c r="C48" t="s">
        <v>319</v>
      </c>
      <c r="O48"/>
    </row>
    <row r="49" spans="1:15" x14ac:dyDescent="0.25">
      <c r="A49">
        <v>48</v>
      </c>
      <c r="B49">
        <v>6020</v>
      </c>
      <c r="C49" t="s">
        <v>320</v>
      </c>
      <c r="O49"/>
    </row>
    <row r="50" spans="1:15" x14ac:dyDescent="0.25">
      <c r="A50">
        <v>49</v>
      </c>
      <c r="B50">
        <v>6020</v>
      </c>
      <c r="C50" t="s">
        <v>321</v>
      </c>
      <c r="O50"/>
    </row>
    <row r="51" spans="1:15" x14ac:dyDescent="0.25">
      <c r="A51">
        <v>50</v>
      </c>
      <c r="B51">
        <v>6000</v>
      </c>
      <c r="C51" t="s">
        <v>322</v>
      </c>
      <c r="O51"/>
    </row>
    <row r="52" spans="1:15" x14ac:dyDescent="0.25">
      <c r="A52">
        <v>51</v>
      </c>
      <c r="B52">
        <v>6020</v>
      </c>
      <c r="C52" t="s">
        <v>323</v>
      </c>
      <c r="O52"/>
    </row>
    <row r="53" spans="1:15" x14ac:dyDescent="0.25">
      <c r="A53">
        <v>52</v>
      </c>
      <c r="B53">
        <v>6020</v>
      </c>
      <c r="C53" t="s">
        <v>324</v>
      </c>
      <c r="O53"/>
    </row>
    <row r="54" spans="1:15" x14ac:dyDescent="0.25">
      <c r="A54">
        <v>53</v>
      </c>
      <c r="B54">
        <v>6000</v>
      </c>
      <c r="C54" t="s">
        <v>325</v>
      </c>
      <c r="O54"/>
    </row>
    <row r="55" spans="1:15" x14ac:dyDescent="0.25">
      <c r="A55">
        <v>54</v>
      </c>
      <c r="B55">
        <v>6000</v>
      </c>
      <c r="C55" t="s">
        <v>326</v>
      </c>
      <c r="O55"/>
    </row>
    <row r="56" spans="1:15" x14ac:dyDescent="0.25">
      <c r="A56">
        <v>55</v>
      </c>
      <c r="B56">
        <v>6000</v>
      </c>
      <c r="C56" t="s">
        <v>327</v>
      </c>
      <c r="O56"/>
    </row>
    <row r="57" spans="1:15" x14ac:dyDescent="0.25">
      <c r="A57">
        <v>56</v>
      </c>
      <c r="B57">
        <v>5980</v>
      </c>
      <c r="C57" t="s">
        <v>328</v>
      </c>
      <c r="O57"/>
    </row>
    <row r="58" spans="1:15" x14ac:dyDescent="0.25">
      <c r="A58">
        <v>57</v>
      </c>
      <c r="B58">
        <v>6020</v>
      </c>
      <c r="C58" t="s">
        <v>329</v>
      </c>
      <c r="O58"/>
    </row>
    <row r="59" spans="1:15" x14ac:dyDescent="0.25">
      <c r="A59">
        <v>58</v>
      </c>
      <c r="B59">
        <v>6020</v>
      </c>
      <c r="C59" t="s">
        <v>330</v>
      </c>
      <c r="O59"/>
    </row>
    <row r="60" spans="1:15" x14ac:dyDescent="0.25">
      <c r="A60">
        <v>59</v>
      </c>
      <c r="B60">
        <v>6000</v>
      </c>
      <c r="C60" t="s">
        <v>331</v>
      </c>
      <c r="O60"/>
    </row>
    <row r="61" spans="1:15" x14ac:dyDescent="0.25">
      <c r="A61">
        <v>60</v>
      </c>
      <c r="B61">
        <v>6000</v>
      </c>
      <c r="C61" t="s">
        <v>332</v>
      </c>
      <c r="O61"/>
    </row>
    <row r="62" spans="1:15" x14ac:dyDescent="0.25">
      <c r="A62">
        <v>61</v>
      </c>
      <c r="B62">
        <v>6020</v>
      </c>
      <c r="C62" t="s">
        <v>333</v>
      </c>
      <c r="O62"/>
    </row>
    <row r="63" spans="1:15" x14ac:dyDescent="0.25">
      <c r="A63">
        <v>62</v>
      </c>
      <c r="B63">
        <v>6020</v>
      </c>
      <c r="C63" t="s">
        <v>334</v>
      </c>
      <c r="O63"/>
    </row>
    <row r="64" spans="1:15" x14ac:dyDescent="0.25">
      <c r="A64">
        <v>63</v>
      </c>
      <c r="B64">
        <v>5980</v>
      </c>
      <c r="C64" t="s">
        <v>335</v>
      </c>
      <c r="O64"/>
    </row>
    <row r="65" spans="1:15" x14ac:dyDescent="0.25">
      <c r="A65">
        <v>64</v>
      </c>
      <c r="B65">
        <v>6000</v>
      </c>
      <c r="C65" t="s">
        <v>336</v>
      </c>
      <c r="O65"/>
    </row>
    <row r="66" spans="1:15" x14ac:dyDescent="0.25">
      <c r="A66">
        <v>65</v>
      </c>
      <c r="B66">
        <v>5980</v>
      </c>
      <c r="C66" t="s">
        <v>337</v>
      </c>
      <c r="O66"/>
    </row>
    <row r="67" spans="1:15" x14ac:dyDescent="0.25">
      <c r="A67">
        <v>66</v>
      </c>
      <c r="B67">
        <v>6000</v>
      </c>
      <c r="C67" t="s">
        <v>338</v>
      </c>
      <c r="O67"/>
    </row>
    <row r="68" spans="1:15" x14ac:dyDescent="0.25">
      <c r="A68">
        <v>67</v>
      </c>
      <c r="B68">
        <v>6000</v>
      </c>
      <c r="C68" t="s">
        <v>339</v>
      </c>
      <c r="O68"/>
    </row>
    <row r="69" spans="1:15" x14ac:dyDescent="0.25">
      <c r="A69">
        <v>68</v>
      </c>
      <c r="B69">
        <v>6020</v>
      </c>
      <c r="C69" t="s">
        <v>340</v>
      </c>
      <c r="O69"/>
    </row>
    <row r="70" spans="1:15" x14ac:dyDescent="0.25">
      <c r="A70">
        <v>69</v>
      </c>
      <c r="B70">
        <v>6020</v>
      </c>
      <c r="C70" t="s">
        <v>341</v>
      </c>
      <c r="O70"/>
    </row>
    <row r="71" spans="1:15" x14ac:dyDescent="0.25">
      <c r="A71">
        <v>70</v>
      </c>
      <c r="B71">
        <v>6040</v>
      </c>
      <c r="C71" t="s">
        <v>342</v>
      </c>
      <c r="O71"/>
    </row>
    <row r="72" spans="1:15" x14ac:dyDescent="0.25">
      <c r="A72">
        <v>71</v>
      </c>
      <c r="B72">
        <v>6060</v>
      </c>
      <c r="C72" t="s">
        <v>343</v>
      </c>
      <c r="O72"/>
    </row>
    <row r="73" spans="1:15" x14ac:dyDescent="0.25">
      <c r="A73">
        <v>72</v>
      </c>
      <c r="B73">
        <v>6000</v>
      </c>
      <c r="C73" t="s">
        <v>344</v>
      </c>
      <c r="O73"/>
    </row>
    <row r="74" spans="1:15" x14ac:dyDescent="0.25">
      <c r="A74">
        <v>73</v>
      </c>
      <c r="B74">
        <v>6000</v>
      </c>
      <c r="C74" t="s">
        <v>345</v>
      </c>
      <c r="O74"/>
    </row>
    <row r="75" spans="1:15" x14ac:dyDescent="0.25">
      <c r="A75">
        <v>74</v>
      </c>
      <c r="B75">
        <v>6000</v>
      </c>
      <c r="C75" t="s">
        <v>346</v>
      </c>
      <c r="O75"/>
    </row>
    <row r="76" spans="1:15" x14ac:dyDescent="0.25">
      <c r="A76">
        <v>75</v>
      </c>
      <c r="B76">
        <v>6000</v>
      </c>
      <c r="C76" t="s">
        <v>347</v>
      </c>
      <c r="O76"/>
    </row>
    <row r="77" spans="1:15" x14ac:dyDescent="0.25">
      <c r="A77">
        <v>76</v>
      </c>
      <c r="B77">
        <v>6000</v>
      </c>
      <c r="C77" t="s">
        <v>348</v>
      </c>
      <c r="O77"/>
    </row>
    <row r="78" spans="1:15" x14ac:dyDescent="0.25">
      <c r="A78">
        <v>77</v>
      </c>
      <c r="B78">
        <v>6020</v>
      </c>
      <c r="C78" t="s">
        <v>349</v>
      </c>
      <c r="O78"/>
    </row>
    <row r="79" spans="1:15" x14ac:dyDescent="0.25">
      <c r="A79">
        <v>78</v>
      </c>
      <c r="B79">
        <v>5980</v>
      </c>
      <c r="C79" t="s">
        <v>350</v>
      </c>
      <c r="O79"/>
    </row>
    <row r="80" spans="1:15" x14ac:dyDescent="0.25">
      <c r="A80">
        <v>79</v>
      </c>
      <c r="B80">
        <v>5980</v>
      </c>
      <c r="C80" t="s">
        <v>351</v>
      </c>
      <c r="O80"/>
    </row>
    <row r="81" spans="1:15" x14ac:dyDescent="0.25">
      <c r="A81">
        <v>80</v>
      </c>
      <c r="B81">
        <v>6040</v>
      </c>
      <c r="C81" t="s">
        <v>352</v>
      </c>
      <c r="O81"/>
    </row>
    <row r="82" spans="1:15" x14ac:dyDescent="0.25">
      <c r="A82">
        <v>81</v>
      </c>
      <c r="B82">
        <v>6020</v>
      </c>
      <c r="C82" t="s">
        <v>353</v>
      </c>
      <c r="O82"/>
    </row>
    <row r="83" spans="1:15" x14ac:dyDescent="0.25">
      <c r="A83">
        <v>82</v>
      </c>
      <c r="B83">
        <v>6020</v>
      </c>
      <c r="C83" t="s">
        <v>354</v>
      </c>
      <c r="O83"/>
    </row>
    <row r="84" spans="1:15" x14ac:dyDescent="0.25">
      <c r="A84">
        <v>83</v>
      </c>
      <c r="B84">
        <v>6000</v>
      </c>
      <c r="C84" t="s">
        <v>355</v>
      </c>
      <c r="O84"/>
    </row>
    <row r="85" spans="1:15" x14ac:dyDescent="0.25">
      <c r="A85">
        <v>84</v>
      </c>
      <c r="B85">
        <v>6000</v>
      </c>
      <c r="C85" t="s">
        <v>356</v>
      </c>
      <c r="O85"/>
    </row>
    <row r="86" spans="1:15" x14ac:dyDescent="0.25">
      <c r="A86">
        <v>85</v>
      </c>
      <c r="B86">
        <v>6000</v>
      </c>
      <c r="C86" t="s">
        <v>357</v>
      </c>
      <c r="O86"/>
    </row>
    <row r="87" spans="1:15" x14ac:dyDescent="0.25">
      <c r="A87">
        <v>86</v>
      </c>
      <c r="B87">
        <v>6000</v>
      </c>
      <c r="C87" t="s">
        <v>358</v>
      </c>
      <c r="O87"/>
    </row>
    <row r="88" spans="1:15" x14ac:dyDescent="0.25">
      <c r="A88">
        <v>87</v>
      </c>
      <c r="B88">
        <v>6000</v>
      </c>
      <c r="C88" t="s">
        <v>359</v>
      </c>
      <c r="O88"/>
    </row>
    <row r="89" spans="1:15" x14ac:dyDescent="0.25">
      <c r="A89">
        <v>88</v>
      </c>
      <c r="B89">
        <v>6020</v>
      </c>
      <c r="C89" t="s">
        <v>360</v>
      </c>
      <c r="O89"/>
    </row>
    <row r="90" spans="1:15" x14ac:dyDescent="0.25">
      <c r="A90">
        <v>89</v>
      </c>
      <c r="B90">
        <v>6000</v>
      </c>
      <c r="C90" t="s">
        <v>361</v>
      </c>
      <c r="O90"/>
    </row>
    <row r="91" spans="1:15" x14ac:dyDescent="0.25">
      <c r="A91">
        <v>90</v>
      </c>
      <c r="B91">
        <v>5960</v>
      </c>
      <c r="C91" t="s">
        <v>362</v>
      </c>
      <c r="O91"/>
    </row>
    <row r="92" spans="1:15" x14ac:dyDescent="0.25">
      <c r="A92">
        <v>91</v>
      </c>
      <c r="B92">
        <v>6000</v>
      </c>
      <c r="C92" t="s">
        <v>363</v>
      </c>
      <c r="O92"/>
    </row>
    <row r="93" spans="1:15" x14ac:dyDescent="0.25">
      <c r="A93">
        <v>92</v>
      </c>
      <c r="B93">
        <v>6020</v>
      </c>
      <c r="C93" t="s">
        <v>364</v>
      </c>
      <c r="O93"/>
    </row>
    <row r="94" spans="1:15" x14ac:dyDescent="0.25">
      <c r="A94">
        <v>93</v>
      </c>
      <c r="B94">
        <v>6000</v>
      </c>
      <c r="C94" t="s">
        <v>365</v>
      </c>
      <c r="O94"/>
    </row>
    <row r="95" spans="1:15" x14ac:dyDescent="0.25">
      <c r="A95">
        <v>94</v>
      </c>
      <c r="B95">
        <v>6000</v>
      </c>
      <c r="C95" t="s">
        <v>366</v>
      </c>
      <c r="O95"/>
    </row>
    <row r="96" spans="1:15" x14ac:dyDescent="0.25">
      <c r="A96">
        <v>95</v>
      </c>
      <c r="B96">
        <v>6000</v>
      </c>
      <c r="C96" t="s">
        <v>367</v>
      </c>
      <c r="O96"/>
    </row>
    <row r="97" spans="1:15" x14ac:dyDescent="0.25">
      <c r="A97">
        <v>96</v>
      </c>
      <c r="B97">
        <v>6040</v>
      </c>
      <c r="C97" t="s">
        <v>368</v>
      </c>
      <c r="O97"/>
    </row>
    <row r="98" spans="1:15" x14ac:dyDescent="0.25">
      <c r="A98">
        <v>97</v>
      </c>
      <c r="B98">
        <v>5980</v>
      </c>
      <c r="C98" t="s">
        <v>369</v>
      </c>
      <c r="O98"/>
    </row>
    <row r="99" spans="1:15" x14ac:dyDescent="0.25">
      <c r="A99">
        <v>98</v>
      </c>
      <c r="B99">
        <v>6020</v>
      </c>
      <c r="C99" t="s">
        <v>370</v>
      </c>
      <c r="O99"/>
    </row>
    <row r="100" spans="1:15" x14ac:dyDescent="0.25">
      <c r="A100">
        <v>99</v>
      </c>
      <c r="B100">
        <v>6000</v>
      </c>
      <c r="C100" t="s">
        <v>371</v>
      </c>
      <c r="O100"/>
    </row>
    <row r="101" spans="1:15" x14ac:dyDescent="0.25">
      <c r="A101">
        <v>100</v>
      </c>
      <c r="B101">
        <v>5980</v>
      </c>
      <c r="C101" t="s">
        <v>372</v>
      </c>
      <c r="O101"/>
    </row>
    <row r="102" spans="1:15" x14ac:dyDescent="0.25">
      <c r="A102">
        <v>101</v>
      </c>
      <c r="B102">
        <v>6020</v>
      </c>
      <c r="C102" t="s">
        <v>373</v>
      </c>
      <c r="O102"/>
    </row>
    <row r="103" spans="1:15" x14ac:dyDescent="0.25">
      <c r="A103">
        <v>102</v>
      </c>
      <c r="B103">
        <v>6000</v>
      </c>
      <c r="C103" t="s">
        <v>374</v>
      </c>
      <c r="O103"/>
    </row>
    <row r="104" spans="1:15" x14ac:dyDescent="0.25">
      <c r="A104">
        <v>103</v>
      </c>
      <c r="B104">
        <v>6020</v>
      </c>
      <c r="C104" t="s">
        <v>375</v>
      </c>
      <c r="O104"/>
    </row>
    <row r="105" spans="1:15" x14ac:dyDescent="0.25">
      <c r="A105">
        <v>104</v>
      </c>
      <c r="B105">
        <v>6020</v>
      </c>
      <c r="C105" t="s">
        <v>376</v>
      </c>
      <c r="O105"/>
    </row>
    <row r="106" spans="1:15" x14ac:dyDescent="0.25">
      <c r="A106">
        <v>105</v>
      </c>
      <c r="B106">
        <v>6020</v>
      </c>
      <c r="C106" t="s">
        <v>377</v>
      </c>
      <c r="O106"/>
    </row>
    <row r="107" spans="1:15" x14ac:dyDescent="0.25">
      <c r="A107">
        <v>106</v>
      </c>
      <c r="B107">
        <v>6020</v>
      </c>
      <c r="C107" t="s">
        <v>378</v>
      </c>
      <c r="O107"/>
    </row>
    <row r="108" spans="1:15" x14ac:dyDescent="0.25">
      <c r="A108">
        <v>107</v>
      </c>
      <c r="B108">
        <v>6020</v>
      </c>
      <c r="C108" t="s">
        <v>379</v>
      </c>
      <c r="O108"/>
    </row>
    <row r="109" spans="1:15" x14ac:dyDescent="0.25">
      <c r="A109">
        <v>108</v>
      </c>
      <c r="B109">
        <v>5980</v>
      </c>
      <c r="C109" t="s">
        <v>380</v>
      </c>
      <c r="O109"/>
    </row>
    <row r="110" spans="1:15" x14ac:dyDescent="0.25">
      <c r="A110">
        <v>109</v>
      </c>
      <c r="B110">
        <v>6000</v>
      </c>
      <c r="C110" t="s">
        <v>381</v>
      </c>
      <c r="O110"/>
    </row>
    <row r="111" spans="1:15" x14ac:dyDescent="0.25">
      <c r="A111">
        <v>110</v>
      </c>
      <c r="B111">
        <v>6020</v>
      </c>
      <c r="C111" t="s">
        <v>382</v>
      </c>
      <c r="O111"/>
    </row>
    <row r="112" spans="1:15" x14ac:dyDescent="0.25">
      <c r="A112">
        <v>111</v>
      </c>
      <c r="B112">
        <v>6000</v>
      </c>
      <c r="C112" t="s">
        <v>383</v>
      </c>
      <c r="O112"/>
    </row>
    <row r="113" spans="1:15" x14ac:dyDescent="0.25">
      <c r="A113">
        <v>112</v>
      </c>
      <c r="B113">
        <v>6060</v>
      </c>
      <c r="C113" t="s">
        <v>384</v>
      </c>
      <c r="O113"/>
    </row>
    <row r="114" spans="1:15" x14ac:dyDescent="0.25">
      <c r="A114">
        <v>113</v>
      </c>
      <c r="B114">
        <v>6000</v>
      </c>
      <c r="C114" t="s">
        <v>385</v>
      </c>
      <c r="O114"/>
    </row>
    <row r="115" spans="1:15" x14ac:dyDescent="0.25">
      <c r="A115">
        <v>114</v>
      </c>
      <c r="B115">
        <v>6040</v>
      </c>
      <c r="C115" t="s">
        <v>386</v>
      </c>
      <c r="O115"/>
    </row>
    <row r="116" spans="1:15" x14ac:dyDescent="0.25">
      <c r="A116">
        <v>115</v>
      </c>
      <c r="B116">
        <v>6040</v>
      </c>
      <c r="C116" t="s">
        <v>387</v>
      </c>
      <c r="O116"/>
    </row>
    <row r="117" spans="1:15" x14ac:dyDescent="0.25">
      <c r="A117">
        <v>116</v>
      </c>
      <c r="B117">
        <v>6020</v>
      </c>
      <c r="C117" t="s">
        <v>388</v>
      </c>
      <c r="O117"/>
    </row>
    <row r="118" spans="1:15" x14ac:dyDescent="0.25">
      <c r="A118">
        <v>117</v>
      </c>
      <c r="B118">
        <v>5980</v>
      </c>
      <c r="C118" t="s">
        <v>389</v>
      </c>
      <c r="O118"/>
    </row>
    <row r="119" spans="1:15" x14ac:dyDescent="0.25">
      <c r="A119">
        <v>118</v>
      </c>
      <c r="B119">
        <v>6000</v>
      </c>
      <c r="C119" t="s">
        <v>390</v>
      </c>
      <c r="O119"/>
    </row>
    <row r="120" spans="1:15" x14ac:dyDescent="0.25">
      <c r="A120">
        <v>119</v>
      </c>
      <c r="B120">
        <v>6000</v>
      </c>
      <c r="C120" t="s">
        <v>391</v>
      </c>
      <c r="O120"/>
    </row>
    <row r="121" spans="1:15" x14ac:dyDescent="0.25">
      <c r="A121">
        <v>120</v>
      </c>
      <c r="B121">
        <v>5980</v>
      </c>
      <c r="C121" t="s">
        <v>392</v>
      </c>
      <c r="O121"/>
    </row>
    <row r="122" spans="1:15" x14ac:dyDescent="0.25">
      <c r="A122">
        <v>121</v>
      </c>
      <c r="B122">
        <v>6180</v>
      </c>
      <c r="C122" t="s">
        <v>393</v>
      </c>
      <c r="O122"/>
    </row>
    <row r="123" spans="1:15" x14ac:dyDescent="0.25">
      <c r="A123">
        <v>122</v>
      </c>
      <c r="B123">
        <v>5980</v>
      </c>
      <c r="C123" t="s">
        <v>394</v>
      </c>
      <c r="O123"/>
    </row>
    <row r="124" spans="1:15" x14ac:dyDescent="0.25">
      <c r="A124">
        <v>123</v>
      </c>
      <c r="B124">
        <v>6020</v>
      </c>
      <c r="C124" t="s">
        <v>395</v>
      </c>
      <c r="O124"/>
    </row>
    <row r="125" spans="1:15" x14ac:dyDescent="0.25">
      <c r="A125">
        <v>124</v>
      </c>
      <c r="B125">
        <v>6000</v>
      </c>
      <c r="C125" t="s">
        <v>396</v>
      </c>
      <c r="O125"/>
    </row>
    <row r="126" spans="1:15" x14ac:dyDescent="0.25">
      <c r="A126">
        <v>125</v>
      </c>
      <c r="B126">
        <v>6020</v>
      </c>
      <c r="C126" t="s">
        <v>397</v>
      </c>
      <c r="O126"/>
    </row>
    <row r="127" spans="1:15" x14ac:dyDescent="0.25">
      <c r="A127">
        <v>126</v>
      </c>
      <c r="B127">
        <v>6000</v>
      </c>
      <c r="C127" t="s">
        <v>398</v>
      </c>
      <c r="O127"/>
    </row>
    <row r="128" spans="1:15" x14ac:dyDescent="0.25">
      <c r="A128">
        <v>127</v>
      </c>
      <c r="B128">
        <v>6000</v>
      </c>
      <c r="C128" t="s">
        <v>399</v>
      </c>
      <c r="O128"/>
    </row>
    <row r="129" spans="1:15" x14ac:dyDescent="0.25">
      <c r="A129">
        <v>128</v>
      </c>
      <c r="B129">
        <v>6020</v>
      </c>
      <c r="C129" t="s">
        <v>400</v>
      </c>
      <c r="O129"/>
    </row>
    <row r="130" spans="1:15" x14ac:dyDescent="0.25">
      <c r="A130">
        <v>129</v>
      </c>
      <c r="B130">
        <v>6020</v>
      </c>
      <c r="C130" t="s">
        <v>401</v>
      </c>
      <c r="O130"/>
    </row>
    <row r="131" spans="1:15" x14ac:dyDescent="0.25">
      <c r="A131">
        <v>130</v>
      </c>
      <c r="B131">
        <v>6000</v>
      </c>
      <c r="C131" t="s">
        <v>402</v>
      </c>
      <c r="O131"/>
    </row>
    <row r="132" spans="1:15" x14ac:dyDescent="0.25">
      <c r="A132">
        <v>131</v>
      </c>
      <c r="B132">
        <v>6040</v>
      </c>
      <c r="C132" t="s">
        <v>403</v>
      </c>
      <c r="O132"/>
    </row>
    <row r="133" spans="1:15" x14ac:dyDescent="0.25">
      <c r="A133">
        <v>132</v>
      </c>
      <c r="B133">
        <v>6060</v>
      </c>
      <c r="C133" t="s">
        <v>404</v>
      </c>
      <c r="O133"/>
    </row>
    <row r="134" spans="1:15" x14ac:dyDescent="0.25">
      <c r="A134">
        <v>133</v>
      </c>
      <c r="B134">
        <v>6000</v>
      </c>
      <c r="C134" t="s">
        <v>405</v>
      </c>
      <c r="O134"/>
    </row>
    <row r="135" spans="1:15" x14ac:dyDescent="0.25">
      <c r="A135">
        <v>134</v>
      </c>
      <c r="B135">
        <v>6000</v>
      </c>
      <c r="C135" t="s">
        <v>406</v>
      </c>
      <c r="O135"/>
    </row>
    <row r="136" spans="1:15" x14ac:dyDescent="0.25">
      <c r="A136">
        <v>135</v>
      </c>
      <c r="B136">
        <v>6000</v>
      </c>
      <c r="C136" t="s">
        <v>407</v>
      </c>
      <c r="O136"/>
    </row>
    <row r="137" spans="1:15" x14ac:dyDescent="0.25">
      <c r="A137">
        <v>136</v>
      </c>
      <c r="B137">
        <v>6020</v>
      </c>
      <c r="C137" t="s">
        <v>408</v>
      </c>
      <c r="O137"/>
    </row>
    <row r="138" spans="1:15" x14ac:dyDescent="0.25">
      <c r="A138">
        <v>137</v>
      </c>
      <c r="B138">
        <v>6000</v>
      </c>
      <c r="C138" t="s">
        <v>409</v>
      </c>
      <c r="O138"/>
    </row>
    <row r="139" spans="1:15" x14ac:dyDescent="0.25">
      <c r="A139">
        <v>138</v>
      </c>
      <c r="B139">
        <v>5980</v>
      </c>
      <c r="C139" t="s">
        <v>410</v>
      </c>
      <c r="O139"/>
    </row>
    <row r="140" spans="1:15" x14ac:dyDescent="0.25">
      <c r="A140">
        <v>139</v>
      </c>
      <c r="B140">
        <v>6000</v>
      </c>
      <c r="C140" t="s">
        <v>411</v>
      </c>
      <c r="O140"/>
    </row>
    <row r="141" spans="1:15" x14ac:dyDescent="0.25">
      <c r="A141">
        <v>140</v>
      </c>
      <c r="B141">
        <v>6040</v>
      </c>
      <c r="C141" t="s">
        <v>412</v>
      </c>
      <c r="O141"/>
    </row>
    <row r="142" spans="1:15" x14ac:dyDescent="0.25">
      <c r="A142">
        <v>141</v>
      </c>
      <c r="B142">
        <v>6000</v>
      </c>
      <c r="C142" t="s">
        <v>413</v>
      </c>
      <c r="O142"/>
    </row>
    <row r="143" spans="1:15" x14ac:dyDescent="0.25">
      <c r="A143">
        <v>142</v>
      </c>
      <c r="B143">
        <v>6020</v>
      </c>
      <c r="C143" t="s">
        <v>414</v>
      </c>
      <c r="O143"/>
    </row>
    <row r="144" spans="1:15" x14ac:dyDescent="0.25">
      <c r="A144">
        <v>143</v>
      </c>
      <c r="B144">
        <v>6000</v>
      </c>
      <c r="C144" t="s">
        <v>415</v>
      </c>
      <c r="O144"/>
    </row>
    <row r="145" spans="1:15" x14ac:dyDescent="0.25">
      <c r="A145">
        <v>144</v>
      </c>
      <c r="B145">
        <v>6000</v>
      </c>
      <c r="C145" t="s">
        <v>416</v>
      </c>
      <c r="O145"/>
    </row>
    <row r="146" spans="1:15" x14ac:dyDescent="0.25">
      <c r="A146">
        <v>145</v>
      </c>
      <c r="B146">
        <v>6000</v>
      </c>
      <c r="C146" t="s">
        <v>417</v>
      </c>
      <c r="O146"/>
    </row>
    <row r="147" spans="1:15" x14ac:dyDescent="0.25">
      <c r="A147">
        <v>146</v>
      </c>
      <c r="B147">
        <v>6020</v>
      </c>
      <c r="C147" t="s">
        <v>418</v>
      </c>
      <c r="O147"/>
    </row>
    <row r="148" spans="1:15" x14ac:dyDescent="0.25">
      <c r="A148">
        <v>147</v>
      </c>
      <c r="B148">
        <v>6000</v>
      </c>
      <c r="C148" t="s">
        <v>419</v>
      </c>
      <c r="O148"/>
    </row>
    <row r="149" spans="1:15" x14ac:dyDescent="0.25">
      <c r="A149">
        <v>148</v>
      </c>
      <c r="B149">
        <v>6040</v>
      </c>
      <c r="C149" t="s">
        <v>420</v>
      </c>
      <c r="O149"/>
    </row>
    <row r="150" spans="1:15" x14ac:dyDescent="0.25">
      <c r="A150">
        <v>149</v>
      </c>
      <c r="B150">
        <v>6000</v>
      </c>
      <c r="C150" t="s">
        <v>421</v>
      </c>
      <c r="O150"/>
    </row>
    <row r="151" spans="1:15" x14ac:dyDescent="0.25">
      <c r="A151">
        <v>150</v>
      </c>
      <c r="B151">
        <v>6020</v>
      </c>
      <c r="C151" t="s">
        <v>422</v>
      </c>
      <c r="O151"/>
    </row>
    <row r="152" spans="1:15" x14ac:dyDescent="0.25">
      <c r="A152">
        <v>151</v>
      </c>
      <c r="B152">
        <v>6020</v>
      </c>
      <c r="C152" t="s">
        <v>423</v>
      </c>
      <c r="O152"/>
    </row>
    <row r="153" spans="1:15" x14ac:dyDescent="0.25">
      <c r="A153">
        <v>152</v>
      </c>
      <c r="B153">
        <v>6000</v>
      </c>
      <c r="C153" t="s">
        <v>424</v>
      </c>
      <c r="O153"/>
    </row>
    <row r="154" spans="1:15" x14ac:dyDescent="0.25">
      <c r="A154">
        <v>153</v>
      </c>
      <c r="B154">
        <v>6000</v>
      </c>
      <c r="C154" t="s">
        <v>425</v>
      </c>
      <c r="O154"/>
    </row>
    <row r="155" spans="1:15" x14ac:dyDescent="0.25">
      <c r="A155">
        <v>154</v>
      </c>
      <c r="B155">
        <v>6000</v>
      </c>
      <c r="C155" t="s">
        <v>426</v>
      </c>
      <c r="O155"/>
    </row>
    <row r="156" spans="1:15" x14ac:dyDescent="0.25">
      <c r="A156">
        <v>155</v>
      </c>
      <c r="B156">
        <v>6000</v>
      </c>
      <c r="C156" t="s">
        <v>427</v>
      </c>
      <c r="O156"/>
    </row>
    <row r="157" spans="1:15" x14ac:dyDescent="0.25">
      <c r="A157">
        <v>156</v>
      </c>
      <c r="B157">
        <v>5980</v>
      </c>
      <c r="C157" t="s">
        <v>428</v>
      </c>
      <c r="O157"/>
    </row>
    <row r="158" spans="1:15" x14ac:dyDescent="0.25">
      <c r="A158">
        <v>157</v>
      </c>
      <c r="B158">
        <v>5960</v>
      </c>
      <c r="C158" t="s">
        <v>429</v>
      </c>
      <c r="O158"/>
    </row>
    <row r="159" spans="1:15" x14ac:dyDescent="0.25">
      <c r="A159">
        <v>158</v>
      </c>
      <c r="B159">
        <v>5980</v>
      </c>
      <c r="C159" t="s">
        <v>430</v>
      </c>
      <c r="O159"/>
    </row>
    <row r="160" spans="1:15" x14ac:dyDescent="0.25">
      <c r="A160">
        <v>159</v>
      </c>
      <c r="B160">
        <v>6000</v>
      </c>
      <c r="C160" t="s">
        <v>431</v>
      </c>
      <c r="O160"/>
    </row>
    <row r="161" spans="1:15" x14ac:dyDescent="0.25">
      <c r="A161">
        <v>160</v>
      </c>
      <c r="B161">
        <v>6000</v>
      </c>
      <c r="C161" t="s">
        <v>432</v>
      </c>
      <c r="O161"/>
    </row>
    <row r="162" spans="1:15" x14ac:dyDescent="0.25">
      <c r="A162">
        <v>161</v>
      </c>
      <c r="B162">
        <v>6000</v>
      </c>
      <c r="C162" t="s">
        <v>433</v>
      </c>
      <c r="O162"/>
    </row>
    <row r="163" spans="1:15" x14ac:dyDescent="0.25">
      <c r="A163">
        <v>162</v>
      </c>
      <c r="B163">
        <v>6000</v>
      </c>
      <c r="C163" t="s">
        <v>434</v>
      </c>
      <c r="O163"/>
    </row>
    <row r="164" spans="1:15" x14ac:dyDescent="0.25">
      <c r="A164">
        <v>163</v>
      </c>
      <c r="B164">
        <v>6040</v>
      </c>
      <c r="C164" t="s">
        <v>435</v>
      </c>
      <c r="O164"/>
    </row>
    <row r="165" spans="1:15" x14ac:dyDescent="0.25">
      <c r="A165">
        <v>164</v>
      </c>
      <c r="B165">
        <v>6020</v>
      </c>
      <c r="C165" t="s">
        <v>436</v>
      </c>
      <c r="O165"/>
    </row>
    <row r="166" spans="1:15" x14ac:dyDescent="0.25">
      <c r="A166">
        <v>165</v>
      </c>
      <c r="B166">
        <v>6020</v>
      </c>
      <c r="C166" t="s">
        <v>437</v>
      </c>
      <c r="O166"/>
    </row>
    <row r="167" spans="1:15" x14ac:dyDescent="0.25">
      <c r="A167">
        <v>166</v>
      </c>
      <c r="B167">
        <v>6040</v>
      </c>
      <c r="C167" t="s">
        <v>438</v>
      </c>
      <c r="O167"/>
    </row>
    <row r="168" spans="1:15" x14ac:dyDescent="0.25">
      <c r="A168">
        <v>167</v>
      </c>
      <c r="B168">
        <v>6000</v>
      </c>
      <c r="C168" t="s">
        <v>439</v>
      </c>
      <c r="O168"/>
    </row>
    <row r="169" spans="1:15" x14ac:dyDescent="0.25">
      <c r="A169">
        <v>168</v>
      </c>
      <c r="B169">
        <v>6000</v>
      </c>
      <c r="C169" t="s">
        <v>440</v>
      </c>
      <c r="O169"/>
    </row>
    <row r="170" spans="1:15" x14ac:dyDescent="0.25">
      <c r="A170">
        <v>169</v>
      </c>
      <c r="B170">
        <v>6040</v>
      </c>
      <c r="C170" t="s">
        <v>441</v>
      </c>
      <c r="O170"/>
    </row>
    <row r="171" spans="1:15" x14ac:dyDescent="0.25">
      <c r="A171">
        <v>170</v>
      </c>
      <c r="B171">
        <v>6000</v>
      </c>
      <c r="C171" t="s">
        <v>442</v>
      </c>
      <c r="O171"/>
    </row>
    <row r="172" spans="1:15" x14ac:dyDescent="0.25">
      <c r="A172">
        <v>171</v>
      </c>
      <c r="B172">
        <v>6000</v>
      </c>
      <c r="C172" t="s">
        <v>443</v>
      </c>
      <c r="O172"/>
    </row>
    <row r="173" spans="1:15" x14ac:dyDescent="0.25">
      <c r="A173">
        <v>172</v>
      </c>
      <c r="B173">
        <v>6000</v>
      </c>
      <c r="C173" t="s">
        <v>444</v>
      </c>
      <c r="O173"/>
    </row>
    <row r="174" spans="1:15" x14ac:dyDescent="0.25">
      <c r="A174">
        <v>173</v>
      </c>
      <c r="B174">
        <v>6000</v>
      </c>
      <c r="C174" t="s">
        <v>445</v>
      </c>
      <c r="O174"/>
    </row>
    <row r="175" spans="1:15" x14ac:dyDescent="0.25">
      <c r="A175">
        <v>174</v>
      </c>
      <c r="B175">
        <v>6000</v>
      </c>
      <c r="C175" t="s">
        <v>446</v>
      </c>
      <c r="O175"/>
    </row>
    <row r="176" spans="1:15" x14ac:dyDescent="0.25">
      <c r="A176">
        <v>175</v>
      </c>
      <c r="B176">
        <v>6000</v>
      </c>
      <c r="C176" t="s">
        <v>447</v>
      </c>
      <c r="O176"/>
    </row>
    <row r="177" spans="1:15" x14ac:dyDescent="0.25">
      <c r="A177">
        <v>176</v>
      </c>
      <c r="B177">
        <v>6000</v>
      </c>
      <c r="C177" t="s">
        <v>448</v>
      </c>
      <c r="O177"/>
    </row>
    <row r="178" spans="1:15" x14ac:dyDescent="0.25">
      <c r="A178">
        <v>177</v>
      </c>
      <c r="B178">
        <v>6000</v>
      </c>
      <c r="C178" t="s">
        <v>449</v>
      </c>
      <c r="O178"/>
    </row>
    <row r="179" spans="1:15" x14ac:dyDescent="0.25">
      <c r="A179">
        <v>178</v>
      </c>
      <c r="B179">
        <v>6000</v>
      </c>
      <c r="C179" t="s">
        <v>450</v>
      </c>
      <c r="O179"/>
    </row>
    <row r="180" spans="1:15" x14ac:dyDescent="0.25">
      <c r="A180">
        <v>179</v>
      </c>
      <c r="B180">
        <v>6020</v>
      </c>
      <c r="C180" t="s">
        <v>451</v>
      </c>
      <c r="O180"/>
    </row>
    <row r="181" spans="1:15" x14ac:dyDescent="0.25">
      <c r="A181">
        <v>180</v>
      </c>
      <c r="B181">
        <v>6020</v>
      </c>
      <c r="C181" t="s">
        <v>452</v>
      </c>
      <c r="O181"/>
    </row>
    <row r="182" spans="1:15" x14ac:dyDescent="0.25">
      <c r="A182">
        <v>181</v>
      </c>
      <c r="B182">
        <v>6020</v>
      </c>
      <c r="C182" t="s">
        <v>453</v>
      </c>
      <c r="O182"/>
    </row>
    <row r="183" spans="1:15" x14ac:dyDescent="0.25">
      <c r="A183">
        <v>182</v>
      </c>
      <c r="B183">
        <v>6000</v>
      </c>
      <c r="C183" t="s">
        <v>454</v>
      </c>
      <c r="O183"/>
    </row>
    <row r="184" spans="1:15" x14ac:dyDescent="0.25">
      <c r="A184">
        <v>183</v>
      </c>
      <c r="B184">
        <v>6020</v>
      </c>
      <c r="C184" t="s">
        <v>455</v>
      </c>
      <c r="O184"/>
    </row>
    <row r="185" spans="1:15" x14ac:dyDescent="0.25">
      <c r="A185">
        <v>184</v>
      </c>
      <c r="B185">
        <v>5980</v>
      </c>
      <c r="C185" t="s">
        <v>456</v>
      </c>
      <c r="O185"/>
    </row>
    <row r="186" spans="1:15" x14ac:dyDescent="0.25">
      <c r="A186">
        <v>185</v>
      </c>
      <c r="B186">
        <v>6000</v>
      </c>
      <c r="C186" t="s">
        <v>457</v>
      </c>
      <c r="O186"/>
    </row>
    <row r="187" spans="1:15" x14ac:dyDescent="0.25">
      <c r="A187">
        <v>186</v>
      </c>
      <c r="B187">
        <v>6020</v>
      </c>
      <c r="C187" t="s">
        <v>458</v>
      </c>
      <c r="O187"/>
    </row>
    <row r="188" spans="1:15" x14ac:dyDescent="0.25">
      <c r="A188">
        <v>187</v>
      </c>
      <c r="B188">
        <v>6020</v>
      </c>
      <c r="C188" t="s">
        <v>459</v>
      </c>
      <c r="O188"/>
    </row>
    <row r="189" spans="1:15" x14ac:dyDescent="0.25">
      <c r="A189">
        <v>188</v>
      </c>
      <c r="B189">
        <v>6060</v>
      </c>
      <c r="C189" t="s">
        <v>460</v>
      </c>
      <c r="O189"/>
    </row>
    <row r="190" spans="1:15" x14ac:dyDescent="0.25">
      <c r="A190">
        <v>189</v>
      </c>
      <c r="B190">
        <v>6040</v>
      </c>
      <c r="C190" t="s">
        <v>461</v>
      </c>
      <c r="O190"/>
    </row>
    <row r="191" spans="1:15" x14ac:dyDescent="0.25">
      <c r="A191">
        <v>190</v>
      </c>
      <c r="B191">
        <v>6020</v>
      </c>
      <c r="C191" t="s">
        <v>462</v>
      </c>
      <c r="O191"/>
    </row>
    <row r="192" spans="1:15" x14ac:dyDescent="0.25">
      <c r="A192">
        <v>191</v>
      </c>
      <c r="B192">
        <v>6020</v>
      </c>
      <c r="C192" t="s">
        <v>463</v>
      </c>
      <c r="O192"/>
    </row>
    <row r="193" spans="1:15" x14ac:dyDescent="0.25">
      <c r="A193">
        <v>192</v>
      </c>
      <c r="B193">
        <v>6000</v>
      </c>
      <c r="C193" t="s">
        <v>464</v>
      </c>
      <c r="O193"/>
    </row>
    <row r="194" spans="1:15" x14ac:dyDescent="0.25">
      <c r="A194">
        <v>193</v>
      </c>
      <c r="B194">
        <v>5980</v>
      </c>
      <c r="C194" t="s">
        <v>465</v>
      </c>
      <c r="O194"/>
    </row>
    <row r="195" spans="1:15" x14ac:dyDescent="0.25">
      <c r="A195">
        <v>194</v>
      </c>
      <c r="B195">
        <v>6040</v>
      </c>
      <c r="C195" t="s">
        <v>466</v>
      </c>
      <c r="O195"/>
    </row>
    <row r="196" spans="1:15" x14ac:dyDescent="0.25">
      <c r="A196">
        <v>195</v>
      </c>
      <c r="B196">
        <v>6040</v>
      </c>
      <c r="C196" t="s">
        <v>467</v>
      </c>
      <c r="O196"/>
    </row>
    <row r="197" spans="1:15" x14ac:dyDescent="0.25">
      <c r="A197">
        <v>196</v>
      </c>
      <c r="B197">
        <v>6020</v>
      </c>
      <c r="C197" t="s">
        <v>468</v>
      </c>
      <c r="O197"/>
    </row>
    <row r="198" spans="1:15" x14ac:dyDescent="0.25">
      <c r="A198">
        <v>197</v>
      </c>
      <c r="B198">
        <v>6020</v>
      </c>
      <c r="C198" t="s">
        <v>469</v>
      </c>
      <c r="O198"/>
    </row>
    <row r="199" spans="1:15" x14ac:dyDescent="0.25">
      <c r="A199">
        <v>198</v>
      </c>
      <c r="B199">
        <v>6020</v>
      </c>
      <c r="C199" t="s">
        <v>470</v>
      </c>
      <c r="O199"/>
    </row>
    <row r="200" spans="1:15" x14ac:dyDescent="0.25">
      <c r="A200">
        <v>199</v>
      </c>
      <c r="B200">
        <v>6020</v>
      </c>
      <c r="C200" t="s">
        <v>471</v>
      </c>
      <c r="O200"/>
    </row>
    <row r="201" spans="1:15" x14ac:dyDescent="0.25">
      <c r="A201">
        <v>200</v>
      </c>
      <c r="B201">
        <v>6060</v>
      </c>
      <c r="C201" t="s">
        <v>472</v>
      </c>
      <c r="O201"/>
    </row>
    <row r="202" spans="1:15" x14ac:dyDescent="0.25">
      <c r="A202">
        <v>201</v>
      </c>
      <c r="B202">
        <v>6000</v>
      </c>
      <c r="C202" t="s">
        <v>473</v>
      </c>
      <c r="O202"/>
    </row>
    <row r="203" spans="1:15" x14ac:dyDescent="0.25">
      <c r="A203">
        <v>202</v>
      </c>
      <c r="B203">
        <v>6020</v>
      </c>
      <c r="C203" t="s">
        <v>474</v>
      </c>
      <c r="O203"/>
    </row>
    <row r="204" spans="1:15" x14ac:dyDescent="0.25">
      <c r="A204">
        <v>203</v>
      </c>
      <c r="B204">
        <v>6020</v>
      </c>
      <c r="C204" t="s">
        <v>475</v>
      </c>
      <c r="O204"/>
    </row>
    <row r="205" spans="1:15" x14ac:dyDescent="0.25">
      <c r="A205">
        <v>204</v>
      </c>
      <c r="B205">
        <v>6020</v>
      </c>
      <c r="C205" t="s">
        <v>476</v>
      </c>
      <c r="O205"/>
    </row>
    <row r="206" spans="1:15" x14ac:dyDescent="0.25">
      <c r="A206">
        <v>205</v>
      </c>
      <c r="B206">
        <v>6000</v>
      </c>
      <c r="C206" t="s">
        <v>477</v>
      </c>
      <c r="O206"/>
    </row>
    <row r="207" spans="1:15" x14ac:dyDescent="0.25">
      <c r="A207">
        <v>206</v>
      </c>
      <c r="B207">
        <v>6020</v>
      </c>
      <c r="C207" t="s">
        <v>478</v>
      </c>
      <c r="O207"/>
    </row>
    <row r="208" spans="1:15" x14ac:dyDescent="0.25">
      <c r="A208">
        <v>207</v>
      </c>
      <c r="B208">
        <v>6020</v>
      </c>
      <c r="C208" t="s">
        <v>479</v>
      </c>
      <c r="O208"/>
    </row>
    <row r="209" spans="1:15" x14ac:dyDescent="0.25">
      <c r="A209">
        <v>208</v>
      </c>
      <c r="B209">
        <v>6080</v>
      </c>
      <c r="C209" t="s">
        <v>480</v>
      </c>
      <c r="O209"/>
    </row>
    <row r="210" spans="1:15" x14ac:dyDescent="0.25">
      <c r="A210">
        <v>209</v>
      </c>
      <c r="B210">
        <v>6000</v>
      </c>
      <c r="C210" t="s">
        <v>481</v>
      </c>
      <c r="O210"/>
    </row>
    <row r="211" spans="1:15" x14ac:dyDescent="0.25">
      <c r="A211">
        <v>210</v>
      </c>
      <c r="B211">
        <v>6020</v>
      </c>
      <c r="C211" t="s">
        <v>482</v>
      </c>
      <c r="O211"/>
    </row>
    <row r="212" spans="1:15" x14ac:dyDescent="0.25">
      <c r="A212">
        <v>211</v>
      </c>
      <c r="B212">
        <v>6000</v>
      </c>
      <c r="C212" t="s">
        <v>483</v>
      </c>
      <c r="O212"/>
    </row>
    <row r="213" spans="1:15" x14ac:dyDescent="0.25">
      <c r="A213">
        <v>212</v>
      </c>
      <c r="B213">
        <v>6000</v>
      </c>
      <c r="C213" t="s">
        <v>484</v>
      </c>
      <c r="O213"/>
    </row>
    <row r="214" spans="1:15" x14ac:dyDescent="0.25">
      <c r="A214">
        <v>213</v>
      </c>
      <c r="B214">
        <v>6000</v>
      </c>
      <c r="C214" t="s">
        <v>485</v>
      </c>
      <c r="O214"/>
    </row>
    <row r="215" spans="1:15" x14ac:dyDescent="0.25">
      <c r="A215">
        <v>214</v>
      </c>
      <c r="B215">
        <v>5980</v>
      </c>
      <c r="C215" t="s">
        <v>486</v>
      </c>
      <c r="O215"/>
    </row>
    <row r="216" spans="1:15" x14ac:dyDescent="0.25">
      <c r="A216">
        <v>215</v>
      </c>
      <c r="B216">
        <v>6020</v>
      </c>
      <c r="C216" t="s">
        <v>487</v>
      </c>
      <c r="O216"/>
    </row>
    <row r="217" spans="1:15" x14ac:dyDescent="0.25">
      <c r="A217">
        <v>216</v>
      </c>
      <c r="B217">
        <v>6000</v>
      </c>
      <c r="C217" t="s">
        <v>488</v>
      </c>
      <c r="O217"/>
    </row>
    <row r="218" spans="1:15" x14ac:dyDescent="0.25">
      <c r="A218">
        <v>217</v>
      </c>
      <c r="B218">
        <v>6020</v>
      </c>
      <c r="C218" t="s">
        <v>489</v>
      </c>
      <c r="O218"/>
    </row>
    <row r="219" spans="1:15" x14ac:dyDescent="0.25">
      <c r="A219">
        <v>218</v>
      </c>
      <c r="B219">
        <v>6020</v>
      </c>
      <c r="C219" t="s">
        <v>490</v>
      </c>
      <c r="O219"/>
    </row>
    <row r="220" spans="1:15" x14ac:dyDescent="0.25">
      <c r="A220">
        <v>219</v>
      </c>
      <c r="B220">
        <v>6020</v>
      </c>
      <c r="C220" t="s">
        <v>491</v>
      </c>
      <c r="O220"/>
    </row>
    <row r="221" spans="1:15" x14ac:dyDescent="0.25">
      <c r="A221">
        <v>220</v>
      </c>
      <c r="B221">
        <v>6020</v>
      </c>
      <c r="C221" t="s">
        <v>492</v>
      </c>
      <c r="O221"/>
    </row>
    <row r="222" spans="1:15" x14ac:dyDescent="0.25">
      <c r="O222"/>
    </row>
    <row r="223" spans="1:15" x14ac:dyDescent="0.25">
      <c r="O223"/>
    </row>
    <row r="224" spans="1:15" x14ac:dyDescent="0.25">
      <c r="O224"/>
    </row>
    <row r="225" spans="15:15" x14ac:dyDescent="0.25">
      <c r="O225"/>
    </row>
    <row r="226" spans="15:15" x14ac:dyDescent="0.25">
      <c r="O226"/>
    </row>
    <row r="227" spans="15:15" x14ac:dyDescent="0.25">
      <c r="O227"/>
    </row>
    <row r="228" spans="15:15" x14ac:dyDescent="0.25">
      <c r="O228"/>
    </row>
    <row r="229" spans="15:15" x14ac:dyDescent="0.25">
      <c r="O229"/>
    </row>
    <row r="230" spans="15:15" x14ac:dyDescent="0.25">
      <c r="O230"/>
    </row>
    <row r="231" spans="15:15" x14ac:dyDescent="0.25">
      <c r="O231"/>
    </row>
    <row r="232" spans="15:15" x14ac:dyDescent="0.25">
      <c r="O232"/>
    </row>
    <row r="233" spans="15:15" x14ac:dyDescent="0.25">
      <c r="O233"/>
    </row>
    <row r="234" spans="15:15" x14ac:dyDescent="0.25">
      <c r="O234"/>
    </row>
    <row r="235" spans="15:15" x14ac:dyDescent="0.25">
      <c r="O235"/>
    </row>
    <row r="236" spans="15:15" x14ac:dyDescent="0.25">
      <c r="O236"/>
    </row>
    <row r="237" spans="15:15" x14ac:dyDescent="0.25">
      <c r="O237"/>
    </row>
    <row r="238" spans="15:15" x14ac:dyDescent="0.25">
      <c r="O238"/>
    </row>
    <row r="239" spans="15:15" x14ac:dyDescent="0.25">
      <c r="O239"/>
    </row>
    <row r="240" spans="15:15" x14ac:dyDescent="0.25">
      <c r="O240"/>
    </row>
    <row r="241" spans="15:15" x14ac:dyDescent="0.25">
      <c r="O241"/>
    </row>
    <row r="242" spans="15:15" x14ac:dyDescent="0.25">
      <c r="O242"/>
    </row>
    <row r="243" spans="15:15" x14ac:dyDescent="0.25">
      <c r="O243"/>
    </row>
    <row r="244" spans="15:15" x14ac:dyDescent="0.25">
      <c r="O244"/>
    </row>
    <row r="245" spans="15:15" x14ac:dyDescent="0.25">
      <c r="O245"/>
    </row>
    <row r="246" spans="15:15" x14ac:dyDescent="0.25">
      <c r="O246"/>
    </row>
    <row r="247" spans="15:15" x14ac:dyDescent="0.25">
      <c r="O247"/>
    </row>
    <row r="248" spans="15:15" x14ac:dyDescent="0.25">
      <c r="O248"/>
    </row>
    <row r="249" spans="15:15" x14ac:dyDescent="0.25">
      <c r="O249"/>
    </row>
    <row r="250" spans="15:15" x14ac:dyDescent="0.25">
      <c r="O250"/>
    </row>
    <row r="251" spans="15:15" x14ac:dyDescent="0.25">
      <c r="O251"/>
    </row>
    <row r="252" spans="15:15" x14ac:dyDescent="0.25">
      <c r="O252"/>
    </row>
    <row r="253" spans="15:15" x14ac:dyDescent="0.25">
      <c r="O253"/>
    </row>
    <row r="254" spans="15:15" x14ac:dyDescent="0.25">
      <c r="O254"/>
    </row>
    <row r="255" spans="15:15" x14ac:dyDescent="0.25">
      <c r="O255"/>
    </row>
    <row r="256" spans="15:15" x14ac:dyDescent="0.25">
      <c r="O256"/>
    </row>
    <row r="257" spans="15:15" x14ac:dyDescent="0.25">
      <c r="O257"/>
    </row>
    <row r="258" spans="15:15" x14ac:dyDescent="0.25">
      <c r="O258"/>
    </row>
    <row r="259" spans="15:15" x14ac:dyDescent="0.25">
      <c r="O259"/>
    </row>
    <row r="260" spans="15:15" x14ac:dyDescent="0.25">
      <c r="O260"/>
    </row>
    <row r="261" spans="15:15" x14ac:dyDescent="0.25">
      <c r="O261"/>
    </row>
    <row r="262" spans="15:15" x14ac:dyDescent="0.25">
      <c r="O262"/>
    </row>
    <row r="263" spans="15:15" x14ac:dyDescent="0.25">
      <c r="O263"/>
    </row>
    <row r="264" spans="15:15" x14ac:dyDescent="0.25">
      <c r="O264"/>
    </row>
    <row r="265" spans="15:15" x14ac:dyDescent="0.25">
      <c r="O265"/>
    </row>
    <row r="266" spans="15:15" x14ac:dyDescent="0.25">
      <c r="O266"/>
    </row>
    <row r="267" spans="15:15" x14ac:dyDescent="0.25">
      <c r="O267"/>
    </row>
    <row r="268" spans="15:15" x14ac:dyDescent="0.25">
      <c r="O268"/>
    </row>
    <row r="269" spans="15:15" x14ac:dyDescent="0.25">
      <c r="O269"/>
    </row>
    <row r="270" spans="15:15" x14ac:dyDescent="0.25">
      <c r="O270"/>
    </row>
    <row r="271" spans="15:15" x14ac:dyDescent="0.25">
      <c r="O271"/>
    </row>
    <row r="272" spans="15:15" x14ac:dyDescent="0.25">
      <c r="O272"/>
    </row>
    <row r="273" spans="15:15" x14ac:dyDescent="0.25">
      <c r="O273"/>
    </row>
    <row r="274" spans="15:15" x14ac:dyDescent="0.25">
      <c r="O274"/>
    </row>
    <row r="275" spans="15:15" x14ac:dyDescent="0.25">
      <c r="O275"/>
    </row>
    <row r="276" spans="15:15" x14ac:dyDescent="0.25">
      <c r="O276"/>
    </row>
    <row r="277" spans="15:15" x14ac:dyDescent="0.25">
      <c r="O277"/>
    </row>
    <row r="278" spans="15:15" x14ac:dyDescent="0.25">
      <c r="O278"/>
    </row>
    <row r="279" spans="15:15" x14ac:dyDescent="0.25">
      <c r="O279"/>
    </row>
    <row r="280" spans="15:15" x14ac:dyDescent="0.25">
      <c r="O280"/>
    </row>
    <row r="281" spans="15:15" x14ac:dyDescent="0.25">
      <c r="O281"/>
    </row>
    <row r="282" spans="15:15" x14ac:dyDescent="0.25">
      <c r="O282"/>
    </row>
    <row r="283" spans="15:15" x14ac:dyDescent="0.25">
      <c r="O283"/>
    </row>
    <row r="284" spans="15:15" x14ac:dyDescent="0.25">
      <c r="O284"/>
    </row>
    <row r="285" spans="15:15" x14ac:dyDescent="0.25">
      <c r="O285"/>
    </row>
    <row r="286" spans="15:15" x14ac:dyDescent="0.25">
      <c r="O286"/>
    </row>
    <row r="287" spans="15:15" x14ac:dyDescent="0.25">
      <c r="O287"/>
    </row>
    <row r="288" spans="15:15" x14ac:dyDescent="0.25">
      <c r="O288"/>
    </row>
    <row r="289" spans="15:15" x14ac:dyDescent="0.25">
      <c r="O289"/>
    </row>
    <row r="290" spans="15:15" x14ac:dyDescent="0.25">
      <c r="O290"/>
    </row>
    <row r="291" spans="15:15" x14ac:dyDescent="0.25">
      <c r="O291"/>
    </row>
    <row r="292" spans="15:15" x14ac:dyDescent="0.25">
      <c r="O292"/>
    </row>
    <row r="293" spans="15:15" x14ac:dyDescent="0.25">
      <c r="O293"/>
    </row>
    <row r="294" spans="15:15" x14ac:dyDescent="0.25">
      <c r="O294"/>
    </row>
    <row r="295" spans="15:15" x14ac:dyDescent="0.25">
      <c r="O295"/>
    </row>
    <row r="296" spans="15:15" x14ac:dyDescent="0.25">
      <c r="O296"/>
    </row>
    <row r="297" spans="15:15" x14ac:dyDescent="0.25">
      <c r="O297"/>
    </row>
    <row r="298" spans="15:15" x14ac:dyDescent="0.25">
      <c r="O298"/>
    </row>
    <row r="299" spans="15:15" x14ac:dyDescent="0.25">
      <c r="O299"/>
    </row>
    <row r="300" spans="15:15" x14ac:dyDescent="0.25">
      <c r="O300"/>
    </row>
    <row r="301" spans="15:15" x14ac:dyDescent="0.25">
      <c r="O301"/>
    </row>
    <row r="302" spans="15:15" x14ac:dyDescent="0.25">
      <c r="O302"/>
    </row>
    <row r="303" spans="15:15" x14ac:dyDescent="0.25">
      <c r="O303"/>
    </row>
    <row r="304" spans="15:15" x14ac:dyDescent="0.25">
      <c r="O304"/>
    </row>
    <row r="305" spans="15:15" x14ac:dyDescent="0.25">
      <c r="O305"/>
    </row>
    <row r="306" spans="15:15" x14ac:dyDescent="0.25">
      <c r="O306"/>
    </row>
    <row r="307" spans="15:15" x14ac:dyDescent="0.25">
      <c r="O307"/>
    </row>
    <row r="308" spans="15:15" x14ac:dyDescent="0.25">
      <c r="O308"/>
    </row>
    <row r="309" spans="15:15" x14ac:dyDescent="0.25">
      <c r="O309"/>
    </row>
    <row r="310" spans="15:15" x14ac:dyDescent="0.25">
      <c r="O310"/>
    </row>
    <row r="311" spans="15:15" x14ac:dyDescent="0.25">
      <c r="O311"/>
    </row>
    <row r="312" spans="15:15" x14ac:dyDescent="0.25">
      <c r="O312"/>
    </row>
    <row r="313" spans="15:15" x14ac:dyDescent="0.25">
      <c r="O313"/>
    </row>
    <row r="314" spans="15:15" x14ac:dyDescent="0.25">
      <c r="O314"/>
    </row>
    <row r="315" spans="15:15" x14ac:dyDescent="0.25">
      <c r="O315"/>
    </row>
    <row r="316" spans="15:15" x14ac:dyDescent="0.25">
      <c r="O316"/>
    </row>
    <row r="317" spans="15:15" x14ac:dyDescent="0.25">
      <c r="O317"/>
    </row>
    <row r="318" spans="15:15" x14ac:dyDescent="0.25">
      <c r="O318"/>
    </row>
    <row r="319" spans="15:15" x14ac:dyDescent="0.25">
      <c r="O319"/>
    </row>
    <row r="320" spans="15:15" x14ac:dyDescent="0.25">
      <c r="O320"/>
    </row>
    <row r="321" spans="15:15" x14ac:dyDescent="0.25">
      <c r="O321"/>
    </row>
    <row r="322" spans="15:15" x14ac:dyDescent="0.25">
      <c r="O322"/>
    </row>
    <row r="323" spans="15:15" x14ac:dyDescent="0.25">
      <c r="O323"/>
    </row>
    <row r="324" spans="15:15" x14ac:dyDescent="0.25">
      <c r="O324"/>
    </row>
    <row r="325" spans="15:15" x14ac:dyDescent="0.25">
      <c r="O325"/>
    </row>
    <row r="326" spans="15:15" x14ac:dyDescent="0.25">
      <c r="O326"/>
    </row>
    <row r="327" spans="15:15" x14ac:dyDescent="0.25">
      <c r="O327"/>
    </row>
    <row r="328" spans="15:15" x14ac:dyDescent="0.25">
      <c r="O328"/>
    </row>
    <row r="329" spans="15:15" x14ac:dyDescent="0.25">
      <c r="O329"/>
    </row>
    <row r="330" spans="15:15" x14ac:dyDescent="0.25">
      <c r="O330"/>
    </row>
    <row r="331" spans="15:15" x14ac:dyDescent="0.25">
      <c r="O331"/>
    </row>
    <row r="332" spans="15:15" x14ac:dyDescent="0.25">
      <c r="O332"/>
    </row>
    <row r="333" spans="15:15" x14ac:dyDescent="0.25">
      <c r="O333"/>
    </row>
    <row r="334" spans="15:15" x14ac:dyDescent="0.25">
      <c r="O334"/>
    </row>
    <row r="335" spans="15:15" x14ac:dyDescent="0.25">
      <c r="O335"/>
    </row>
    <row r="336" spans="15:15" x14ac:dyDescent="0.25">
      <c r="O336"/>
    </row>
    <row r="337" spans="15:15" x14ac:dyDescent="0.25">
      <c r="O337"/>
    </row>
    <row r="338" spans="15:15" x14ac:dyDescent="0.25">
      <c r="O338"/>
    </row>
    <row r="339" spans="15:15" x14ac:dyDescent="0.25">
      <c r="O339"/>
    </row>
    <row r="340" spans="15:15" x14ac:dyDescent="0.25">
      <c r="O340"/>
    </row>
    <row r="341" spans="15:15" x14ac:dyDescent="0.25">
      <c r="O341"/>
    </row>
    <row r="342" spans="15:15" x14ac:dyDescent="0.25">
      <c r="O342"/>
    </row>
    <row r="343" spans="15:15" x14ac:dyDescent="0.25">
      <c r="O343"/>
    </row>
    <row r="344" spans="15:15" x14ac:dyDescent="0.25">
      <c r="O344"/>
    </row>
    <row r="345" spans="15:15" x14ac:dyDescent="0.25">
      <c r="O345"/>
    </row>
    <row r="346" spans="15:15" x14ac:dyDescent="0.25">
      <c r="O346"/>
    </row>
    <row r="347" spans="15:15" x14ac:dyDescent="0.25">
      <c r="O347"/>
    </row>
    <row r="348" spans="15:15" x14ac:dyDescent="0.25">
      <c r="O348"/>
    </row>
    <row r="349" spans="15:15" x14ac:dyDescent="0.25">
      <c r="O349"/>
    </row>
    <row r="350" spans="15:15" x14ac:dyDescent="0.25">
      <c r="O350"/>
    </row>
    <row r="351" spans="15:15" x14ac:dyDescent="0.25">
      <c r="O351"/>
    </row>
    <row r="352" spans="15:15" x14ac:dyDescent="0.25">
      <c r="O352"/>
    </row>
    <row r="353" spans="15:15" x14ac:dyDescent="0.25">
      <c r="O353"/>
    </row>
    <row r="354" spans="15:15" x14ac:dyDescent="0.25">
      <c r="O354"/>
    </row>
    <row r="355" spans="15:15" x14ac:dyDescent="0.25">
      <c r="O355"/>
    </row>
    <row r="356" spans="15:15" x14ac:dyDescent="0.25">
      <c r="O356"/>
    </row>
    <row r="357" spans="15:15" x14ac:dyDescent="0.25">
      <c r="O357"/>
    </row>
    <row r="358" spans="15:15" x14ac:dyDescent="0.25">
      <c r="O358"/>
    </row>
    <row r="359" spans="15:15" x14ac:dyDescent="0.25">
      <c r="O359"/>
    </row>
    <row r="360" spans="15:15" x14ac:dyDescent="0.25">
      <c r="O360"/>
    </row>
    <row r="361" spans="15:15" x14ac:dyDescent="0.25">
      <c r="O361"/>
    </row>
    <row r="362" spans="15:15" x14ac:dyDescent="0.25">
      <c r="O362"/>
    </row>
    <row r="363" spans="15:15" x14ac:dyDescent="0.25">
      <c r="O363"/>
    </row>
    <row r="364" spans="15:15" x14ac:dyDescent="0.25">
      <c r="O364"/>
    </row>
    <row r="365" spans="15:15" x14ac:dyDescent="0.25">
      <c r="O365"/>
    </row>
    <row r="366" spans="15:15" x14ac:dyDescent="0.25">
      <c r="O366"/>
    </row>
    <row r="367" spans="15:15" x14ac:dyDescent="0.25">
      <c r="O367"/>
    </row>
    <row r="368" spans="15:15" x14ac:dyDescent="0.25">
      <c r="O368"/>
    </row>
    <row r="369" spans="15:15" x14ac:dyDescent="0.25">
      <c r="O369"/>
    </row>
    <row r="370" spans="15:15" x14ac:dyDescent="0.25">
      <c r="O370"/>
    </row>
    <row r="371" spans="15:15" x14ac:dyDescent="0.25">
      <c r="O371"/>
    </row>
    <row r="372" spans="15:15" x14ac:dyDescent="0.25">
      <c r="O372"/>
    </row>
    <row r="373" spans="15:15" x14ac:dyDescent="0.25">
      <c r="O373"/>
    </row>
    <row r="374" spans="15:15" x14ac:dyDescent="0.25">
      <c r="O374"/>
    </row>
    <row r="375" spans="15:15" x14ac:dyDescent="0.25">
      <c r="O375"/>
    </row>
    <row r="376" spans="15:15" x14ac:dyDescent="0.25">
      <c r="O376"/>
    </row>
    <row r="377" spans="15:15" x14ac:dyDescent="0.25">
      <c r="O377"/>
    </row>
    <row r="378" spans="15:15" x14ac:dyDescent="0.25">
      <c r="O378"/>
    </row>
    <row r="379" spans="15:15" x14ac:dyDescent="0.25">
      <c r="O379"/>
    </row>
    <row r="380" spans="15:15" x14ac:dyDescent="0.25">
      <c r="O380"/>
    </row>
    <row r="381" spans="15:15" x14ac:dyDescent="0.25">
      <c r="O381"/>
    </row>
    <row r="382" spans="15:15" x14ac:dyDescent="0.25">
      <c r="O382"/>
    </row>
    <row r="383" spans="15:15" x14ac:dyDescent="0.25">
      <c r="O383"/>
    </row>
    <row r="384" spans="15:15" x14ac:dyDescent="0.25">
      <c r="O384"/>
    </row>
    <row r="385" spans="15:15" x14ac:dyDescent="0.25">
      <c r="O385"/>
    </row>
    <row r="386" spans="15:15" x14ac:dyDescent="0.25">
      <c r="O386"/>
    </row>
    <row r="387" spans="15:15" x14ac:dyDescent="0.25">
      <c r="O387"/>
    </row>
    <row r="388" spans="15:15" x14ac:dyDescent="0.25">
      <c r="O388"/>
    </row>
    <row r="389" spans="15:15" x14ac:dyDescent="0.25">
      <c r="O389"/>
    </row>
    <row r="390" spans="15:15" x14ac:dyDescent="0.25">
      <c r="O390"/>
    </row>
    <row r="391" spans="15:15" x14ac:dyDescent="0.25">
      <c r="O391"/>
    </row>
    <row r="392" spans="15:15" x14ac:dyDescent="0.25">
      <c r="O392"/>
    </row>
    <row r="393" spans="15:15" x14ac:dyDescent="0.25">
      <c r="O393"/>
    </row>
    <row r="394" spans="15:15" x14ac:dyDescent="0.25">
      <c r="O394"/>
    </row>
    <row r="395" spans="15:15" x14ac:dyDescent="0.25">
      <c r="O395"/>
    </row>
    <row r="396" spans="15:15" x14ac:dyDescent="0.25">
      <c r="O396"/>
    </row>
    <row r="397" spans="15:15" x14ac:dyDescent="0.25">
      <c r="O397"/>
    </row>
    <row r="398" spans="15:15" x14ac:dyDescent="0.25">
      <c r="O398"/>
    </row>
    <row r="399" spans="15:15" x14ac:dyDescent="0.25">
      <c r="O399"/>
    </row>
    <row r="400" spans="15:15" x14ac:dyDescent="0.25">
      <c r="O400"/>
    </row>
    <row r="401" spans="15:15" x14ac:dyDescent="0.25">
      <c r="O401"/>
    </row>
    <row r="402" spans="15:15" x14ac:dyDescent="0.25">
      <c r="O402"/>
    </row>
    <row r="403" spans="15:15" x14ac:dyDescent="0.25">
      <c r="O403"/>
    </row>
    <row r="404" spans="15:15" x14ac:dyDescent="0.25">
      <c r="O404"/>
    </row>
    <row r="405" spans="15:15" x14ac:dyDescent="0.25">
      <c r="O405"/>
    </row>
    <row r="406" spans="15:15" x14ac:dyDescent="0.25">
      <c r="O406"/>
    </row>
    <row r="407" spans="15:15" x14ac:dyDescent="0.25">
      <c r="O407"/>
    </row>
    <row r="408" spans="15:15" x14ac:dyDescent="0.25">
      <c r="O408"/>
    </row>
    <row r="409" spans="15:15" x14ac:dyDescent="0.25">
      <c r="O409"/>
    </row>
    <row r="410" spans="15:15" x14ac:dyDescent="0.25">
      <c r="O410"/>
    </row>
    <row r="411" spans="15:15" x14ac:dyDescent="0.25">
      <c r="O411"/>
    </row>
    <row r="412" spans="15:15" x14ac:dyDescent="0.25">
      <c r="O412"/>
    </row>
    <row r="413" spans="15:15" x14ac:dyDescent="0.25">
      <c r="O413"/>
    </row>
    <row r="414" spans="15:15" x14ac:dyDescent="0.25">
      <c r="O414"/>
    </row>
    <row r="415" spans="15:15" x14ac:dyDescent="0.25">
      <c r="O415"/>
    </row>
    <row r="416" spans="15:15" x14ac:dyDescent="0.25">
      <c r="O416"/>
    </row>
    <row r="417" spans="15:15" x14ac:dyDescent="0.25">
      <c r="O417"/>
    </row>
    <row r="418" spans="15:15" x14ac:dyDescent="0.25">
      <c r="O418"/>
    </row>
    <row r="419" spans="15:15" x14ac:dyDescent="0.25">
      <c r="O419"/>
    </row>
    <row r="420" spans="15:15" x14ac:dyDescent="0.25">
      <c r="O420"/>
    </row>
    <row r="421" spans="15:15" x14ac:dyDescent="0.25">
      <c r="O421"/>
    </row>
    <row r="422" spans="15:15" x14ac:dyDescent="0.25">
      <c r="O422"/>
    </row>
    <row r="423" spans="15:15" x14ac:dyDescent="0.25">
      <c r="O423"/>
    </row>
    <row r="424" spans="15:15" x14ac:dyDescent="0.25">
      <c r="O424"/>
    </row>
    <row r="425" spans="15:15" x14ac:dyDescent="0.25">
      <c r="O425"/>
    </row>
    <row r="426" spans="15:15" x14ac:dyDescent="0.25">
      <c r="O426"/>
    </row>
    <row r="427" spans="15:15" x14ac:dyDescent="0.25">
      <c r="O427"/>
    </row>
    <row r="428" spans="15:15" x14ac:dyDescent="0.25">
      <c r="O428"/>
    </row>
    <row r="429" spans="15:15" x14ac:dyDescent="0.25">
      <c r="O429"/>
    </row>
    <row r="430" spans="15:15" x14ac:dyDescent="0.25">
      <c r="O430"/>
    </row>
    <row r="431" spans="15:15" x14ac:dyDescent="0.25">
      <c r="O431"/>
    </row>
    <row r="432" spans="15:15" x14ac:dyDescent="0.25">
      <c r="O432"/>
    </row>
    <row r="433" spans="15:15" x14ac:dyDescent="0.25">
      <c r="O433"/>
    </row>
    <row r="434" spans="15:15" x14ac:dyDescent="0.25">
      <c r="O434"/>
    </row>
    <row r="435" spans="15:15" x14ac:dyDescent="0.25">
      <c r="O435"/>
    </row>
    <row r="436" spans="15:15" x14ac:dyDescent="0.25">
      <c r="O436"/>
    </row>
    <row r="437" spans="15:15" x14ac:dyDescent="0.25">
      <c r="O437"/>
    </row>
    <row r="438" spans="15:15" x14ac:dyDescent="0.25">
      <c r="O438"/>
    </row>
    <row r="439" spans="15:15" x14ac:dyDescent="0.25">
      <c r="O439"/>
    </row>
    <row r="440" spans="15:15" x14ac:dyDescent="0.25">
      <c r="O440"/>
    </row>
    <row r="441" spans="15:15" x14ac:dyDescent="0.25">
      <c r="O441"/>
    </row>
    <row r="442" spans="15:15" x14ac:dyDescent="0.25">
      <c r="O442"/>
    </row>
    <row r="443" spans="15:15" x14ac:dyDescent="0.25">
      <c r="O443"/>
    </row>
    <row r="444" spans="15:15" x14ac:dyDescent="0.25">
      <c r="O444"/>
    </row>
    <row r="445" spans="15:15" x14ac:dyDescent="0.25">
      <c r="O445"/>
    </row>
    <row r="446" spans="15:15" x14ac:dyDescent="0.25">
      <c r="O446"/>
    </row>
    <row r="447" spans="15:15" x14ac:dyDescent="0.25">
      <c r="O447"/>
    </row>
    <row r="448" spans="15:15" x14ac:dyDescent="0.25">
      <c r="O448"/>
    </row>
    <row r="449" spans="15:15" x14ac:dyDescent="0.25">
      <c r="O449"/>
    </row>
    <row r="450" spans="15:15" x14ac:dyDescent="0.25">
      <c r="O450"/>
    </row>
    <row r="451" spans="15:15" x14ac:dyDescent="0.25">
      <c r="O451"/>
    </row>
    <row r="452" spans="15:15" x14ac:dyDescent="0.25">
      <c r="O452"/>
    </row>
    <row r="453" spans="15:15" x14ac:dyDescent="0.25">
      <c r="O453"/>
    </row>
    <row r="454" spans="15:15" x14ac:dyDescent="0.25">
      <c r="O454"/>
    </row>
    <row r="455" spans="15:15" x14ac:dyDescent="0.25">
      <c r="O455"/>
    </row>
    <row r="456" spans="15:15" x14ac:dyDescent="0.25">
      <c r="O456"/>
    </row>
    <row r="457" spans="15:15" x14ac:dyDescent="0.25">
      <c r="O457"/>
    </row>
    <row r="458" spans="15:15" x14ac:dyDescent="0.25">
      <c r="O458"/>
    </row>
    <row r="459" spans="15:15" x14ac:dyDescent="0.25">
      <c r="O459"/>
    </row>
    <row r="460" spans="15:15" x14ac:dyDescent="0.25">
      <c r="O460"/>
    </row>
    <row r="461" spans="15:15" x14ac:dyDescent="0.25">
      <c r="O461"/>
    </row>
    <row r="462" spans="15:15" x14ac:dyDescent="0.25">
      <c r="O462"/>
    </row>
    <row r="463" spans="15:15" x14ac:dyDescent="0.25">
      <c r="O463"/>
    </row>
    <row r="464" spans="15:15" x14ac:dyDescent="0.25">
      <c r="O464"/>
    </row>
    <row r="465" spans="15:15" x14ac:dyDescent="0.25">
      <c r="O465"/>
    </row>
    <row r="466" spans="15:15" x14ac:dyDescent="0.25">
      <c r="O466"/>
    </row>
    <row r="467" spans="15:15" x14ac:dyDescent="0.25">
      <c r="O467"/>
    </row>
    <row r="468" spans="15:15" x14ac:dyDescent="0.25">
      <c r="O468"/>
    </row>
    <row r="469" spans="15:15" x14ac:dyDescent="0.25">
      <c r="O469"/>
    </row>
    <row r="470" spans="15:15" x14ac:dyDescent="0.25">
      <c r="O470"/>
    </row>
    <row r="471" spans="15:15" x14ac:dyDescent="0.25">
      <c r="O471"/>
    </row>
    <row r="472" spans="15:15" x14ac:dyDescent="0.25">
      <c r="O472"/>
    </row>
    <row r="473" spans="15:15" x14ac:dyDescent="0.25">
      <c r="O473"/>
    </row>
    <row r="474" spans="15:15" x14ac:dyDescent="0.25">
      <c r="O474"/>
    </row>
    <row r="475" spans="15:15" x14ac:dyDescent="0.25">
      <c r="O475"/>
    </row>
    <row r="476" spans="15:15" x14ac:dyDescent="0.25">
      <c r="O476"/>
    </row>
    <row r="477" spans="15:15" x14ac:dyDescent="0.25">
      <c r="O477"/>
    </row>
    <row r="478" spans="15:15" x14ac:dyDescent="0.25">
      <c r="O478"/>
    </row>
    <row r="479" spans="15:15" x14ac:dyDescent="0.25">
      <c r="O479"/>
    </row>
    <row r="480" spans="15:15" x14ac:dyDescent="0.25">
      <c r="O480"/>
    </row>
    <row r="481" spans="15:15" x14ac:dyDescent="0.25">
      <c r="O481"/>
    </row>
    <row r="482" spans="15:15" x14ac:dyDescent="0.25">
      <c r="O482"/>
    </row>
    <row r="483" spans="15:15" x14ac:dyDescent="0.25">
      <c r="O483"/>
    </row>
    <row r="484" spans="15:15" x14ac:dyDescent="0.25">
      <c r="O484"/>
    </row>
    <row r="485" spans="15:15" x14ac:dyDescent="0.25">
      <c r="O485"/>
    </row>
    <row r="486" spans="15:15" x14ac:dyDescent="0.25">
      <c r="O486"/>
    </row>
    <row r="487" spans="15:15" x14ac:dyDescent="0.25">
      <c r="O487"/>
    </row>
    <row r="488" spans="15:15" x14ac:dyDescent="0.25">
      <c r="O488"/>
    </row>
    <row r="489" spans="15:15" x14ac:dyDescent="0.25">
      <c r="O489"/>
    </row>
    <row r="490" spans="15:15" x14ac:dyDescent="0.25">
      <c r="O490"/>
    </row>
    <row r="491" spans="15:15" x14ac:dyDescent="0.25">
      <c r="O491"/>
    </row>
    <row r="492" spans="15:15" x14ac:dyDescent="0.25">
      <c r="O492"/>
    </row>
    <row r="493" spans="15:15" x14ac:dyDescent="0.25">
      <c r="O493"/>
    </row>
    <row r="494" spans="15:15" x14ac:dyDescent="0.25">
      <c r="O494"/>
    </row>
    <row r="495" spans="15:15" x14ac:dyDescent="0.25">
      <c r="O495"/>
    </row>
    <row r="496" spans="15:15" x14ac:dyDescent="0.25">
      <c r="O496"/>
    </row>
    <row r="497" spans="15:15" x14ac:dyDescent="0.25">
      <c r="O497"/>
    </row>
    <row r="498" spans="15:15" x14ac:dyDescent="0.25">
      <c r="O498"/>
    </row>
    <row r="499" spans="15:15" x14ac:dyDescent="0.25">
      <c r="O499"/>
    </row>
    <row r="500" spans="15:15" x14ac:dyDescent="0.25">
      <c r="O500"/>
    </row>
    <row r="501" spans="15:15" x14ac:dyDescent="0.25">
      <c r="O501"/>
    </row>
    <row r="502" spans="15:15" x14ac:dyDescent="0.25">
      <c r="O502"/>
    </row>
    <row r="503" spans="15:15" x14ac:dyDescent="0.25">
      <c r="O503"/>
    </row>
    <row r="504" spans="15:15" x14ac:dyDescent="0.25">
      <c r="O504"/>
    </row>
    <row r="505" spans="15:15" x14ac:dyDescent="0.25">
      <c r="O505"/>
    </row>
    <row r="506" spans="15:15" x14ac:dyDescent="0.25">
      <c r="O506"/>
    </row>
    <row r="507" spans="15:15" x14ac:dyDescent="0.25">
      <c r="O507"/>
    </row>
    <row r="508" spans="15:15" x14ac:dyDescent="0.25">
      <c r="O508"/>
    </row>
    <row r="509" spans="15:15" x14ac:dyDescent="0.25">
      <c r="O509"/>
    </row>
    <row r="510" spans="15:15" x14ac:dyDescent="0.25">
      <c r="O510"/>
    </row>
    <row r="511" spans="15:15" x14ac:dyDescent="0.25">
      <c r="O511"/>
    </row>
    <row r="512" spans="15:15" x14ac:dyDescent="0.25">
      <c r="O512"/>
    </row>
    <row r="513" spans="15:15" x14ac:dyDescent="0.25">
      <c r="O513"/>
    </row>
    <row r="514" spans="15:15" x14ac:dyDescent="0.25">
      <c r="O514"/>
    </row>
    <row r="515" spans="15:15" x14ac:dyDescent="0.25">
      <c r="O515"/>
    </row>
    <row r="516" spans="15:15" x14ac:dyDescent="0.25">
      <c r="O516"/>
    </row>
    <row r="517" spans="15:15" x14ac:dyDescent="0.25">
      <c r="O517"/>
    </row>
    <row r="518" spans="15:15" x14ac:dyDescent="0.25">
      <c r="O518"/>
    </row>
    <row r="519" spans="15:15" x14ac:dyDescent="0.25">
      <c r="O519"/>
    </row>
    <row r="520" spans="15:15" x14ac:dyDescent="0.25">
      <c r="O520"/>
    </row>
    <row r="521" spans="15:15" x14ac:dyDescent="0.25">
      <c r="O521"/>
    </row>
    <row r="522" spans="15:15" x14ac:dyDescent="0.25">
      <c r="O522"/>
    </row>
    <row r="523" spans="15:15" x14ac:dyDescent="0.25">
      <c r="O523"/>
    </row>
    <row r="524" spans="15:15" x14ac:dyDescent="0.25">
      <c r="O524"/>
    </row>
    <row r="525" spans="15:15" x14ac:dyDescent="0.25">
      <c r="O525"/>
    </row>
    <row r="526" spans="15:15" x14ac:dyDescent="0.25">
      <c r="O526"/>
    </row>
    <row r="527" spans="15:15" x14ac:dyDescent="0.25">
      <c r="O527"/>
    </row>
    <row r="528" spans="15:15" x14ac:dyDescent="0.25">
      <c r="O528"/>
    </row>
    <row r="529" spans="15:15" x14ac:dyDescent="0.25">
      <c r="O529"/>
    </row>
    <row r="530" spans="15:15" x14ac:dyDescent="0.25">
      <c r="O530"/>
    </row>
    <row r="531" spans="15:15" x14ac:dyDescent="0.25">
      <c r="O531"/>
    </row>
    <row r="532" spans="15:15" x14ac:dyDescent="0.25">
      <c r="O532"/>
    </row>
    <row r="533" spans="15:15" x14ac:dyDescent="0.25">
      <c r="O533"/>
    </row>
    <row r="534" spans="15:15" x14ac:dyDescent="0.25">
      <c r="O534"/>
    </row>
    <row r="535" spans="15:15" x14ac:dyDescent="0.25">
      <c r="O535"/>
    </row>
    <row r="536" spans="15:15" x14ac:dyDescent="0.25">
      <c r="O536"/>
    </row>
    <row r="537" spans="15:15" x14ac:dyDescent="0.25">
      <c r="O537"/>
    </row>
    <row r="538" spans="15:15" x14ac:dyDescent="0.25">
      <c r="O538"/>
    </row>
    <row r="539" spans="15:15" x14ac:dyDescent="0.25">
      <c r="O539"/>
    </row>
    <row r="540" spans="15:15" x14ac:dyDescent="0.25">
      <c r="O540"/>
    </row>
    <row r="541" spans="15:15" x14ac:dyDescent="0.25">
      <c r="O541"/>
    </row>
    <row r="542" spans="15:15" x14ac:dyDescent="0.25">
      <c r="O542"/>
    </row>
    <row r="543" spans="15:15" x14ac:dyDescent="0.25">
      <c r="O543"/>
    </row>
    <row r="544" spans="15:15" x14ac:dyDescent="0.25">
      <c r="O544"/>
    </row>
    <row r="545" spans="15:15" x14ac:dyDescent="0.25">
      <c r="O545"/>
    </row>
    <row r="546" spans="15:15" x14ac:dyDescent="0.25">
      <c r="O546"/>
    </row>
    <row r="547" spans="15:15" x14ac:dyDescent="0.25">
      <c r="O547"/>
    </row>
    <row r="548" spans="15:15" x14ac:dyDescent="0.25">
      <c r="O548"/>
    </row>
    <row r="549" spans="15:15" x14ac:dyDescent="0.25">
      <c r="O549"/>
    </row>
    <row r="550" spans="15:15" x14ac:dyDescent="0.25">
      <c r="O550"/>
    </row>
    <row r="551" spans="15:15" x14ac:dyDescent="0.25">
      <c r="O551"/>
    </row>
    <row r="552" spans="15:15" x14ac:dyDescent="0.25">
      <c r="O552"/>
    </row>
    <row r="553" spans="15:15" x14ac:dyDescent="0.25">
      <c r="O553"/>
    </row>
    <row r="554" spans="15:15" x14ac:dyDescent="0.25">
      <c r="O554"/>
    </row>
    <row r="555" spans="15:15" x14ac:dyDescent="0.25">
      <c r="O555"/>
    </row>
    <row r="556" spans="15:15" x14ac:dyDescent="0.25">
      <c r="O556"/>
    </row>
    <row r="557" spans="15:15" x14ac:dyDescent="0.25">
      <c r="O557"/>
    </row>
    <row r="558" spans="15:15" x14ac:dyDescent="0.25">
      <c r="O558"/>
    </row>
    <row r="559" spans="15:15" x14ac:dyDescent="0.25">
      <c r="O559"/>
    </row>
    <row r="560" spans="15:15" x14ac:dyDescent="0.25">
      <c r="O560"/>
    </row>
    <row r="561" spans="15:15" x14ac:dyDescent="0.25">
      <c r="O561"/>
    </row>
    <row r="562" spans="15:15" x14ac:dyDescent="0.25">
      <c r="O562"/>
    </row>
    <row r="563" spans="15:15" x14ac:dyDescent="0.25">
      <c r="O563"/>
    </row>
    <row r="564" spans="15:15" x14ac:dyDescent="0.25">
      <c r="O564"/>
    </row>
    <row r="565" spans="15:15" x14ac:dyDescent="0.25">
      <c r="O565"/>
    </row>
    <row r="566" spans="15:15" x14ac:dyDescent="0.25">
      <c r="O566"/>
    </row>
    <row r="567" spans="15:15" x14ac:dyDescent="0.25">
      <c r="O567"/>
    </row>
    <row r="568" spans="15:15" x14ac:dyDescent="0.25">
      <c r="O568"/>
    </row>
    <row r="569" spans="15:15" x14ac:dyDescent="0.25">
      <c r="O569"/>
    </row>
    <row r="570" spans="15:15" x14ac:dyDescent="0.25">
      <c r="O570"/>
    </row>
    <row r="571" spans="15:15" x14ac:dyDescent="0.25">
      <c r="O571"/>
    </row>
    <row r="572" spans="15:15" x14ac:dyDescent="0.25">
      <c r="O572"/>
    </row>
    <row r="573" spans="15:15" x14ac:dyDescent="0.25">
      <c r="O573"/>
    </row>
    <row r="574" spans="15:15" x14ac:dyDescent="0.25">
      <c r="O574"/>
    </row>
    <row r="575" spans="15:15" x14ac:dyDescent="0.25">
      <c r="O575"/>
    </row>
    <row r="576" spans="15:15" x14ac:dyDescent="0.25">
      <c r="O576"/>
    </row>
    <row r="577" spans="15:15" x14ac:dyDescent="0.25">
      <c r="O577"/>
    </row>
    <row r="578" spans="15:15" x14ac:dyDescent="0.25">
      <c r="O578"/>
    </row>
    <row r="579" spans="15:15" x14ac:dyDescent="0.25">
      <c r="O579"/>
    </row>
    <row r="580" spans="15:15" x14ac:dyDescent="0.25">
      <c r="O580"/>
    </row>
    <row r="581" spans="15:15" x14ac:dyDescent="0.25">
      <c r="O581"/>
    </row>
    <row r="582" spans="15:15" x14ac:dyDescent="0.25">
      <c r="O582"/>
    </row>
    <row r="583" spans="15:15" x14ac:dyDescent="0.25">
      <c r="O583"/>
    </row>
    <row r="584" spans="15:15" x14ac:dyDescent="0.25">
      <c r="O584"/>
    </row>
    <row r="585" spans="15:15" x14ac:dyDescent="0.25">
      <c r="O585"/>
    </row>
    <row r="586" spans="15:15" x14ac:dyDescent="0.25">
      <c r="O586"/>
    </row>
    <row r="587" spans="15:15" x14ac:dyDescent="0.25">
      <c r="O587"/>
    </row>
    <row r="588" spans="15:15" x14ac:dyDescent="0.25">
      <c r="O588"/>
    </row>
    <row r="589" spans="15:15" x14ac:dyDescent="0.25">
      <c r="O589"/>
    </row>
    <row r="590" spans="15:15" x14ac:dyDescent="0.25">
      <c r="O590"/>
    </row>
    <row r="591" spans="15:15" x14ac:dyDescent="0.25">
      <c r="O591"/>
    </row>
    <row r="592" spans="15:15" x14ac:dyDescent="0.25">
      <c r="O592"/>
    </row>
    <row r="593" spans="15:15" x14ac:dyDescent="0.25">
      <c r="O593"/>
    </row>
    <row r="594" spans="15:15" x14ac:dyDescent="0.25">
      <c r="O594"/>
    </row>
    <row r="595" spans="15:15" x14ac:dyDescent="0.25">
      <c r="O595"/>
    </row>
    <row r="596" spans="15:15" x14ac:dyDescent="0.25">
      <c r="O596"/>
    </row>
    <row r="597" spans="15:15" x14ac:dyDescent="0.25">
      <c r="O597"/>
    </row>
    <row r="598" spans="15:15" x14ac:dyDescent="0.25">
      <c r="O598"/>
    </row>
    <row r="599" spans="15:15" x14ac:dyDescent="0.25">
      <c r="O599"/>
    </row>
    <row r="600" spans="15:15" x14ac:dyDescent="0.25">
      <c r="O600"/>
    </row>
    <row r="601" spans="15:15" x14ac:dyDescent="0.25">
      <c r="O601"/>
    </row>
    <row r="602" spans="15:15" x14ac:dyDescent="0.25">
      <c r="O602"/>
    </row>
    <row r="603" spans="15:15" x14ac:dyDescent="0.25">
      <c r="O603"/>
    </row>
    <row r="604" spans="15:15" x14ac:dyDescent="0.25">
      <c r="O604"/>
    </row>
    <row r="605" spans="15:15" x14ac:dyDescent="0.25">
      <c r="O605"/>
    </row>
    <row r="606" spans="15:15" x14ac:dyDescent="0.25">
      <c r="O606"/>
    </row>
    <row r="607" spans="15:15" x14ac:dyDescent="0.25">
      <c r="O607"/>
    </row>
    <row r="608" spans="15:15" x14ac:dyDescent="0.25">
      <c r="O608"/>
    </row>
    <row r="609" spans="15:15" x14ac:dyDescent="0.25">
      <c r="O609"/>
    </row>
    <row r="610" spans="15:15" x14ac:dyDescent="0.25">
      <c r="O610"/>
    </row>
    <row r="611" spans="15:15" x14ac:dyDescent="0.25">
      <c r="O611"/>
    </row>
    <row r="612" spans="15:15" x14ac:dyDescent="0.25">
      <c r="O612"/>
    </row>
    <row r="613" spans="15:15" x14ac:dyDescent="0.25">
      <c r="O613"/>
    </row>
    <row r="614" spans="15:15" x14ac:dyDescent="0.25">
      <c r="O614"/>
    </row>
    <row r="615" spans="15:15" x14ac:dyDescent="0.25">
      <c r="O615"/>
    </row>
    <row r="616" spans="15:15" x14ac:dyDescent="0.25">
      <c r="O616"/>
    </row>
    <row r="617" spans="15:15" x14ac:dyDescent="0.25">
      <c r="O617"/>
    </row>
    <row r="618" spans="15:15" x14ac:dyDescent="0.25">
      <c r="O618"/>
    </row>
    <row r="619" spans="15:15" x14ac:dyDescent="0.25">
      <c r="O619"/>
    </row>
    <row r="620" spans="15:15" x14ac:dyDescent="0.25">
      <c r="O620"/>
    </row>
    <row r="621" spans="15:15" x14ac:dyDescent="0.25">
      <c r="O621"/>
    </row>
    <row r="622" spans="15:15" x14ac:dyDescent="0.25">
      <c r="O622"/>
    </row>
    <row r="623" spans="15:15" x14ac:dyDescent="0.25">
      <c r="O623"/>
    </row>
    <row r="624" spans="15:15" x14ac:dyDescent="0.25">
      <c r="O624"/>
    </row>
    <row r="625" spans="15:15" x14ac:dyDescent="0.25">
      <c r="O625"/>
    </row>
    <row r="626" spans="15:15" x14ac:dyDescent="0.25">
      <c r="O626"/>
    </row>
    <row r="627" spans="15:15" x14ac:dyDescent="0.25">
      <c r="O627"/>
    </row>
    <row r="628" spans="15:15" x14ac:dyDescent="0.25">
      <c r="O628"/>
    </row>
    <row r="629" spans="15:15" x14ac:dyDescent="0.25">
      <c r="O629"/>
    </row>
    <row r="630" spans="15:15" x14ac:dyDescent="0.25">
      <c r="O630"/>
    </row>
    <row r="631" spans="15:15" x14ac:dyDescent="0.25">
      <c r="O631"/>
    </row>
    <row r="632" spans="15:15" x14ac:dyDescent="0.25">
      <c r="O632"/>
    </row>
    <row r="633" spans="15:15" x14ac:dyDescent="0.25">
      <c r="O633"/>
    </row>
    <row r="634" spans="15:15" x14ac:dyDescent="0.25">
      <c r="O634"/>
    </row>
    <row r="635" spans="15:15" x14ac:dyDescent="0.25">
      <c r="O635"/>
    </row>
    <row r="636" spans="15:15" x14ac:dyDescent="0.25">
      <c r="O636"/>
    </row>
    <row r="637" spans="15:15" x14ac:dyDescent="0.25">
      <c r="O637"/>
    </row>
    <row r="638" spans="15:15" x14ac:dyDescent="0.25">
      <c r="O638"/>
    </row>
    <row r="639" spans="15:15" x14ac:dyDescent="0.25">
      <c r="O639"/>
    </row>
    <row r="640" spans="15:15" x14ac:dyDescent="0.25">
      <c r="O640"/>
    </row>
    <row r="641" spans="15:15" x14ac:dyDescent="0.25">
      <c r="O641"/>
    </row>
    <row r="642" spans="15:15" x14ac:dyDescent="0.25">
      <c r="O642"/>
    </row>
    <row r="643" spans="15:15" x14ac:dyDescent="0.25">
      <c r="O643"/>
    </row>
    <row r="644" spans="15:15" x14ac:dyDescent="0.25">
      <c r="O644"/>
    </row>
    <row r="645" spans="15:15" x14ac:dyDescent="0.25">
      <c r="O645"/>
    </row>
    <row r="646" spans="15:15" x14ac:dyDescent="0.25">
      <c r="O646"/>
    </row>
    <row r="647" spans="15:15" x14ac:dyDescent="0.25">
      <c r="O647"/>
    </row>
    <row r="648" spans="15:15" x14ac:dyDescent="0.25">
      <c r="O648"/>
    </row>
    <row r="649" spans="15:15" x14ac:dyDescent="0.25">
      <c r="O649"/>
    </row>
    <row r="650" spans="15:15" x14ac:dyDescent="0.25">
      <c r="O650"/>
    </row>
    <row r="651" spans="15:15" x14ac:dyDescent="0.25">
      <c r="O651"/>
    </row>
    <row r="652" spans="15:15" x14ac:dyDescent="0.25">
      <c r="O652"/>
    </row>
    <row r="653" spans="15:15" x14ac:dyDescent="0.25">
      <c r="O653"/>
    </row>
    <row r="654" spans="15:15" x14ac:dyDescent="0.25">
      <c r="O654"/>
    </row>
    <row r="655" spans="15:15" x14ac:dyDescent="0.25">
      <c r="O655"/>
    </row>
    <row r="656" spans="15:15" x14ac:dyDescent="0.25">
      <c r="O656"/>
    </row>
    <row r="657" spans="15:15" x14ac:dyDescent="0.25">
      <c r="O657"/>
    </row>
    <row r="658" spans="15:15" x14ac:dyDescent="0.25">
      <c r="O658"/>
    </row>
    <row r="659" spans="15:15" x14ac:dyDescent="0.25">
      <c r="O659"/>
    </row>
    <row r="660" spans="15:15" x14ac:dyDescent="0.25">
      <c r="O660"/>
    </row>
    <row r="661" spans="15:15" x14ac:dyDescent="0.25">
      <c r="O661"/>
    </row>
    <row r="662" spans="15:15" x14ac:dyDescent="0.25">
      <c r="O662"/>
    </row>
    <row r="663" spans="15:15" x14ac:dyDescent="0.25">
      <c r="O663"/>
    </row>
    <row r="664" spans="15:15" x14ac:dyDescent="0.25">
      <c r="O664"/>
    </row>
    <row r="665" spans="15:15" x14ac:dyDescent="0.25">
      <c r="O665"/>
    </row>
    <row r="666" spans="15:15" x14ac:dyDescent="0.25">
      <c r="O666"/>
    </row>
    <row r="667" spans="15:15" x14ac:dyDescent="0.25">
      <c r="O667"/>
    </row>
    <row r="668" spans="15:15" x14ac:dyDescent="0.25">
      <c r="O668"/>
    </row>
    <row r="669" spans="15:15" x14ac:dyDescent="0.25">
      <c r="O669"/>
    </row>
    <row r="670" spans="15:15" x14ac:dyDescent="0.25">
      <c r="O670"/>
    </row>
    <row r="671" spans="15:15" x14ac:dyDescent="0.25">
      <c r="O671"/>
    </row>
    <row r="672" spans="15:15" x14ac:dyDescent="0.25">
      <c r="O672"/>
    </row>
    <row r="673" spans="15:15" x14ac:dyDescent="0.25">
      <c r="O673"/>
    </row>
    <row r="674" spans="15:15" x14ac:dyDescent="0.25">
      <c r="O674"/>
    </row>
    <row r="675" spans="15:15" x14ac:dyDescent="0.25">
      <c r="O675"/>
    </row>
    <row r="676" spans="15:15" x14ac:dyDescent="0.25">
      <c r="O676"/>
    </row>
    <row r="677" spans="15:15" x14ac:dyDescent="0.25">
      <c r="O677"/>
    </row>
    <row r="678" spans="15:15" x14ac:dyDescent="0.25">
      <c r="O678"/>
    </row>
    <row r="679" spans="15:15" x14ac:dyDescent="0.25">
      <c r="O679"/>
    </row>
    <row r="680" spans="15:15" x14ac:dyDescent="0.25">
      <c r="O680"/>
    </row>
    <row r="681" spans="15:15" x14ac:dyDescent="0.25">
      <c r="O681"/>
    </row>
    <row r="682" spans="15:15" x14ac:dyDescent="0.25">
      <c r="O682"/>
    </row>
    <row r="683" spans="15:15" x14ac:dyDescent="0.25">
      <c r="O683"/>
    </row>
    <row r="684" spans="15:15" x14ac:dyDescent="0.25">
      <c r="O684"/>
    </row>
    <row r="685" spans="15:15" x14ac:dyDescent="0.25">
      <c r="O685"/>
    </row>
    <row r="686" spans="15:15" x14ac:dyDescent="0.25">
      <c r="O686"/>
    </row>
    <row r="687" spans="15:15" x14ac:dyDescent="0.25">
      <c r="O687"/>
    </row>
    <row r="688" spans="15:15" x14ac:dyDescent="0.25">
      <c r="O688"/>
    </row>
    <row r="689" spans="15:15" x14ac:dyDescent="0.25">
      <c r="O689"/>
    </row>
    <row r="690" spans="15:15" x14ac:dyDescent="0.25">
      <c r="O690"/>
    </row>
    <row r="691" spans="15:15" x14ac:dyDescent="0.25">
      <c r="O691"/>
    </row>
    <row r="692" spans="15:15" x14ac:dyDescent="0.25">
      <c r="O692"/>
    </row>
    <row r="693" spans="15:15" x14ac:dyDescent="0.25">
      <c r="O693"/>
    </row>
    <row r="694" spans="15:15" x14ac:dyDescent="0.25">
      <c r="O694"/>
    </row>
    <row r="695" spans="15:15" x14ac:dyDescent="0.25">
      <c r="O695"/>
    </row>
    <row r="696" spans="15:15" x14ac:dyDescent="0.25">
      <c r="O696"/>
    </row>
    <row r="697" spans="15:15" x14ac:dyDescent="0.25">
      <c r="O697"/>
    </row>
    <row r="698" spans="15:15" x14ac:dyDescent="0.25">
      <c r="O698"/>
    </row>
    <row r="699" spans="15:15" x14ac:dyDescent="0.25">
      <c r="O699"/>
    </row>
    <row r="700" spans="15:15" x14ac:dyDescent="0.25">
      <c r="O700"/>
    </row>
    <row r="701" spans="15:15" x14ac:dyDescent="0.25">
      <c r="O701"/>
    </row>
    <row r="702" spans="15:15" x14ac:dyDescent="0.25">
      <c r="O702"/>
    </row>
    <row r="703" spans="15:15" x14ac:dyDescent="0.25">
      <c r="O703"/>
    </row>
    <row r="704" spans="15:15" x14ac:dyDescent="0.25">
      <c r="O704"/>
    </row>
    <row r="705" spans="15:15" x14ac:dyDescent="0.25">
      <c r="O705"/>
    </row>
    <row r="706" spans="15:15" x14ac:dyDescent="0.25">
      <c r="O706"/>
    </row>
    <row r="707" spans="15:15" x14ac:dyDescent="0.25">
      <c r="O707"/>
    </row>
    <row r="708" spans="15:15" x14ac:dyDescent="0.25">
      <c r="O708"/>
    </row>
    <row r="709" spans="15:15" x14ac:dyDescent="0.25">
      <c r="O709"/>
    </row>
    <row r="710" spans="15:15" x14ac:dyDescent="0.25">
      <c r="O710"/>
    </row>
    <row r="711" spans="15:15" x14ac:dyDescent="0.25">
      <c r="O711"/>
    </row>
    <row r="712" spans="15:15" x14ac:dyDescent="0.25">
      <c r="O712"/>
    </row>
    <row r="713" spans="15:15" x14ac:dyDescent="0.25">
      <c r="O713"/>
    </row>
    <row r="714" spans="15:15" x14ac:dyDescent="0.25">
      <c r="O714"/>
    </row>
    <row r="715" spans="15:15" x14ac:dyDescent="0.25">
      <c r="O715"/>
    </row>
    <row r="716" spans="15:15" x14ac:dyDescent="0.25">
      <c r="O716"/>
    </row>
    <row r="717" spans="15:15" x14ac:dyDescent="0.25">
      <c r="O717"/>
    </row>
    <row r="718" spans="15:15" x14ac:dyDescent="0.25">
      <c r="O718"/>
    </row>
    <row r="719" spans="15:15" x14ac:dyDescent="0.25">
      <c r="O719"/>
    </row>
    <row r="720" spans="15:15" x14ac:dyDescent="0.25">
      <c r="O720"/>
    </row>
    <row r="721" spans="15:15" x14ac:dyDescent="0.25">
      <c r="O721"/>
    </row>
    <row r="722" spans="15:15" x14ac:dyDescent="0.25">
      <c r="O722"/>
    </row>
    <row r="723" spans="15:15" x14ac:dyDescent="0.25">
      <c r="O723"/>
    </row>
    <row r="724" spans="15:15" x14ac:dyDescent="0.25">
      <c r="O724"/>
    </row>
    <row r="725" spans="15:15" x14ac:dyDescent="0.25">
      <c r="O725"/>
    </row>
    <row r="726" spans="15:15" x14ac:dyDescent="0.25">
      <c r="O726"/>
    </row>
    <row r="727" spans="15:15" x14ac:dyDescent="0.25">
      <c r="O727"/>
    </row>
    <row r="728" spans="15:15" x14ac:dyDescent="0.25">
      <c r="O728"/>
    </row>
    <row r="729" spans="15:15" x14ac:dyDescent="0.25">
      <c r="O729"/>
    </row>
    <row r="730" spans="15:15" x14ac:dyDescent="0.25">
      <c r="O730"/>
    </row>
    <row r="731" spans="15:15" x14ac:dyDescent="0.25">
      <c r="O731"/>
    </row>
    <row r="732" spans="15:15" x14ac:dyDescent="0.25">
      <c r="O732"/>
    </row>
    <row r="733" spans="15:15" x14ac:dyDescent="0.25">
      <c r="O733"/>
    </row>
    <row r="734" spans="15:15" x14ac:dyDescent="0.25">
      <c r="O734"/>
    </row>
    <row r="735" spans="15:15" x14ac:dyDescent="0.25">
      <c r="O735"/>
    </row>
    <row r="736" spans="15:15" x14ac:dyDescent="0.25">
      <c r="O736"/>
    </row>
    <row r="737" spans="15:15" x14ac:dyDescent="0.25">
      <c r="O737"/>
    </row>
    <row r="738" spans="15:15" x14ac:dyDescent="0.25">
      <c r="O738"/>
    </row>
    <row r="739" spans="15:15" x14ac:dyDescent="0.25">
      <c r="O739"/>
    </row>
    <row r="740" spans="15:15" x14ac:dyDescent="0.25">
      <c r="O740"/>
    </row>
    <row r="741" spans="15:15" x14ac:dyDescent="0.25">
      <c r="O741"/>
    </row>
    <row r="742" spans="15:15" x14ac:dyDescent="0.25">
      <c r="O742"/>
    </row>
    <row r="743" spans="15:15" x14ac:dyDescent="0.25">
      <c r="O743"/>
    </row>
    <row r="744" spans="15:15" x14ac:dyDescent="0.25">
      <c r="O744"/>
    </row>
    <row r="745" spans="15:15" x14ac:dyDescent="0.25">
      <c r="O745"/>
    </row>
    <row r="746" spans="15:15" x14ac:dyDescent="0.25">
      <c r="O746"/>
    </row>
    <row r="747" spans="15:15" x14ac:dyDescent="0.25">
      <c r="O747"/>
    </row>
    <row r="748" spans="15:15" x14ac:dyDescent="0.25">
      <c r="O748"/>
    </row>
    <row r="749" spans="15:15" x14ac:dyDescent="0.25">
      <c r="O749"/>
    </row>
    <row r="750" spans="15:15" x14ac:dyDescent="0.25">
      <c r="O750"/>
    </row>
    <row r="751" spans="15:15" x14ac:dyDescent="0.25">
      <c r="O751"/>
    </row>
    <row r="752" spans="15:15" x14ac:dyDescent="0.25">
      <c r="O752"/>
    </row>
    <row r="753" spans="15:15" x14ac:dyDescent="0.25">
      <c r="O753"/>
    </row>
    <row r="754" spans="15:15" x14ac:dyDescent="0.25">
      <c r="O754"/>
    </row>
    <row r="755" spans="15:15" x14ac:dyDescent="0.25">
      <c r="O755"/>
    </row>
    <row r="756" spans="15:15" x14ac:dyDescent="0.25">
      <c r="O756"/>
    </row>
    <row r="757" spans="15:15" x14ac:dyDescent="0.25">
      <c r="O757"/>
    </row>
    <row r="758" spans="15:15" x14ac:dyDescent="0.25">
      <c r="O758"/>
    </row>
    <row r="759" spans="15:15" x14ac:dyDescent="0.25">
      <c r="O759"/>
    </row>
    <row r="760" spans="15:15" x14ac:dyDescent="0.25">
      <c r="O760"/>
    </row>
    <row r="761" spans="15:15" x14ac:dyDescent="0.25">
      <c r="O761"/>
    </row>
    <row r="762" spans="15:15" x14ac:dyDescent="0.25">
      <c r="O762"/>
    </row>
    <row r="763" spans="15:15" x14ac:dyDescent="0.25">
      <c r="O763"/>
    </row>
    <row r="764" spans="15:15" x14ac:dyDescent="0.25">
      <c r="O764"/>
    </row>
    <row r="765" spans="15:15" x14ac:dyDescent="0.25">
      <c r="O765"/>
    </row>
    <row r="766" spans="15:15" x14ac:dyDescent="0.25">
      <c r="O766"/>
    </row>
    <row r="767" spans="15:15" x14ac:dyDescent="0.25">
      <c r="O767"/>
    </row>
    <row r="768" spans="15:15" x14ac:dyDescent="0.25">
      <c r="O768"/>
    </row>
    <row r="769" spans="15:15" x14ac:dyDescent="0.25">
      <c r="O769"/>
    </row>
    <row r="770" spans="15:15" x14ac:dyDescent="0.25">
      <c r="O770"/>
    </row>
    <row r="771" spans="15:15" x14ac:dyDescent="0.25">
      <c r="O771"/>
    </row>
    <row r="772" spans="15:15" x14ac:dyDescent="0.25">
      <c r="O772"/>
    </row>
    <row r="773" spans="15:15" x14ac:dyDescent="0.25">
      <c r="O773"/>
    </row>
    <row r="774" spans="15:15" x14ac:dyDescent="0.25">
      <c r="O774"/>
    </row>
    <row r="775" spans="15:15" x14ac:dyDescent="0.25">
      <c r="O775"/>
    </row>
    <row r="776" spans="15:15" x14ac:dyDescent="0.25">
      <c r="O776"/>
    </row>
    <row r="777" spans="15:15" x14ac:dyDescent="0.25">
      <c r="O777"/>
    </row>
    <row r="778" spans="15:15" x14ac:dyDescent="0.25">
      <c r="O778"/>
    </row>
    <row r="779" spans="15:15" x14ac:dyDescent="0.25">
      <c r="O779"/>
    </row>
    <row r="780" spans="15:15" x14ac:dyDescent="0.25">
      <c r="O780"/>
    </row>
    <row r="781" spans="15:15" x14ac:dyDescent="0.25">
      <c r="O781"/>
    </row>
    <row r="782" spans="15:15" x14ac:dyDescent="0.25">
      <c r="O782"/>
    </row>
    <row r="783" spans="15:15" x14ac:dyDescent="0.25">
      <c r="O783"/>
    </row>
    <row r="784" spans="15:15" x14ac:dyDescent="0.25">
      <c r="O784"/>
    </row>
    <row r="785" spans="15:15" x14ac:dyDescent="0.25">
      <c r="O785"/>
    </row>
    <row r="786" spans="15:15" x14ac:dyDescent="0.25">
      <c r="O786"/>
    </row>
    <row r="787" spans="15:15" x14ac:dyDescent="0.25">
      <c r="O787"/>
    </row>
    <row r="788" spans="15:15" x14ac:dyDescent="0.25">
      <c r="O788"/>
    </row>
    <row r="789" spans="15:15" x14ac:dyDescent="0.25">
      <c r="O789"/>
    </row>
    <row r="790" spans="15:15" x14ac:dyDescent="0.25">
      <c r="O790"/>
    </row>
    <row r="791" spans="15:15" x14ac:dyDescent="0.25">
      <c r="O791"/>
    </row>
    <row r="792" spans="15:15" x14ac:dyDescent="0.25">
      <c r="O792"/>
    </row>
    <row r="793" spans="15:15" x14ac:dyDescent="0.25">
      <c r="O793"/>
    </row>
    <row r="794" spans="15:15" x14ac:dyDescent="0.25">
      <c r="O794"/>
    </row>
    <row r="795" spans="15:15" x14ac:dyDescent="0.25">
      <c r="O795"/>
    </row>
    <row r="796" spans="15:15" x14ac:dyDescent="0.25">
      <c r="O796"/>
    </row>
    <row r="797" spans="15:15" x14ac:dyDescent="0.25">
      <c r="O797"/>
    </row>
    <row r="798" spans="15:15" x14ac:dyDescent="0.25">
      <c r="O798"/>
    </row>
    <row r="799" spans="15:15" x14ac:dyDescent="0.25">
      <c r="O799"/>
    </row>
    <row r="800" spans="15:15" x14ac:dyDescent="0.25">
      <c r="O800"/>
    </row>
    <row r="801" spans="15:15" x14ac:dyDescent="0.25">
      <c r="O801"/>
    </row>
    <row r="802" spans="15:15" x14ac:dyDescent="0.25">
      <c r="O802"/>
    </row>
    <row r="803" spans="15:15" x14ac:dyDescent="0.25">
      <c r="O803"/>
    </row>
    <row r="804" spans="15:15" x14ac:dyDescent="0.25">
      <c r="O804"/>
    </row>
    <row r="805" spans="15:15" x14ac:dyDescent="0.25">
      <c r="O805"/>
    </row>
    <row r="806" spans="15:15" x14ac:dyDescent="0.25">
      <c r="O806"/>
    </row>
    <row r="807" spans="15:15" x14ac:dyDescent="0.25">
      <c r="O807"/>
    </row>
    <row r="808" spans="15:15" x14ac:dyDescent="0.25">
      <c r="O808"/>
    </row>
    <row r="809" spans="15:15" x14ac:dyDescent="0.25">
      <c r="O809"/>
    </row>
    <row r="810" spans="15:15" x14ac:dyDescent="0.25">
      <c r="O810"/>
    </row>
    <row r="811" spans="15:15" x14ac:dyDescent="0.25">
      <c r="O811"/>
    </row>
    <row r="812" spans="15:15" x14ac:dyDescent="0.25">
      <c r="O812"/>
    </row>
    <row r="813" spans="15:15" x14ac:dyDescent="0.25">
      <c r="O813"/>
    </row>
    <row r="814" spans="15:15" x14ac:dyDescent="0.25">
      <c r="O814"/>
    </row>
    <row r="815" spans="15:15" x14ac:dyDescent="0.25">
      <c r="O815"/>
    </row>
    <row r="816" spans="15:15" x14ac:dyDescent="0.25">
      <c r="O816"/>
    </row>
    <row r="817" spans="15:15" x14ac:dyDescent="0.25">
      <c r="O817"/>
    </row>
    <row r="818" spans="15:15" x14ac:dyDescent="0.25">
      <c r="O818"/>
    </row>
    <row r="819" spans="15:15" x14ac:dyDescent="0.25">
      <c r="O819"/>
    </row>
    <row r="820" spans="15:15" x14ac:dyDescent="0.25">
      <c r="O820"/>
    </row>
    <row r="821" spans="15:15" x14ac:dyDescent="0.25">
      <c r="O821"/>
    </row>
    <row r="822" spans="15:15" x14ac:dyDescent="0.25">
      <c r="O822"/>
    </row>
    <row r="823" spans="15:15" x14ac:dyDescent="0.25">
      <c r="O823"/>
    </row>
    <row r="824" spans="15:15" x14ac:dyDescent="0.25">
      <c r="O824"/>
    </row>
    <row r="825" spans="15:15" x14ac:dyDescent="0.25">
      <c r="O825"/>
    </row>
    <row r="826" spans="15:15" x14ac:dyDescent="0.25">
      <c r="O826"/>
    </row>
    <row r="827" spans="15:15" x14ac:dyDescent="0.25">
      <c r="O827"/>
    </row>
    <row r="828" spans="15:15" x14ac:dyDescent="0.25">
      <c r="O828"/>
    </row>
    <row r="829" spans="15:15" x14ac:dyDescent="0.25">
      <c r="O829"/>
    </row>
    <row r="830" spans="15:15" x14ac:dyDescent="0.25">
      <c r="O830"/>
    </row>
    <row r="831" spans="15:15" x14ac:dyDescent="0.25">
      <c r="O831"/>
    </row>
    <row r="832" spans="15:15" x14ac:dyDescent="0.25">
      <c r="O832"/>
    </row>
    <row r="833" spans="15:15" x14ac:dyDescent="0.25">
      <c r="O833"/>
    </row>
    <row r="834" spans="15:15" x14ac:dyDescent="0.25">
      <c r="O834"/>
    </row>
    <row r="835" spans="15:15" x14ac:dyDescent="0.25">
      <c r="O835"/>
    </row>
    <row r="836" spans="15:15" x14ac:dyDescent="0.25">
      <c r="O836"/>
    </row>
    <row r="837" spans="15:15" x14ac:dyDescent="0.25">
      <c r="O837"/>
    </row>
    <row r="838" spans="15:15" x14ac:dyDescent="0.25">
      <c r="O838"/>
    </row>
    <row r="839" spans="15:15" x14ac:dyDescent="0.25">
      <c r="O839"/>
    </row>
    <row r="840" spans="15:15" x14ac:dyDescent="0.25">
      <c r="O840"/>
    </row>
    <row r="841" spans="15:15" x14ac:dyDescent="0.25">
      <c r="O841"/>
    </row>
    <row r="842" spans="15:15" x14ac:dyDescent="0.25">
      <c r="O842"/>
    </row>
    <row r="843" spans="15:15" x14ac:dyDescent="0.25">
      <c r="O843"/>
    </row>
    <row r="844" spans="15:15" x14ac:dyDescent="0.25">
      <c r="O844"/>
    </row>
    <row r="845" spans="15:15" x14ac:dyDescent="0.25">
      <c r="O845"/>
    </row>
    <row r="846" spans="15:15" x14ac:dyDescent="0.25">
      <c r="O846"/>
    </row>
    <row r="847" spans="15:15" x14ac:dyDescent="0.25">
      <c r="O847"/>
    </row>
    <row r="848" spans="15:15" x14ac:dyDescent="0.25">
      <c r="O848"/>
    </row>
    <row r="849" spans="15:15" x14ac:dyDescent="0.25">
      <c r="O849"/>
    </row>
    <row r="850" spans="15:15" x14ac:dyDescent="0.25">
      <c r="O850"/>
    </row>
    <row r="851" spans="15:15" x14ac:dyDescent="0.25">
      <c r="O851"/>
    </row>
    <row r="852" spans="15:15" x14ac:dyDescent="0.25">
      <c r="O852"/>
    </row>
    <row r="853" spans="15:15" x14ac:dyDescent="0.25">
      <c r="O853"/>
    </row>
    <row r="854" spans="15:15" x14ac:dyDescent="0.25">
      <c r="O854"/>
    </row>
    <row r="855" spans="15:15" x14ac:dyDescent="0.25">
      <c r="O855"/>
    </row>
    <row r="856" spans="15:15" x14ac:dyDescent="0.25">
      <c r="O856"/>
    </row>
    <row r="857" spans="15:15" x14ac:dyDescent="0.25">
      <c r="O857"/>
    </row>
    <row r="858" spans="15:15" x14ac:dyDescent="0.25">
      <c r="O858"/>
    </row>
    <row r="859" spans="15:15" x14ac:dyDescent="0.25">
      <c r="O859"/>
    </row>
    <row r="860" spans="15:15" x14ac:dyDescent="0.25">
      <c r="O860"/>
    </row>
    <row r="861" spans="15:15" x14ac:dyDescent="0.25">
      <c r="O861"/>
    </row>
    <row r="862" spans="15:15" x14ac:dyDescent="0.25">
      <c r="O862"/>
    </row>
    <row r="863" spans="15:15" x14ac:dyDescent="0.25">
      <c r="O863"/>
    </row>
    <row r="864" spans="15:15" x14ac:dyDescent="0.25">
      <c r="O864"/>
    </row>
    <row r="865" spans="15:15" x14ac:dyDescent="0.25">
      <c r="O865"/>
    </row>
    <row r="866" spans="15:15" x14ac:dyDescent="0.25">
      <c r="O866"/>
    </row>
    <row r="867" spans="15:15" x14ac:dyDescent="0.25">
      <c r="O867"/>
    </row>
    <row r="868" spans="15:15" x14ac:dyDescent="0.25">
      <c r="O868"/>
    </row>
    <row r="869" spans="15:15" x14ac:dyDescent="0.25">
      <c r="O869"/>
    </row>
    <row r="870" spans="15:15" x14ac:dyDescent="0.25">
      <c r="O870"/>
    </row>
    <row r="871" spans="15:15" x14ac:dyDescent="0.25">
      <c r="O871"/>
    </row>
    <row r="872" spans="15:15" x14ac:dyDescent="0.25">
      <c r="O872"/>
    </row>
    <row r="873" spans="15:15" x14ac:dyDescent="0.25">
      <c r="O873"/>
    </row>
    <row r="874" spans="15:15" x14ac:dyDescent="0.25">
      <c r="O874"/>
    </row>
    <row r="875" spans="15:15" x14ac:dyDescent="0.25">
      <c r="O875"/>
    </row>
    <row r="876" spans="15:15" x14ac:dyDescent="0.25">
      <c r="O876"/>
    </row>
    <row r="877" spans="15:15" x14ac:dyDescent="0.25">
      <c r="O877"/>
    </row>
    <row r="878" spans="15:15" x14ac:dyDescent="0.25">
      <c r="O878"/>
    </row>
    <row r="879" spans="15:15" x14ac:dyDescent="0.25">
      <c r="O879"/>
    </row>
    <row r="880" spans="15:15" x14ac:dyDescent="0.25">
      <c r="O880"/>
    </row>
    <row r="881" spans="15:15" x14ac:dyDescent="0.25">
      <c r="O881"/>
    </row>
    <row r="882" spans="15:15" x14ac:dyDescent="0.25">
      <c r="O882"/>
    </row>
    <row r="883" spans="15:15" x14ac:dyDescent="0.25">
      <c r="O883"/>
    </row>
    <row r="884" spans="15:15" x14ac:dyDescent="0.25">
      <c r="O884"/>
    </row>
    <row r="885" spans="15:15" x14ac:dyDescent="0.25">
      <c r="O885"/>
    </row>
    <row r="886" spans="15:15" x14ac:dyDescent="0.25">
      <c r="O886"/>
    </row>
    <row r="887" spans="15:15" x14ac:dyDescent="0.25">
      <c r="O887"/>
    </row>
    <row r="888" spans="15:15" x14ac:dyDescent="0.25">
      <c r="O888"/>
    </row>
    <row r="889" spans="15:15" x14ac:dyDescent="0.25">
      <c r="O889"/>
    </row>
    <row r="890" spans="15:15" x14ac:dyDescent="0.25">
      <c r="O890"/>
    </row>
    <row r="891" spans="15:15" x14ac:dyDescent="0.25">
      <c r="O891"/>
    </row>
    <row r="892" spans="15:15" x14ac:dyDescent="0.25">
      <c r="O892"/>
    </row>
    <row r="893" spans="15:15" x14ac:dyDescent="0.25">
      <c r="O893"/>
    </row>
    <row r="894" spans="15:15" x14ac:dyDescent="0.25">
      <c r="O894"/>
    </row>
    <row r="895" spans="15:15" x14ac:dyDescent="0.25">
      <c r="O895"/>
    </row>
    <row r="896" spans="15:15" x14ac:dyDescent="0.25">
      <c r="O896"/>
    </row>
    <row r="897" spans="15:15" x14ac:dyDescent="0.25">
      <c r="O897"/>
    </row>
    <row r="898" spans="15:15" x14ac:dyDescent="0.25">
      <c r="O898"/>
    </row>
    <row r="899" spans="15:15" x14ac:dyDescent="0.25">
      <c r="O899"/>
    </row>
    <row r="900" spans="15:15" x14ac:dyDescent="0.25">
      <c r="O900"/>
    </row>
    <row r="901" spans="15:15" x14ac:dyDescent="0.25">
      <c r="O901"/>
    </row>
    <row r="902" spans="15:15" x14ac:dyDescent="0.25">
      <c r="O902"/>
    </row>
    <row r="903" spans="15:15" x14ac:dyDescent="0.25">
      <c r="O903"/>
    </row>
    <row r="904" spans="15:15" x14ac:dyDescent="0.25">
      <c r="O904"/>
    </row>
    <row r="905" spans="15:15" x14ac:dyDescent="0.25">
      <c r="O905"/>
    </row>
    <row r="906" spans="15:15" x14ac:dyDescent="0.25">
      <c r="O906"/>
    </row>
    <row r="907" spans="15:15" x14ac:dyDescent="0.25">
      <c r="O907"/>
    </row>
    <row r="908" spans="15:15" x14ac:dyDescent="0.25">
      <c r="O908"/>
    </row>
    <row r="909" spans="15:15" x14ac:dyDescent="0.25">
      <c r="O909"/>
    </row>
    <row r="910" spans="15:15" x14ac:dyDescent="0.25">
      <c r="O910"/>
    </row>
    <row r="911" spans="15:15" x14ac:dyDescent="0.25">
      <c r="O911"/>
    </row>
    <row r="912" spans="15:15" x14ac:dyDescent="0.25">
      <c r="O912"/>
    </row>
    <row r="913" spans="15:15" x14ac:dyDescent="0.25">
      <c r="O913"/>
    </row>
    <row r="914" spans="15:15" x14ac:dyDescent="0.25">
      <c r="O914"/>
    </row>
    <row r="915" spans="15:15" x14ac:dyDescent="0.25">
      <c r="O915"/>
    </row>
    <row r="916" spans="15:15" x14ac:dyDescent="0.25">
      <c r="O916"/>
    </row>
    <row r="917" spans="15:15" x14ac:dyDescent="0.25">
      <c r="O917"/>
    </row>
    <row r="918" spans="15:15" x14ac:dyDescent="0.25">
      <c r="O918"/>
    </row>
    <row r="919" spans="15:15" x14ac:dyDescent="0.25">
      <c r="O919"/>
    </row>
    <row r="920" spans="15:15" x14ac:dyDescent="0.25">
      <c r="O920"/>
    </row>
    <row r="921" spans="15:15" x14ac:dyDescent="0.25">
      <c r="O921"/>
    </row>
    <row r="922" spans="15:15" x14ac:dyDescent="0.25">
      <c r="O922"/>
    </row>
    <row r="923" spans="15:15" x14ac:dyDescent="0.25">
      <c r="O923"/>
    </row>
    <row r="924" spans="15:15" x14ac:dyDescent="0.25">
      <c r="O924"/>
    </row>
    <row r="925" spans="15:15" x14ac:dyDescent="0.25">
      <c r="O925"/>
    </row>
    <row r="926" spans="15:15" x14ac:dyDescent="0.25">
      <c r="O926"/>
    </row>
    <row r="927" spans="15:15" x14ac:dyDescent="0.25">
      <c r="O927"/>
    </row>
    <row r="928" spans="15:15" x14ac:dyDescent="0.25">
      <c r="O928"/>
    </row>
    <row r="929" spans="15:15" x14ac:dyDescent="0.25">
      <c r="O929"/>
    </row>
    <row r="930" spans="15:15" x14ac:dyDescent="0.25">
      <c r="O930"/>
    </row>
    <row r="931" spans="15:15" x14ac:dyDescent="0.25">
      <c r="O931"/>
    </row>
    <row r="932" spans="15:15" x14ac:dyDescent="0.25">
      <c r="O932"/>
    </row>
    <row r="933" spans="15:15" x14ac:dyDescent="0.25">
      <c r="O933"/>
    </row>
    <row r="934" spans="15:15" x14ac:dyDescent="0.25">
      <c r="O934"/>
    </row>
    <row r="935" spans="15:15" x14ac:dyDescent="0.25">
      <c r="O935"/>
    </row>
    <row r="936" spans="15:15" x14ac:dyDescent="0.25">
      <c r="O936"/>
    </row>
    <row r="937" spans="15:15" x14ac:dyDescent="0.25">
      <c r="O937"/>
    </row>
    <row r="938" spans="15:15" x14ac:dyDescent="0.25">
      <c r="O938"/>
    </row>
    <row r="939" spans="15:15" x14ac:dyDescent="0.25">
      <c r="O939"/>
    </row>
    <row r="940" spans="15:15" x14ac:dyDescent="0.25">
      <c r="O940"/>
    </row>
    <row r="941" spans="15:15" x14ac:dyDescent="0.25">
      <c r="O941"/>
    </row>
    <row r="942" spans="15:15" x14ac:dyDescent="0.25">
      <c r="O942"/>
    </row>
    <row r="943" spans="15:15" x14ac:dyDescent="0.25">
      <c r="O943"/>
    </row>
    <row r="944" spans="15:15" x14ac:dyDescent="0.25">
      <c r="O944"/>
    </row>
    <row r="945" spans="15:15" x14ac:dyDescent="0.25">
      <c r="O945"/>
    </row>
    <row r="946" spans="15:15" x14ac:dyDescent="0.25">
      <c r="O946"/>
    </row>
    <row r="947" spans="15:15" x14ac:dyDescent="0.25">
      <c r="O947"/>
    </row>
    <row r="948" spans="15:15" x14ac:dyDescent="0.25">
      <c r="O948"/>
    </row>
    <row r="949" spans="15:15" x14ac:dyDescent="0.25">
      <c r="O949"/>
    </row>
    <row r="950" spans="15:15" x14ac:dyDescent="0.25">
      <c r="O950"/>
    </row>
    <row r="951" spans="15:15" x14ac:dyDescent="0.25">
      <c r="O951"/>
    </row>
    <row r="952" spans="15:15" x14ac:dyDescent="0.25">
      <c r="O952"/>
    </row>
    <row r="953" spans="15:15" x14ac:dyDescent="0.25">
      <c r="O953"/>
    </row>
    <row r="954" spans="15:15" x14ac:dyDescent="0.25">
      <c r="O954"/>
    </row>
    <row r="955" spans="15:15" x14ac:dyDescent="0.25">
      <c r="O955"/>
    </row>
    <row r="956" spans="15:15" x14ac:dyDescent="0.25">
      <c r="O956"/>
    </row>
    <row r="957" spans="15:15" x14ac:dyDescent="0.25">
      <c r="O957"/>
    </row>
    <row r="958" spans="15:15" x14ac:dyDescent="0.25">
      <c r="O958"/>
    </row>
    <row r="959" spans="15:15" x14ac:dyDescent="0.25">
      <c r="O959"/>
    </row>
    <row r="960" spans="15:15" x14ac:dyDescent="0.25">
      <c r="O960"/>
    </row>
    <row r="961" spans="15:15" x14ac:dyDescent="0.25">
      <c r="O961"/>
    </row>
    <row r="962" spans="15:15" x14ac:dyDescent="0.25">
      <c r="O962"/>
    </row>
    <row r="963" spans="15:15" x14ac:dyDescent="0.25">
      <c r="O963"/>
    </row>
    <row r="964" spans="15:15" x14ac:dyDescent="0.25">
      <c r="O964"/>
    </row>
    <row r="965" spans="15:15" x14ac:dyDescent="0.25">
      <c r="O965"/>
    </row>
    <row r="966" spans="15:15" x14ac:dyDescent="0.25">
      <c r="O966"/>
    </row>
    <row r="967" spans="15:15" x14ac:dyDescent="0.25">
      <c r="O967"/>
    </row>
    <row r="968" spans="15:15" x14ac:dyDescent="0.25">
      <c r="O968"/>
    </row>
    <row r="969" spans="15:15" x14ac:dyDescent="0.25">
      <c r="O969"/>
    </row>
    <row r="970" spans="15:15" x14ac:dyDescent="0.25">
      <c r="O970"/>
    </row>
    <row r="971" spans="15:15" x14ac:dyDescent="0.25">
      <c r="O971"/>
    </row>
    <row r="972" spans="15:15" x14ac:dyDescent="0.25">
      <c r="O972"/>
    </row>
    <row r="973" spans="15:15" x14ac:dyDescent="0.25">
      <c r="O973"/>
    </row>
    <row r="974" spans="15:15" x14ac:dyDescent="0.25">
      <c r="O974"/>
    </row>
    <row r="975" spans="15:15" x14ac:dyDescent="0.25">
      <c r="O975"/>
    </row>
    <row r="976" spans="15:15" x14ac:dyDescent="0.25">
      <c r="O976"/>
    </row>
    <row r="977" spans="15:15" x14ac:dyDescent="0.25">
      <c r="O977"/>
    </row>
    <row r="978" spans="15:15" x14ac:dyDescent="0.25">
      <c r="O978"/>
    </row>
    <row r="979" spans="15:15" x14ac:dyDescent="0.25">
      <c r="O979"/>
    </row>
    <row r="980" spans="15:15" x14ac:dyDescent="0.25">
      <c r="O980"/>
    </row>
    <row r="981" spans="15:15" x14ac:dyDescent="0.25">
      <c r="O981"/>
    </row>
    <row r="982" spans="15:15" x14ac:dyDescent="0.25">
      <c r="O982"/>
    </row>
    <row r="983" spans="15:15" x14ac:dyDescent="0.25">
      <c r="O983"/>
    </row>
    <row r="984" spans="15:15" x14ac:dyDescent="0.25">
      <c r="O984"/>
    </row>
    <row r="985" spans="15:15" x14ac:dyDescent="0.25">
      <c r="O985"/>
    </row>
    <row r="986" spans="15:15" x14ac:dyDescent="0.25">
      <c r="O986"/>
    </row>
    <row r="987" spans="15:15" x14ac:dyDescent="0.25">
      <c r="O987"/>
    </row>
    <row r="988" spans="15:15" x14ac:dyDescent="0.25">
      <c r="O988"/>
    </row>
    <row r="989" spans="15:15" x14ac:dyDescent="0.25">
      <c r="O989"/>
    </row>
    <row r="990" spans="15:15" x14ac:dyDescent="0.25">
      <c r="O990"/>
    </row>
    <row r="991" spans="15:15" x14ac:dyDescent="0.25">
      <c r="O991"/>
    </row>
    <row r="992" spans="15:15" x14ac:dyDescent="0.25">
      <c r="O992"/>
    </row>
    <row r="993" spans="15:15" x14ac:dyDescent="0.25">
      <c r="O993"/>
    </row>
    <row r="994" spans="15:15" x14ac:dyDescent="0.25">
      <c r="O994"/>
    </row>
    <row r="995" spans="15:15" x14ac:dyDescent="0.25">
      <c r="O995"/>
    </row>
    <row r="996" spans="15:15" x14ac:dyDescent="0.25">
      <c r="O996"/>
    </row>
    <row r="997" spans="15:15" x14ac:dyDescent="0.25">
      <c r="O997"/>
    </row>
    <row r="998" spans="15:15" x14ac:dyDescent="0.25">
      <c r="O998"/>
    </row>
    <row r="999" spans="15:15" x14ac:dyDescent="0.25">
      <c r="O999"/>
    </row>
    <row r="1000" spans="15:15" x14ac:dyDescent="0.25">
      <c r="O1000"/>
    </row>
    <row r="1001" spans="15:15" x14ac:dyDescent="0.25">
      <c r="O1001"/>
    </row>
    <row r="1002" spans="15:15" x14ac:dyDescent="0.25">
      <c r="O1002"/>
    </row>
    <row r="1003" spans="15:15" x14ac:dyDescent="0.25">
      <c r="O1003"/>
    </row>
    <row r="1004" spans="15:15" x14ac:dyDescent="0.25">
      <c r="O1004"/>
    </row>
    <row r="1005" spans="15:15" x14ac:dyDescent="0.25">
      <c r="O1005"/>
    </row>
    <row r="1006" spans="15:15" x14ac:dyDescent="0.25">
      <c r="O1006"/>
    </row>
    <row r="1007" spans="15:15" x14ac:dyDescent="0.25">
      <c r="O1007"/>
    </row>
    <row r="1008" spans="15:15" x14ac:dyDescent="0.25">
      <c r="O1008"/>
    </row>
    <row r="1009" spans="15:15" x14ac:dyDescent="0.25">
      <c r="O1009"/>
    </row>
    <row r="1010" spans="15:15" x14ac:dyDescent="0.25">
      <c r="O1010"/>
    </row>
    <row r="1011" spans="15:15" x14ac:dyDescent="0.25">
      <c r="O1011"/>
    </row>
    <row r="1012" spans="15:15" x14ac:dyDescent="0.25">
      <c r="O1012"/>
    </row>
    <row r="1013" spans="15:15" x14ac:dyDescent="0.25">
      <c r="O1013"/>
    </row>
    <row r="1014" spans="15:15" x14ac:dyDescent="0.25">
      <c r="O1014"/>
    </row>
    <row r="1015" spans="15:15" x14ac:dyDescent="0.25">
      <c r="O1015"/>
    </row>
    <row r="1016" spans="15:15" x14ac:dyDescent="0.25">
      <c r="O1016"/>
    </row>
    <row r="1017" spans="15:15" x14ac:dyDescent="0.25">
      <c r="O1017"/>
    </row>
    <row r="1018" spans="15:15" x14ac:dyDescent="0.25">
      <c r="O1018"/>
    </row>
    <row r="1019" spans="15:15" x14ac:dyDescent="0.25">
      <c r="O1019"/>
    </row>
    <row r="1020" spans="15:15" x14ac:dyDescent="0.25">
      <c r="O1020"/>
    </row>
    <row r="1021" spans="15:15" x14ac:dyDescent="0.25">
      <c r="O1021"/>
    </row>
    <row r="1022" spans="15:15" x14ac:dyDescent="0.25">
      <c r="O1022"/>
    </row>
    <row r="1023" spans="15:15" x14ac:dyDescent="0.25">
      <c r="O1023"/>
    </row>
    <row r="1024" spans="15:15" x14ac:dyDescent="0.25">
      <c r="O1024"/>
    </row>
    <row r="1025" spans="15:15" x14ac:dyDescent="0.25">
      <c r="O1025"/>
    </row>
    <row r="1026" spans="15:15" x14ac:dyDescent="0.25">
      <c r="O1026"/>
    </row>
    <row r="1027" spans="15:15" x14ac:dyDescent="0.25">
      <c r="O1027"/>
    </row>
    <row r="1028" spans="15:15" x14ac:dyDescent="0.25">
      <c r="O1028"/>
    </row>
    <row r="1029" spans="15:15" x14ac:dyDescent="0.25">
      <c r="O102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3" t="s">
        <v>37</v>
      </c>
      <c r="H2" s="23"/>
      <c r="I2" s="23"/>
      <c r="J2" s="23"/>
      <c r="K2" s="23"/>
    </row>
    <row r="3" spans="1:11" x14ac:dyDescent="0.25">
      <c r="A3" s="9" t="s">
        <v>67</v>
      </c>
      <c r="B3" s="10" t="s">
        <v>12</v>
      </c>
      <c r="G3" s="83" t="s">
        <v>38</v>
      </c>
      <c r="H3" s="83"/>
      <c r="I3" s="83"/>
      <c r="J3" s="24" t="s">
        <v>39</v>
      </c>
      <c r="K3" s="25"/>
    </row>
    <row r="4" spans="1:11" x14ac:dyDescent="0.25">
      <c r="A4" s="9" t="s">
        <v>9</v>
      </c>
      <c r="B4" s="10" t="s">
        <v>13</v>
      </c>
      <c r="G4" s="83"/>
      <c r="H4" s="83"/>
      <c r="I4" s="83"/>
      <c r="J4" s="26" t="s">
        <v>40</v>
      </c>
      <c r="K4" s="26" t="s">
        <v>41</v>
      </c>
    </row>
    <row r="5" spans="1:11" x14ac:dyDescent="0.25">
      <c r="A5" s="9" t="s">
        <v>50</v>
      </c>
      <c r="B5" s="10" t="s">
        <v>14</v>
      </c>
      <c r="G5" s="27">
        <v>5</v>
      </c>
      <c r="H5" s="26" t="s">
        <v>42</v>
      </c>
      <c r="I5" s="24">
        <v>50</v>
      </c>
      <c r="J5" s="26">
        <v>9</v>
      </c>
      <c r="K5" s="26" t="s">
        <v>43</v>
      </c>
    </row>
    <row r="6" spans="1:11" x14ac:dyDescent="0.25">
      <c r="A6" s="9" t="s">
        <v>49</v>
      </c>
      <c r="B6" s="10" t="s">
        <v>15</v>
      </c>
      <c r="G6" s="27">
        <v>50</v>
      </c>
      <c r="H6" s="26" t="s">
        <v>42</v>
      </c>
      <c r="I6" s="24">
        <v>100</v>
      </c>
      <c r="J6" s="26" t="s">
        <v>43</v>
      </c>
      <c r="K6" s="26">
        <v>4.5</v>
      </c>
    </row>
    <row r="7" spans="1:11" ht="30" x14ac:dyDescent="0.25">
      <c r="A7" s="11" t="s">
        <v>51</v>
      </c>
      <c r="B7" s="10" t="s">
        <v>16</v>
      </c>
      <c r="G7" s="27">
        <v>100</v>
      </c>
      <c r="H7" s="26" t="s">
        <v>42</v>
      </c>
      <c r="I7" s="24">
        <v>200</v>
      </c>
      <c r="J7" s="26">
        <v>4.5</v>
      </c>
      <c r="K7" s="26" t="s">
        <v>43</v>
      </c>
    </row>
    <row r="8" spans="1:11" ht="45" x14ac:dyDescent="0.25">
      <c r="A8" s="40" t="s">
        <v>68</v>
      </c>
      <c r="B8" s="10" t="s">
        <v>17</v>
      </c>
      <c r="G8" s="27">
        <v>200</v>
      </c>
      <c r="H8" s="26" t="s">
        <v>42</v>
      </c>
      <c r="I8" s="24">
        <v>300</v>
      </c>
      <c r="J8" s="25" t="s">
        <v>43</v>
      </c>
      <c r="K8" s="26">
        <v>9</v>
      </c>
    </row>
    <row r="9" spans="1:11" ht="45" x14ac:dyDescent="0.25">
      <c r="A9" s="40" t="s">
        <v>55</v>
      </c>
      <c r="B9" s="10" t="s">
        <v>18</v>
      </c>
      <c r="G9" s="27">
        <v>300</v>
      </c>
      <c r="H9" s="26" t="s">
        <v>42</v>
      </c>
      <c r="I9" s="24">
        <v>500</v>
      </c>
      <c r="J9" s="26">
        <v>3</v>
      </c>
      <c r="K9" s="25" t="s">
        <v>43</v>
      </c>
    </row>
    <row r="10" spans="1:11" ht="30" x14ac:dyDescent="0.25">
      <c r="A10" s="40" t="s">
        <v>52</v>
      </c>
      <c r="B10" s="10" t="s">
        <v>19</v>
      </c>
      <c r="G10" s="27">
        <v>500</v>
      </c>
      <c r="H10" s="26" t="s">
        <v>42</v>
      </c>
      <c r="I10" s="24">
        <v>1000</v>
      </c>
      <c r="J10" s="26"/>
      <c r="K10" s="26">
        <v>15</v>
      </c>
    </row>
    <row r="11" spans="1:11" ht="45" x14ac:dyDescent="0.25">
      <c r="A11" s="41" t="s">
        <v>69</v>
      </c>
      <c r="B11" s="10" t="s">
        <v>20</v>
      </c>
      <c r="G11" s="27">
        <v>1000</v>
      </c>
      <c r="H11" s="26" t="s">
        <v>42</v>
      </c>
      <c r="I11" s="24">
        <v>10000</v>
      </c>
      <c r="J11" s="26">
        <v>1.5</v>
      </c>
      <c r="K11" s="25" t="s">
        <v>43</v>
      </c>
    </row>
    <row r="12" spans="1:11" ht="45" x14ac:dyDescent="0.25">
      <c r="A12" s="42" t="s">
        <v>56</v>
      </c>
      <c r="B12" s="10" t="s">
        <v>21</v>
      </c>
    </row>
    <row r="13" spans="1:11" ht="30" x14ac:dyDescent="0.25">
      <c r="A13" s="42" t="s">
        <v>53</v>
      </c>
      <c r="B13" s="10" t="s">
        <v>22</v>
      </c>
    </row>
    <row r="14" spans="1:11" ht="38.25" x14ac:dyDescent="0.25">
      <c r="A14" s="43" t="s">
        <v>70</v>
      </c>
      <c r="B14" s="12" t="s">
        <v>23</v>
      </c>
    </row>
    <row r="15" spans="1:11" ht="45" x14ac:dyDescent="0.25">
      <c r="A15" s="44" t="s">
        <v>57</v>
      </c>
      <c r="B15" s="10" t="s">
        <v>24</v>
      </c>
    </row>
    <row r="16" spans="1:11" x14ac:dyDescent="0.25">
      <c r="A16" s="44" t="s">
        <v>25</v>
      </c>
      <c r="B16" s="10" t="s">
        <v>26</v>
      </c>
    </row>
    <row r="17" spans="1:2" x14ac:dyDescent="0.25">
      <c r="A17" s="44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Metrologie</vt:lpstr>
      <vt:lpstr>RawData</vt:lpstr>
      <vt:lpstr>Explicatii</vt:lpstr>
      <vt:lpstr>Chart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2019-03-13T19:01:03Z</dcterms:modified>
</cp:coreProperties>
</file>