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8800" windowHeight="11775"/>
  </bookViews>
  <sheets>
    <sheet name="Metrologie" sheetId="2" r:id="rId1"/>
    <sheet name="RawData" sheetId="1" r:id="rId2"/>
    <sheet name="Explicatii" sheetId="3" r:id="rId3"/>
    <sheet name="Chart" sheetId="4" r:id="rId4"/>
  </sheets>
  <functionGroups builtInGroupCount="17"/>
  <definedNames>
    <definedName name="CA_1">Metrologie!$G$3</definedName>
    <definedName name="CA_2">Metrologie!$G$4</definedName>
    <definedName name="CMA">Metrologie!$B$11</definedName>
    <definedName name="CR_1">Metrologie!$I$3</definedName>
    <definedName name="CR_2">Metrologie!$I$4</definedName>
    <definedName name="ENT">Metrologie!$B$10</definedName>
    <definedName name="ES_1">Metrologie!$F$3</definedName>
    <definedName name="ES_2">Metrologie!$F$4</definedName>
    <definedName name="ES_3">Metrologie!$F$5</definedName>
    <definedName name="ES1_Status">Metrologie!$J$3</definedName>
    <definedName name="ES2_Status">Metrologie!$J$4</definedName>
    <definedName name="ES3_OK">Metrologie!$J$5</definedName>
    <definedName name="ES3_Status">Metrologie!$J$5</definedName>
    <definedName name="LotStatus">Metrologie!$J$3</definedName>
    <definedName name="ML">Metrologie!$B$6</definedName>
    <definedName name="_xlnm.Print_Area" localSheetId="0">Metrologie!$A$2:$C$31,Metrologie!$E$1:$R$31</definedName>
    <definedName name="_xlnm.Print_Titles" localSheetId="0">Metrologie!$E:$R,Metrologie!$11:$12</definedName>
    <definedName name="Qn">Metrologie!$B$7</definedName>
    <definedName name="QnES3">Metrologie!$B$22</definedName>
    <definedName name="RN_1">Metrologie!$H$3</definedName>
    <definedName name="RN_2">Metrologie!$H$4</definedName>
    <definedName name="s">Metrologie!$B$21</definedName>
    <definedName name="SumOfSquares">Metrologie!$B$20</definedName>
    <definedName name="Ta">Metrologie!$B$9</definedName>
    <definedName name="test_1" localSheetId="1">RawData!$A$1:$I$728</definedName>
    <definedName name="Xi">Metrologie!$B$19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" i="2" l="1"/>
  <c r="B20" i="2"/>
  <c r="R62" i="2"/>
  <c r="R61" i="2"/>
  <c r="R60" i="2"/>
  <c r="R59" i="2"/>
  <c r="R58" i="2"/>
  <c r="R57" i="2"/>
  <c r="R56" i="2"/>
  <c r="R55" i="2"/>
  <c r="R54" i="2"/>
  <c r="R53" i="2"/>
  <c r="R52" i="2"/>
  <c r="R51" i="2"/>
  <c r="R50" i="2"/>
  <c r="R49" i="2"/>
  <c r="R48" i="2"/>
  <c r="R47" i="2"/>
  <c r="R46" i="2"/>
  <c r="R45" i="2"/>
  <c r="R44" i="2"/>
  <c r="R43" i="2"/>
  <c r="R42" i="2"/>
  <c r="R41" i="2"/>
  <c r="R40" i="2"/>
  <c r="R39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2" i="2"/>
  <c r="R21" i="2"/>
  <c r="R20" i="2"/>
  <c r="R19" i="2"/>
  <c r="R18" i="2"/>
  <c r="R17" i="2"/>
  <c r="R16" i="2"/>
  <c r="R15" i="2"/>
  <c r="R14" i="2"/>
  <c r="R13" i="2"/>
  <c r="Q62" i="2"/>
  <c r="Q61" i="2"/>
  <c r="Q60" i="2"/>
  <c r="Q59" i="2"/>
  <c r="Q58" i="2"/>
  <c r="Q57" i="2"/>
  <c r="Q56" i="2"/>
  <c r="Q55" i="2"/>
  <c r="Q54" i="2"/>
  <c r="Q53" i="2"/>
  <c r="Q52" i="2"/>
  <c r="Q51" i="2"/>
  <c r="Q50" i="2"/>
  <c r="Q49" i="2"/>
  <c r="Q48" i="2"/>
  <c r="Q47" i="2"/>
  <c r="Q46" i="2"/>
  <c r="Q45" i="2"/>
  <c r="Q44" i="2"/>
  <c r="Q43" i="2"/>
  <c r="Q42" i="2"/>
  <c r="Q41" i="2"/>
  <c r="Q40" i="2"/>
  <c r="Q39" i="2"/>
  <c r="Q38" i="2"/>
  <c r="Q37" i="2"/>
  <c r="Q36" i="2"/>
  <c r="Q35" i="2"/>
  <c r="Q34" i="2"/>
  <c r="Q33" i="2"/>
  <c r="Q32" i="2"/>
  <c r="Q31" i="2"/>
  <c r="Q30" i="2"/>
  <c r="Q29" i="2"/>
  <c r="Q28" i="2"/>
  <c r="Q27" i="2"/>
  <c r="Q26" i="2"/>
  <c r="Q25" i="2"/>
  <c r="Q24" i="2"/>
  <c r="Q23" i="2"/>
  <c r="Q22" i="2"/>
  <c r="Q21" i="2"/>
  <c r="Q20" i="2"/>
  <c r="Q19" i="2"/>
  <c r="Q18" i="2"/>
  <c r="Q17" i="2"/>
  <c r="Q16" i="2"/>
  <c r="Q15" i="2"/>
  <c r="Q14" i="2"/>
  <c r="Q13" i="2"/>
  <c r="B19" i="2"/>
  <c r="P62" i="2"/>
  <c r="O62" i="2"/>
  <c r="P61" i="2"/>
  <c r="O61" i="2"/>
  <c r="P60" i="2"/>
  <c r="O60" i="2"/>
  <c r="P59" i="2"/>
  <c r="O59" i="2"/>
  <c r="P58" i="2"/>
  <c r="O58" i="2"/>
  <c r="P57" i="2"/>
  <c r="O57" i="2"/>
  <c r="P56" i="2"/>
  <c r="O56" i="2"/>
  <c r="P55" i="2"/>
  <c r="O55" i="2"/>
  <c r="P54" i="2"/>
  <c r="O54" i="2"/>
  <c r="P53" i="2"/>
  <c r="O53" i="2"/>
  <c r="P52" i="2"/>
  <c r="O52" i="2"/>
  <c r="P51" i="2"/>
  <c r="O51" i="2"/>
  <c r="P50" i="2"/>
  <c r="O50" i="2"/>
  <c r="P49" i="2"/>
  <c r="O49" i="2"/>
  <c r="P48" i="2"/>
  <c r="O48" i="2"/>
  <c r="P47" i="2"/>
  <c r="O47" i="2"/>
  <c r="P46" i="2"/>
  <c r="O46" i="2"/>
  <c r="P45" i="2"/>
  <c r="O45" i="2"/>
  <c r="P44" i="2"/>
  <c r="O44" i="2"/>
  <c r="P43" i="2"/>
  <c r="O43" i="2"/>
  <c r="P42" i="2"/>
  <c r="O42" i="2"/>
  <c r="P41" i="2"/>
  <c r="O41" i="2"/>
  <c r="P40" i="2"/>
  <c r="O40" i="2"/>
  <c r="P39" i="2"/>
  <c r="O39" i="2"/>
  <c r="P38" i="2"/>
  <c r="O38" i="2"/>
  <c r="P37" i="2"/>
  <c r="O37" i="2"/>
  <c r="P36" i="2"/>
  <c r="O36" i="2"/>
  <c r="P35" i="2"/>
  <c r="O35" i="2"/>
  <c r="P34" i="2"/>
  <c r="O34" i="2"/>
  <c r="P33" i="2"/>
  <c r="O33" i="2"/>
  <c r="P32" i="2"/>
  <c r="O32" i="2"/>
  <c r="P31" i="2"/>
  <c r="O31" i="2"/>
  <c r="P30" i="2"/>
  <c r="O30" i="2"/>
  <c r="P29" i="2"/>
  <c r="O29" i="2"/>
  <c r="P28" i="2"/>
  <c r="O28" i="2"/>
  <c r="P27" i="2"/>
  <c r="O27" i="2"/>
  <c r="P26" i="2"/>
  <c r="O26" i="2"/>
  <c r="P25" i="2"/>
  <c r="O25" i="2"/>
  <c r="P24" i="2"/>
  <c r="O24" i="2"/>
  <c r="P23" i="2"/>
  <c r="O23" i="2"/>
  <c r="P22" i="2"/>
  <c r="O22" i="2"/>
  <c r="P21" i="2"/>
  <c r="O21" i="2"/>
  <c r="P20" i="2"/>
  <c r="O20" i="2"/>
  <c r="P19" i="2"/>
  <c r="O19" i="2"/>
  <c r="P18" i="2"/>
  <c r="O18" i="2"/>
  <c r="P17" i="2"/>
  <c r="O17" i="2"/>
  <c r="P16" i="2"/>
  <c r="O16" i="2"/>
  <c r="P15" i="2"/>
  <c r="O15" i="2"/>
  <c r="P14" i="2"/>
  <c r="O14" i="2"/>
  <c r="P13" i="2"/>
  <c r="O13" i="2"/>
  <c r="K62" i="2"/>
  <c r="J62" i="2"/>
  <c r="I62" i="2"/>
  <c r="K61" i="2"/>
  <c r="J61" i="2"/>
  <c r="I61" i="2"/>
  <c r="K60" i="2"/>
  <c r="J60" i="2"/>
  <c r="I60" i="2"/>
  <c r="K59" i="2"/>
  <c r="J59" i="2"/>
  <c r="I59" i="2"/>
  <c r="K58" i="2"/>
  <c r="J58" i="2"/>
  <c r="I58" i="2"/>
  <c r="K57" i="2"/>
  <c r="J57" i="2"/>
  <c r="I57" i="2"/>
  <c r="K56" i="2"/>
  <c r="J56" i="2"/>
  <c r="I56" i="2"/>
  <c r="K55" i="2"/>
  <c r="J55" i="2"/>
  <c r="I55" i="2"/>
  <c r="K54" i="2"/>
  <c r="J54" i="2"/>
  <c r="I54" i="2"/>
  <c r="K53" i="2"/>
  <c r="J53" i="2"/>
  <c r="I53" i="2"/>
  <c r="K52" i="2"/>
  <c r="J52" i="2"/>
  <c r="I52" i="2"/>
  <c r="K51" i="2"/>
  <c r="J51" i="2"/>
  <c r="I51" i="2"/>
  <c r="K50" i="2"/>
  <c r="J50" i="2"/>
  <c r="I50" i="2"/>
  <c r="K49" i="2"/>
  <c r="J49" i="2"/>
  <c r="I49" i="2"/>
  <c r="K48" i="2"/>
  <c r="J48" i="2"/>
  <c r="I48" i="2"/>
  <c r="K47" i="2"/>
  <c r="J47" i="2"/>
  <c r="I47" i="2"/>
  <c r="K46" i="2"/>
  <c r="J46" i="2"/>
  <c r="I46" i="2"/>
  <c r="K45" i="2"/>
  <c r="J45" i="2"/>
  <c r="I45" i="2"/>
  <c r="K44" i="2"/>
  <c r="J44" i="2"/>
  <c r="I44" i="2"/>
  <c r="K43" i="2"/>
  <c r="J43" i="2"/>
  <c r="I43" i="2"/>
  <c r="K42" i="2"/>
  <c r="J42" i="2"/>
  <c r="I42" i="2"/>
  <c r="K41" i="2"/>
  <c r="J41" i="2"/>
  <c r="I41" i="2"/>
  <c r="K40" i="2"/>
  <c r="J40" i="2"/>
  <c r="I40" i="2"/>
  <c r="K39" i="2"/>
  <c r="J39" i="2"/>
  <c r="I39" i="2"/>
  <c r="K38" i="2"/>
  <c r="J38" i="2"/>
  <c r="I38" i="2"/>
  <c r="K37" i="2"/>
  <c r="J37" i="2"/>
  <c r="I37" i="2"/>
  <c r="K36" i="2"/>
  <c r="J36" i="2"/>
  <c r="I36" i="2"/>
  <c r="K35" i="2"/>
  <c r="J35" i="2"/>
  <c r="I35" i="2"/>
  <c r="K34" i="2"/>
  <c r="J34" i="2"/>
  <c r="I34" i="2"/>
  <c r="K33" i="2"/>
  <c r="J33" i="2"/>
  <c r="I33" i="2"/>
  <c r="K32" i="2"/>
  <c r="J32" i="2"/>
  <c r="I32" i="2"/>
  <c r="K31" i="2"/>
  <c r="J31" i="2"/>
  <c r="I31" i="2"/>
  <c r="K30" i="2"/>
  <c r="J30" i="2"/>
  <c r="I30" i="2"/>
  <c r="K29" i="2"/>
  <c r="J29" i="2"/>
  <c r="I29" i="2"/>
  <c r="K28" i="2"/>
  <c r="J28" i="2"/>
  <c r="I28" i="2"/>
  <c r="K27" i="2"/>
  <c r="J27" i="2"/>
  <c r="I27" i="2"/>
  <c r="K26" i="2"/>
  <c r="J26" i="2"/>
  <c r="I26" i="2"/>
  <c r="K25" i="2"/>
  <c r="J25" i="2"/>
  <c r="I25" i="2"/>
  <c r="K24" i="2"/>
  <c r="J24" i="2"/>
  <c r="I24" i="2"/>
  <c r="K23" i="2"/>
  <c r="J23" i="2"/>
  <c r="I23" i="2"/>
  <c r="K22" i="2"/>
  <c r="J22" i="2"/>
  <c r="I22" i="2"/>
  <c r="K21" i="2"/>
  <c r="J21" i="2"/>
  <c r="I21" i="2"/>
  <c r="K20" i="2"/>
  <c r="J20" i="2"/>
  <c r="I20" i="2"/>
  <c r="K19" i="2"/>
  <c r="J19" i="2"/>
  <c r="I19" i="2"/>
  <c r="K18" i="2"/>
  <c r="J18" i="2"/>
  <c r="I18" i="2"/>
  <c r="K17" i="2"/>
  <c r="J17" i="2"/>
  <c r="I17" i="2"/>
  <c r="K16" i="2"/>
  <c r="J16" i="2"/>
  <c r="I16" i="2"/>
  <c r="K15" i="2"/>
  <c r="J15" i="2"/>
  <c r="I15" i="2"/>
  <c r="K14" i="2"/>
  <c r="J14" i="2"/>
  <c r="I14" i="2"/>
  <c r="K13" i="2"/>
  <c r="J13" i="2"/>
  <c r="I13" i="2"/>
  <c r="H739" i="2"/>
  <c r="H738" i="2"/>
  <c r="H737" i="2"/>
  <c r="H736" i="2"/>
  <c r="H735" i="2"/>
  <c r="H734" i="2"/>
  <c r="H733" i="2"/>
  <c r="H732" i="2"/>
  <c r="H731" i="2"/>
  <c r="H730" i="2"/>
  <c r="H729" i="2"/>
  <c r="H728" i="2"/>
  <c r="H727" i="2"/>
  <c r="H726" i="2"/>
  <c r="H725" i="2"/>
  <c r="H724" i="2"/>
  <c r="H723" i="2"/>
  <c r="H722" i="2"/>
  <c r="H721" i="2"/>
  <c r="H720" i="2"/>
  <c r="H719" i="2"/>
  <c r="H718" i="2"/>
  <c r="H717" i="2"/>
  <c r="H716" i="2"/>
  <c r="H715" i="2"/>
  <c r="H714" i="2"/>
  <c r="H713" i="2"/>
  <c r="H712" i="2"/>
  <c r="H711" i="2"/>
  <c r="H710" i="2"/>
  <c r="H709" i="2"/>
  <c r="H708" i="2"/>
  <c r="H707" i="2"/>
  <c r="H706" i="2"/>
  <c r="H705" i="2"/>
  <c r="H704" i="2"/>
  <c r="H703" i="2"/>
  <c r="H702" i="2"/>
  <c r="H701" i="2"/>
  <c r="H700" i="2"/>
  <c r="H699" i="2"/>
  <c r="H698" i="2"/>
  <c r="H697" i="2"/>
  <c r="H696" i="2"/>
  <c r="H695" i="2"/>
  <c r="H694" i="2"/>
  <c r="H693" i="2"/>
  <c r="H692" i="2"/>
  <c r="H691" i="2"/>
  <c r="H690" i="2"/>
  <c r="H689" i="2"/>
  <c r="H688" i="2"/>
  <c r="H687" i="2"/>
  <c r="H686" i="2"/>
  <c r="H685" i="2"/>
  <c r="H684" i="2"/>
  <c r="H683" i="2"/>
  <c r="H682" i="2"/>
  <c r="H681" i="2"/>
  <c r="H680" i="2"/>
  <c r="H679" i="2"/>
  <c r="H678" i="2"/>
  <c r="H677" i="2"/>
  <c r="H676" i="2"/>
  <c r="H675" i="2"/>
  <c r="H674" i="2"/>
  <c r="H673" i="2"/>
  <c r="H672" i="2"/>
  <c r="H671" i="2"/>
  <c r="H670" i="2"/>
  <c r="H669" i="2"/>
  <c r="H668" i="2"/>
  <c r="H667" i="2"/>
  <c r="H666" i="2"/>
  <c r="H665" i="2"/>
  <c r="H664" i="2"/>
  <c r="H663" i="2"/>
  <c r="H662" i="2"/>
  <c r="H661" i="2"/>
  <c r="H660" i="2"/>
  <c r="H659" i="2"/>
  <c r="H658" i="2"/>
  <c r="H657" i="2"/>
  <c r="H656" i="2"/>
  <c r="H655" i="2"/>
  <c r="H654" i="2"/>
  <c r="H653" i="2"/>
  <c r="H652" i="2"/>
  <c r="H651" i="2"/>
  <c r="H650" i="2"/>
  <c r="H649" i="2"/>
  <c r="H648" i="2"/>
  <c r="H647" i="2"/>
  <c r="H646" i="2"/>
  <c r="H645" i="2"/>
  <c r="H644" i="2"/>
  <c r="H643" i="2"/>
  <c r="H642" i="2"/>
  <c r="H641" i="2"/>
  <c r="H640" i="2"/>
  <c r="H639" i="2"/>
  <c r="H638" i="2"/>
  <c r="H637" i="2"/>
  <c r="H636" i="2"/>
  <c r="H635" i="2"/>
  <c r="H634" i="2"/>
  <c r="H633" i="2"/>
  <c r="H632" i="2"/>
  <c r="H631" i="2"/>
  <c r="H630" i="2"/>
  <c r="H629" i="2"/>
  <c r="H628" i="2"/>
  <c r="H627" i="2"/>
  <c r="H626" i="2"/>
  <c r="H625" i="2"/>
  <c r="H624" i="2"/>
  <c r="H623" i="2"/>
  <c r="H622" i="2"/>
  <c r="H621" i="2"/>
  <c r="H620" i="2"/>
  <c r="H619" i="2"/>
  <c r="H618" i="2"/>
  <c r="H617" i="2"/>
  <c r="H616" i="2"/>
  <c r="H615" i="2"/>
  <c r="H614" i="2"/>
  <c r="H613" i="2"/>
  <c r="H612" i="2"/>
  <c r="H611" i="2"/>
  <c r="H610" i="2"/>
  <c r="H609" i="2"/>
  <c r="H608" i="2"/>
  <c r="H607" i="2"/>
  <c r="H606" i="2"/>
  <c r="H605" i="2"/>
  <c r="H604" i="2"/>
  <c r="H603" i="2"/>
  <c r="H602" i="2"/>
  <c r="H601" i="2"/>
  <c r="H600" i="2"/>
  <c r="H599" i="2"/>
  <c r="H598" i="2"/>
  <c r="H597" i="2"/>
  <c r="H596" i="2"/>
  <c r="H595" i="2"/>
  <c r="H594" i="2"/>
  <c r="H593" i="2"/>
  <c r="H592" i="2"/>
  <c r="H591" i="2"/>
  <c r="H590" i="2"/>
  <c r="H589" i="2"/>
  <c r="H588" i="2"/>
  <c r="H587" i="2"/>
  <c r="H586" i="2"/>
  <c r="H585" i="2"/>
  <c r="H584" i="2"/>
  <c r="H583" i="2"/>
  <c r="H582" i="2"/>
  <c r="H581" i="2"/>
  <c r="H580" i="2"/>
  <c r="H579" i="2"/>
  <c r="H578" i="2"/>
  <c r="H577" i="2"/>
  <c r="H576" i="2"/>
  <c r="H575" i="2"/>
  <c r="H574" i="2"/>
  <c r="H573" i="2"/>
  <c r="H572" i="2"/>
  <c r="H571" i="2"/>
  <c r="H570" i="2"/>
  <c r="H569" i="2"/>
  <c r="H568" i="2"/>
  <c r="H567" i="2"/>
  <c r="H566" i="2"/>
  <c r="H565" i="2"/>
  <c r="H564" i="2"/>
  <c r="H563" i="2"/>
  <c r="H562" i="2"/>
  <c r="H561" i="2"/>
  <c r="H560" i="2"/>
  <c r="H559" i="2"/>
  <c r="H558" i="2"/>
  <c r="H557" i="2"/>
  <c r="H556" i="2"/>
  <c r="H555" i="2"/>
  <c r="H554" i="2"/>
  <c r="H553" i="2"/>
  <c r="H552" i="2"/>
  <c r="H551" i="2"/>
  <c r="H550" i="2"/>
  <c r="H549" i="2"/>
  <c r="H548" i="2"/>
  <c r="H547" i="2"/>
  <c r="H546" i="2"/>
  <c r="H545" i="2"/>
  <c r="H544" i="2"/>
  <c r="H543" i="2"/>
  <c r="H542" i="2"/>
  <c r="H541" i="2"/>
  <c r="H540" i="2"/>
  <c r="H539" i="2"/>
  <c r="H538" i="2"/>
  <c r="H537" i="2"/>
  <c r="H536" i="2"/>
  <c r="H535" i="2"/>
  <c r="H534" i="2"/>
  <c r="H533" i="2"/>
  <c r="H532" i="2"/>
  <c r="H531" i="2"/>
  <c r="H530" i="2"/>
  <c r="H529" i="2"/>
  <c r="H528" i="2"/>
  <c r="H527" i="2"/>
  <c r="H526" i="2"/>
  <c r="H525" i="2"/>
  <c r="H524" i="2"/>
  <c r="H523" i="2"/>
  <c r="H522" i="2"/>
  <c r="H521" i="2"/>
  <c r="H520" i="2"/>
  <c r="H519" i="2"/>
  <c r="H518" i="2"/>
  <c r="H517" i="2"/>
  <c r="H516" i="2"/>
  <c r="H515" i="2"/>
  <c r="H514" i="2"/>
  <c r="H513" i="2"/>
  <c r="H512" i="2"/>
  <c r="H511" i="2"/>
  <c r="H510" i="2"/>
  <c r="H509" i="2"/>
  <c r="H508" i="2"/>
  <c r="H507" i="2"/>
  <c r="H506" i="2"/>
  <c r="H505" i="2"/>
  <c r="H504" i="2"/>
  <c r="H503" i="2"/>
  <c r="H502" i="2"/>
  <c r="H501" i="2"/>
  <c r="H500" i="2"/>
  <c r="H499" i="2"/>
  <c r="H498" i="2"/>
  <c r="H497" i="2"/>
  <c r="H496" i="2"/>
  <c r="H495" i="2"/>
  <c r="H494" i="2"/>
  <c r="H493" i="2"/>
  <c r="H492" i="2"/>
  <c r="H491" i="2"/>
  <c r="H490" i="2"/>
  <c r="H489" i="2"/>
  <c r="H488" i="2"/>
  <c r="H487" i="2"/>
  <c r="H486" i="2"/>
  <c r="H485" i="2"/>
  <c r="H484" i="2"/>
  <c r="H483" i="2"/>
  <c r="H482" i="2"/>
  <c r="H481" i="2"/>
  <c r="H480" i="2"/>
  <c r="H479" i="2"/>
  <c r="H478" i="2"/>
  <c r="H477" i="2"/>
  <c r="H476" i="2"/>
  <c r="H475" i="2"/>
  <c r="H474" i="2"/>
  <c r="H473" i="2"/>
  <c r="H472" i="2"/>
  <c r="H471" i="2"/>
  <c r="H470" i="2"/>
  <c r="H469" i="2"/>
  <c r="H468" i="2"/>
  <c r="H467" i="2"/>
  <c r="H466" i="2"/>
  <c r="H465" i="2"/>
  <c r="H464" i="2"/>
  <c r="H463" i="2"/>
  <c r="H462" i="2"/>
  <c r="H461" i="2"/>
  <c r="H460" i="2"/>
  <c r="H459" i="2"/>
  <c r="H458" i="2"/>
  <c r="H457" i="2"/>
  <c r="H456" i="2"/>
  <c r="H455" i="2"/>
  <c r="H454" i="2"/>
  <c r="H453" i="2"/>
  <c r="H452" i="2"/>
  <c r="H451" i="2"/>
  <c r="H450" i="2"/>
  <c r="H449" i="2"/>
  <c r="H448" i="2"/>
  <c r="H447" i="2"/>
  <c r="H446" i="2"/>
  <c r="H445" i="2"/>
  <c r="H444" i="2"/>
  <c r="H443" i="2"/>
  <c r="H442" i="2"/>
  <c r="H441" i="2"/>
  <c r="H440" i="2"/>
  <c r="H439" i="2"/>
  <c r="H438" i="2"/>
  <c r="H437" i="2"/>
  <c r="H436" i="2"/>
  <c r="H435" i="2"/>
  <c r="H434" i="2"/>
  <c r="H433" i="2"/>
  <c r="H432" i="2"/>
  <c r="H431" i="2"/>
  <c r="H430" i="2"/>
  <c r="H429" i="2"/>
  <c r="H428" i="2"/>
  <c r="H427" i="2"/>
  <c r="H426" i="2"/>
  <c r="H425" i="2"/>
  <c r="H424" i="2"/>
  <c r="H423" i="2"/>
  <c r="H422" i="2"/>
  <c r="H421" i="2"/>
  <c r="H420" i="2"/>
  <c r="H419" i="2"/>
  <c r="H418" i="2"/>
  <c r="H417" i="2"/>
  <c r="H416" i="2"/>
  <c r="H415" i="2"/>
  <c r="H414" i="2"/>
  <c r="H413" i="2"/>
  <c r="H412" i="2"/>
  <c r="H411" i="2"/>
  <c r="H410" i="2"/>
  <c r="H409" i="2"/>
  <c r="H408" i="2"/>
  <c r="H407" i="2"/>
  <c r="H406" i="2"/>
  <c r="H405" i="2"/>
  <c r="H404" i="2"/>
  <c r="H403" i="2"/>
  <c r="H402" i="2"/>
  <c r="H401" i="2"/>
  <c r="H400" i="2"/>
  <c r="H399" i="2"/>
  <c r="H398" i="2"/>
  <c r="H397" i="2"/>
  <c r="H396" i="2"/>
  <c r="H395" i="2"/>
  <c r="H394" i="2"/>
  <c r="H393" i="2"/>
  <c r="H392" i="2"/>
  <c r="H391" i="2"/>
  <c r="H390" i="2"/>
  <c r="H389" i="2"/>
  <c r="H388" i="2"/>
  <c r="H387" i="2"/>
  <c r="H386" i="2"/>
  <c r="H385" i="2"/>
  <c r="H384" i="2"/>
  <c r="H383" i="2"/>
  <c r="H382" i="2"/>
  <c r="H381" i="2"/>
  <c r="H380" i="2"/>
  <c r="H379" i="2"/>
  <c r="H378" i="2"/>
  <c r="H377" i="2"/>
  <c r="H376" i="2"/>
  <c r="H375" i="2"/>
  <c r="H374" i="2"/>
  <c r="H373" i="2"/>
  <c r="H372" i="2"/>
  <c r="H371" i="2"/>
  <c r="H370" i="2"/>
  <c r="H369" i="2"/>
  <c r="H368" i="2"/>
  <c r="H367" i="2"/>
  <c r="H366" i="2"/>
  <c r="H365" i="2"/>
  <c r="H364" i="2"/>
  <c r="H363" i="2"/>
  <c r="H362" i="2"/>
  <c r="H361" i="2"/>
  <c r="H360" i="2"/>
  <c r="H359" i="2"/>
  <c r="H358" i="2"/>
  <c r="H357" i="2"/>
  <c r="H356" i="2"/>
  <c r="H355" i="2"/>
  <c r="H354" i="2"/>
  <c r="H353" i="2"/>
  <c r="H352" i="2"/>
  <c r="H351" i="2"/>
  <c r="H350" i="2"/>
  <c r="H349" i="2"/>
  <c r="H348" i="2"/>
  <c r="H347" i="2"/>
  <c r="H346" i="2"/>
  <c r="H345" i="2"/>
  <c r="H344" i="2"/>
  <c r="H343" i="2"/>
  <c r="H342" i="2"/>
  <c r="H341" i="2"/>
  <c r="H340" i="2"/>
  <c r="H339" i="2"/>
  <c r="H338" i="2"/>
  <c r="H337" i="2"/>
  <c r="H336" i="2"/>
  <c r="H335" i="2"/>
  <c r="H334" i="2"/>
  <c r="H333" i="2"/>
  <c r="H332" i="2"/>
  <c r="H331" i="2"/>
  <c r="H330" i="2"/>
  <c r="H329" i="2"/>
  <c r="H328" i="2"/>
  <c r="H327" i="2"/>
  <c r="H326" i="2"/>
  <c r="H325" i="2"/>
  <c r="H324" i="2"/>
  <c r="H323" i="2"/>
  <c r="H322" i="2"/>
  <c r="H321" i="2"/>
  <c r="H320" i="2"/>
  <c r="H319" i="2"/>
  <c r="H318" i="2"/>
  <c r="H317" i="2"/>
  <c r="H316" i="2"/>
  <c r="H315" i="2"/>
  <c r="H314" i="2"/>
  <c r="H313" i="2"/>
  <c r="H312" i="2"/>
  <c r="H311" i="2"/>
  <c r="H310" i="2"/>
  <c r="H309" i="2"/>
  <c r="H308" i="2"/>
  <c r="H307" i="2"/>
  <c r="H306" i="2"/>
  <c r="H305" i="2"/>
  <c r="H304" i="2"/>
  <c r="H303" i="2"/>
  <c r="H302" i="2"/>
  <c r="H301" i="2"/>
  <c r="H300" i="2"/>
  <c r="H299" i="2"/>
  <c r="H298" i="2"/>
  <c r="H297" i="2"/>
  <c r="H296" i="2"/>
  <c r="H295" i="2"/>
  <c r="H294" i="2"/>
  <c r="H293" i="2"/>
  <c r="H292" i="2"/>
  <c r="H291" i="2"/>
  <c r="H290" i="2"/>
  <c r="H289" i="2"/>
  <c r="H288" i="2"/>
  <c r="H287" i="2"/>
  <c r="H286" i="2"/>
  <c r="H285" i="2"/>
  <c r="H284" i="2"/>
  <c r="H283" i="2"/>
  <c r="H282" i="2"/>
  <c r="H281" i="2"/>
  <c r="H280" i="2"/>
  <c r="H279" i="2"/>
  <c r="H278" i="2"/>
  <c r="H277" i="2"/>
  <c r="H276" i="2"/>
  <c r="H275" i="2"/>
  <c r="H274" i="2"/>
  <c r="H273" i="2"/>
  <c r="H272" i="2"/>
  <c r="H271" i="2"/>
  <c r="H270" i="2"/>
  <c r="H269" i="2"/>
  <c r="H268" i="2"/>
  <c r="H267" i="2"/>
  <c r="H266" i="2"/>
  <c r="H265" i="2"/>
  <c r="H264" i="2"/>
  <c r="H263" i="2"/>
  <c r="H262" i="2"/>
  <c r="H261" i="2"/>
  <c r="H260" i="2"/>
  <c r="H259" i="2"/>
  <c r="H258" i="2"/>
  <c r="H257" i="2"/>
  <c r="H256" i="2"/>
  <c r="H255" i="2"/>
  <c r="H254" i="2"/>
  <c r="H253" i="2"/>
  <c r="H252" i="2"/>
  <c r="H251" i="2"/>
  <c r="H250" i="2"/>
  <c r="H249" i="2"/>
  <c r="H248" i="2"/>
  <c r="H247" i="2"/>
  <c r="H246" i="2"/>
  <c r="H245" i="2"/>
  <c r="H244" i="2"/>
  <c r="H243" i="2"/>
  <c r="H242" i="2"/>
  <c r="H241" i="2"/>
  <c r="H240" i="2"/>
  <c r="H239" i="2"/>
  <c r="H238" i="2"/>
  <c r="H237" i="2"/>
  <c r="H236" i="2"/>
  <c r="H235" i="2"/>
  <c r="H234" i="2"/>
  <c r="H233" i="2"/>
  <c r="H232" i="2"/>
  <c r="H231" i="2"/>
  <c r="H230" i="2"/>
  <c r="H229" i="2"/>
  <c r="H228" i="2"/>
  <c r="H227" i="2"/>
  <c r="H226" i="2"/>
  <c r="H225" i="2"/>
  <c r="H224" i="2"/>
  <c r="H223" i="2"/>
  <c r="H222" i="2"/>
  <c r="H221" i="2"/>
  <c r="H220" i="2"/>
  <c r="H219" i="2"/>
  <c r="H218" i="2"/>
  <c r="H217" i="2"/>
  <c r="H216" i="2"/>
  <c r="H215" i="2"/>
  <c r="H214" i="2"/>
  <c r="H213" i="2"/>
  <c r="H212" i="2"/>
  <c r="H211" i="2"/>
  <c r="H210" i="2"/>
  <c r="H209" i="2"/>
  <c r="H208" i="2"/>
  <c r="H207" i="2"/>
  <c r="H206" i="2"/>
  <c r="H205" i="2"/>
  <c r="H204" i="2"/>
  <c r="H203" i="2"/>
  <c r="H202" i="2"/>
  <c r="H201" i="2"/>
  <c r="H200" i="2"/>
  <c r="H199" i="2"/>
  <c r="H198" i="2"/>
  <c r="H197" i="2"/>
  <c r="H196" i="2"/>
  <c r="H195" i="2"/>
  <c r="H194" i="2"/>
  <c r="H193" i="2"/>
  <c r="H192" i="2"/>
  <c r="H191" i="2"/>
  <c r="H190" i="2"/>
  <c r="H189" i="2"/>
  <c r="H188" i="2"/>
  <c r="H187" i="2"/>
  <c r="H186" i="2"/>
  <c r="H185" i="2"/>
  <c r="H184" i="2"/>
  <c r="H183" i="2"/>
  <c r="H182" i="2"/>
  <c r="H181" i="2"/>
  <c r="H180" i="2"/>
  <c r="H179" i="2"/>
  <c r="H178" i="2"/>
  <c r="H177" i="2"/>
  <c r="H176" i="2"/>
  <c r="H175" i="2"/>
  <c r="H174" i="2"/>
  <c r="H173" i="2"/>
  <c r="H172" i="2"/>
  <c r="H171" i="2"/>
  <c r="H170" i="2"/>
  <c r="H169" i="2"/>
  <c r="H168" i="2"/>
  <c r="H167" i="2"/>
  <c r="H166" i="2"/>
  <c r="H165" i="2"/>
  <c r="H164" i="2"/>
  <c r="H163" i="2"/>
  <c r="H162" i="2"/>
  <c r="H161" i="2"/>
  <c r="H160" i="2"/>
  <c r="H159" i="2"/>
  <c r="H158" i="2"/>
  <c r="H157" i="2"/>
  <c r="H156" i="2"/>
  <c r="H155" i="2"/>
  <c r="H154" i="2"/>
  <c r="H153" i="2"/>
  <c r="H152" i="2"/>
  <c r="H151" i="2"/>
  <c r="H150" i="2"/>
  <c r="H149" i="2"/>
  <c r="H148" i="2"/>
  <c r="H147" i="2"/>
  <c r="H146" i="2"/>
  <c r="H145" i="2"/>
  <c r="H144" i="2"/>
  <c r="H143" i="2"/>
  <c r="H142" i="2"/>
  <c r="H141" i="2"/>
  <c r="H140" i="2"/>
  <c r="H139" i="2"/>
  <c r="H138" i="2"/>
  <c r="H137" i="2"/>
  <c r="H136" i="2"/>
  <c r="H135" i="2"/>
  <c r="H134" i="2"/>
  <c r="H133" i="2"/>
  <c r="H132" i="2"/>
  <c r="H131" i="2"/>
  <c r="H130" i="2"/>
  <c r="H129" i="2"/>
  <c r="H128" i="2"/>
  <c r="H127" i="2"/>
  <c r="H126" i="2"/>
  <c r="H125" i="2"/>
  <c r="H124" i="2"/>
  <c r="H123" i="2"/>
  <c r="H122" i="2"/>
  <c r="H121" i="2"/>
  <c r="H120" i="2"/>
  <c r="H119" i="2"/>
  <c r="H118" i="2"/>
  <c r="H117" i="2"/>
  <c r="H116" i="2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2" i="2"/>
  <c r="H81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B5" i="2" l="1"/>
  <c r="B4" i="2"/>
  <c r="B3" i="2"/>
  <c r="B9" i="2" l="1"/>
  <c r="B8" i="2"/>
  <c r="B7" i="2"/>
  <c r="F3" i="2" l="1"/>
  <c r="I3" i="2"/>
  <c r="G3" i="2"/>
  <c r="B11" i="2" l="1"/>
  <c r="H3" i="2" l="1"/>
  <c r="B21" i="2" l="1"/>
  <c r="B22" i="2" s="1"/>
  <c r="J3" i="2"/>
  <c r="G4" i="2" s="1"/>
  <c r="B15" i="2" l="1"/>
  <c r="H4" i="2"/>
  <c r="J4" i="2" s="1"/>
  <c r="B14" i="2" s="1"/>
  <c r="B13" i="2"/>
  <c r="I4" i="2"/>
  <c r="A2" i="2" l="1"/>
</calcChain>
</file>

<file path=xl/comments1.xml><?xml version="1.0" encoding="utf-8"?>
<comments xmlns="http://schemas.openxmlformats.org/spreadsheetml/2006/main">
  <authors>
    <author>krs</author>
  </authors>
  <commentList>
    <comment ref="A2" authorId="0">
      <text>
        <r>
          <rPr>
            <b/>
            <sz val="9"/>
            <color indexed="81"/>
            <rFont val="Tahoma"/>
            <family val="2"/>
          </rPr>
          <t>krs:
Lotul este acceptat daca urmatoarele conditii sunt indeplinite:</t>
        </r>
        <r>
          <rPr>
            <sz val="9"/>
            <color indexed="81"/>
            <rFont val="Tahoma"/>
            <family val="2"/>
          </rPr>
          <t xml:space="preserve">
Esantionul 1 este Ok,
Esantionul 2 este Ok (daca a fost nevoie de un al doilea esantion)
Esantionul 3 este Ok</t>
        </r>
      </text>
    </comment>
    <comment ref="J3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RN_1 = Numarul de Preambalaje Necorespunzatoare = Suma "Not Ok" din Coloana Comparatie Cr1 cu CMA
CA_1 = Criteriu de Acceptare Esantion 1
CR_1 = Criteriu de Respingere Esantion 1
RN_1 &lt; CA_1            =&gt; Lot Acceptat (Nu e nevoie de al doilea esantion)
RN_1 &gt; CR_1            =&gt; Lot Respins
CA_1 &lt; CR_1 &lt; RN_1 =&gt; Se va mai testa un esantion</t>
        </r>
      </text>
    </comment>
    <comment ref="J4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RN_2 = Numarul de Preambalaje Necorespunzatoare = Suma "Not Ok" din Coloana Comparatie Cr2 cu CMA
CA_2 = Criteriu de Acceptare Esantion 2
CR_2 = Criteriu de Respingere Esantion 2
RN_1 + RN_2 &lt;= CA_2            =&gt; Lot Acceptat
RN_1 + RN_2 &gt;    CR_2            =&gt; Lot Respins
</t>
        </r>
      </text>
    </comment>
    <comment ref="J5" authorId="0">
      <text>
        <r>
          <rPr>
            <b/>
            <sz val="9"/>
            <color indexed="81"/>
            <rFont val="Tahoma"/>
            <family val="2"/>
          </rPr>
          <t xml:space="preserve">krs:
</t>
        </r>
        <r>
          <rPr>
            <sz val="9"/>
            <color indexed="81"/>
            <rFont val="Tahoma"/>
            <family val="2"/>
          </rPr>
          <t xml:space="preserve">    'Lot Size Esantion  Cr de acceptare    Cr de respingere
    '   &lt;= 100?? 30    Xi &gt;=Qn-0,503*s   Xi &lt;Qn-0,503*s
    ' 100 - 500   30    Xi &gt;=Qn-0,503*s   Xi &lt;Qn-0,503*s
    '      &gt; 500   50    Xi &gt;=Qn-0,379*s   Xi &lt;Qn-0,379*s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Numarul de masuratori pe coloana E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Daca Masa Nominala se termina in Kg, se sterge Kg</t>
        </r>
      </text>
    </comment>
    <comment ref="B9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Daca Tara Ambalaj se termina in Kg, se sterge Kg</t>
        </r>
      </text>
    </comment>
    <comment ref="B10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EROARE NEGATIVA TOLERATA ENT se calculeaza conform Tabelului    
Unde:
Qn in g sau ml
ENT in %,g sau ml
5 &lt;= Qn &lt;= 50  9%
50 &lt;= Qn &lt;= 100 4.5g
100 &lt;= Qn &lt;= 200 4.5%
200 &lt;= Qn &lt;= 300 9g
300 &lt;= Qn &lt;= 500 3%
500 &lt;= Qn &lt;= 1000 15g
1000&lt;= Qn &lt;= 10000 1.5%</t>
        </r>
      </text>
    </comment>
    <comment ref="I11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'Marimea lotului Succesiunea Marimea Esantionului    Marimea cumulata    Criteriul de acceptare CA   Criteriul de respingere CR
100  ..  500       1           30                      30                  1                           3
                        2           30                      60                  4                           5
&gt;501 .. 3200     1           50                      50                  2                           5
                        2           50                     100                 6                           7
      &gt;= 3200     1           80                      80                  3                           7
                        2           80                     160                 8                           9</t>
        </r>
      </text>
    </comment>
    <comment ref="L11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'Marimea lotului Succesiunea Marimea Esantionului    Marimea cumulata    Criteriul de acceptare CA   Criteriul de respingere CR
100  ..  500       1           30                      30                  1                           3
                        2           30                      60                  4                           5
&gt;501 .. 3200     1           50                      50                  2                           5
                        2           50                     100                 6                           7
      &gt;= 3200     1           80                      80                  3                           7
                        2           80                     160                 8                           9</t>
        </r>
      </text>
    </comment>
    <comment ref="O11" authorId="0">
      <text>
        <r>
          <rPr>
            <b/>
            <sz val="9"/>
            <color indexed="81"/>
            <rFont val="Tahoma"/>
            <family val="2"/>
          </rPr>
          <t xml:space="preserve">krs:
</t>
        </r>
        <r>
          <rPr>
            <sz val="9"/>
            <color indexed="81"/>
            <rFont val="Tahoma"/>
            <family val="2"/>
          </rPr>
          <t>Un lot este acceptat daca Valoarea Medie a Continutului Real al Masuratorilor 
Xi &gt; Qn-[s/N*0.995]
'Lot Size Esantion Cr de acceptare   Cr de respingere
'   &lt;= 100? 30    Xi &gt;=Qn-0,503*s   Xi &lt;Qn-0,503*s
'100 - 500   30    Xi &gt;=Qn-0,503*s   Xi &lt;Qn-0,503*s
'   &gt;= 501   50    Xi &gt;=Qn-0,379*s   Xi &lt;Qn-0,379*s</t>
        </r>
      </text>
    </comment>
  </commentList>
</comments>
</file>

<file path=xl/connections.xml><?xml version="1.0" encoding="utf-8"?>
<connections xmlns="http://schemas.openxmlformats.org/spreadsheetml/2006/main">
  <connection id="1" interval="1" name="2018-03-04-072149_1211_Gut80-MargarinaCreme_Cutie_20Kg" type="6" refreshedVersion="4" background="1" refreshOnLoad="1" saveData="1">
    <textPr prompt="0" codePage="437" sourceFile="C:\Home\Krs\Work\Cantar\ScalesAutomation\Distribution\CSVOutput\2018-03-04-072149_1211_Gut80-MargarinaCreme_Cutie_20Kg.csv" tab="0" semicolon="1">
      <textFields count="2">
        <textField/>
        <textField/>
      </textFields>
    </textPr>
  </connection>
  <connection id="2" name="2019-02-06-05-19-19_200042_Margarina aluat si creme 80%_Cutie Margarita - 20 Kg" type="6" refreshedVersion="4" background="1" refreshOnLoad="1" saveData="1">
    <textPr prompt="0" codePage="437" sourceFile="C:\Home\Krs\Work\Cantar\ScalesAutomation\Distribution\Server\CSVServer\2019-02-06-05-19-19_200042_Margarina aluat si creme 80%_Cutie Margarita - 20 Kg.csv" tab="0" semicolon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<sst xmlns="http://schemas.openxmlformats.org/spreadsheetml/2006/main" count="1510" uniqueCount="787">
  <si>
    <t>Kg</t>
  </si>
  <si>
    <t>Lot</t>
  </si>
  <si>
    <t>Sortimentul</t>
  </si>
  <si>
    <t>Tip Ambalaj</t>
  </si>
  <si>
    <r>
      <t xml:space="preserve">Masa Nominala </t>
    </r>
    <r>
      <rPr>
        <b/>
        <sz val="11"/>
        <color theme="4" tint="-0.249977111117893"/>
        <rFont val="Calibri"/>
        <family val="2"/>
        <scheme val="minor"/>
      </rPr>
      <t>[Qn]</t>
    </r>
  </si>
  <si>
    <r>
      <t xml:space="preserve">Tara Ambalaj </t>
    </r>
    <r>
      <rPr>
        <b/>
        <sz val="11"/>
        <color theme="4" tint="-0.249977111117893"/>
        <rFont val="Calibri"/>
        <family val="2"/>
        <scheme val="minor"/>
      </rPr>
      <t>[Ta]</t>
    </r>
  </si>
  <si>
    <r>
      <t xml:space="preserve">Eroare Negativa Tolerata </t>
    </r>
    <r>
      <rPr>
        <b/>
        <sz val="11"/>
        <color theme="4" tint="-0.249977111117893"/>
        <rFont val="Calibri"/>
        <family val="2"/>
        <scheme val="minor"/>
      </rPr>
      <t>[ENT]</t>
    </r>
  </si>
  <si>
    <r>
      <t>Marimea Lotului</t>
    </r>
    <r>
      <rPr>
        <b/>
        <sz val="11"/>
        <color theme="4" tint="-0.249977111117893"/>
        <rFont val="Calibri"/>
        <family val="2"/>
        <scheme val="minor"/>
      </rPr>
      <t xml:space="preserve"> [ML]</t>
    </r>
  </si>
  <si>
    <r>
      <t xml:space="preserve">Continutul Minim Admis </t>
    </r>
    <r>
      <rPr>
        <b/>
        <sz val="11"/>
        <color theme="4" tint="-0.249977111117893"/>
        <rFont val="Calibri"/>
        <family val="2"/>
        <scheme val="minor"/>
      </rPr>
      <t>[CMA]</t>
    </r>
  </si>
  <si>
    <t>Data</t>
  </si>
  <si>
    <t>INDICATORI</t>
  </si>
  <si>
    <t>EXPLICATIE</t>
  </si>
  <si>
    <t>NR. DE CANTARIRI = NR. DE PREAMBALATE</t>
  </si>
  <si>
    <t>DATA LA CARE SE FACE CANTARIREA</t>
  </si>
  <si>
    <t>ORA LA CARE SE FACE CANTATIREA</t>
  </si>
  <si>
    <t>CANTITATEA EFECTIV CANTARITA =PRODUS + AMBALAJ</t>
  </si>
  <si>
    <t>SE COMPARA  EROAREA NEGATIVA[EN] CU DUBLUL ERORII NEGATIVE TOLERATAENT]   DACA EN&gt;2*ENT PRODUSUL NU POATE AVEA SIMBOLUL E SI NU VA FI COMERCIALIZAT</t>
  </si>
  <si>
    <t xml:space="preserve">NR DE CANTATIRI CE TREBUIE SA FIE  EXTRASE DIN TOTALUL CANTARIRILOR INITIALE  [COL A] CARE VOR FI LUATE IN CALCUL LA VERIFICAREA 2.2.1 ESANTION 1.;  IN FUNCTIE DE MARIMEA LOTULUI VOM AVEA NEVOIE DE  30, 50, 80  CANTARIRI </t>
  </si>
  <si>
    <t>CANTITATEA DE PRODUS REAL[Cr1} =CANTITATEA CANTARITA[Cc] -TARA AMBALAJ[Ta]; IN FUNCTIE DE MARIMEA LOTULUI SE VOR LUA, PT. CALCUL ALEATORIU  30, 50, 80 DE CANTARIRI DIN COL.D</t>
  </si>
  <si>
    <t>SE COMPARA [Cr1] CU CONTINUTUL MINIM ADMIS[CMA]; DACA Cr1&gt;CMA PREAMBALAT ADMIS   DACA Cr1&lt;CMA PREAMBALAT NECORESPUNZATOR A/N</t>
  </si>
  <si>
    <t xml:space="preserve">NR DE CANTATIRI CE TREBUIE SA FIE  EXTRASE DIN TOTALUL CANTARIRILOR INITIALE  [COL A] CARE VOR FI LUATE IN CALCUL LA VERIFICAREA 2.2.1 ESANTION 2.;  IN FUNCTIE DE MARIMEA LOTULUI VOM AVEA NEVOIE DE  30, 50, 80  CANTARIRI </t>
  </si>
  <si>
    <t>CANTITATEA DE PRODUS REAL[Cr2] =CANTITATEA CANTARITA[Cc] -TARA AMBALAJ[Ta]: IN FUNCTIE DE MARIMEA LOTULUI SE VOR LUA, PT. CALCUL ALEATORIU  30, 50, 80 DE CANTARIRI DIN COL.D</t>
  </si>
  <si>
    <t>SE COMPARA [Cr2] CU CONTINUTUL MINIM ADMIS[CMA]; DACA Cr2&gt;CMA PREAMBALAT ADMIS   DACA Cr2&lt;CMA PREAMBALAT NECORESPUNZATOR A/N</t>
  </si>
  <si>
    <t xml:space="preserve">NR DE CANTATIRI CE TREBUIE SA FIE  EXTRASE DIN CELE ALESE LA ESANTIONUL 1 [COL F] CARE VOR FI LUATE IN CALCUL LA VERIFICAREA 2.3.3.1 ESANTION 3;  IN FUNCTIE DE MARIMEA LOTULUI VOM AVEA NEVOIE DE  30, 50 CANTARIRI </t>
  </si>
  <si>
    <t xml:space="preserve">CANTITATEA DE PRODUS REAL[Cr3} =CANTITATEA CANTARITA[Cc] -TARA AMBALAJ[Ta]; IN FUNCTIE DE MARIMEA LOTULUI SE VOR LUA, PT. CALCUL ALEATORIU  30, 50,  CANTARIRI DIN COL.G </t>
  </si>
  <si>
    <t>CONTINUT REAL ES3 - Xi MEDIU</t>
  </si>
  <si>
    <t>DIN CONTINUTUL REAL 3 [Cr3] SE SCADE MEDIA CONTINUTULUI REAL Xi MEDIU</t>
  </si>
  <si>
    <t>[VLUM REAL ES3 - Xi MEDIU]2</t>
  </si>
  <si>
    <t>COL N LA PATRAT</t>
  </si>
  <si>
    <t>SE CALCULEAZA IN FUNCTIE DE CANTITATEA NOMINALA Qn/ CANTITATEA NETA CF. TABEL</t>
  </si>
  <si>
    <t xml:space="preserve"> Qn-[s/RADICAL(N)*0.995]</t>
  </si>
  <si>
    <t>DIN CANTITATEA NOMINALA [Qn] SE SCADE [s/RADICAL(N)*0.995]; UNDE N=NR DE ES3</t>
  </si>
  <si>
    <t>FUNCTIA STDEV(COLM), STDEV(M1:Mn)</t>
  </si>
  <si>
    <t>Qn-0,379*s</t>
  </si>
  <si>
    <r>
      <t xml:space="preserve">Valoarea Medie a cantitatilor reale </t>
    </r>
    <r>
      <rPr>
        <b/>
        <sz val="11"/>
        <color theme="4" tint="-0.249977111117893"/>
        <rFont val="Calibri"/>
        <family val="2"/>
        <scheme val="minor"/>
      </rPr>
      <t>[Xi]</t>
    </r>
  </si>
  <si>
    <r>
      <t xml:space="preserve">Estimatorul Abaterii Standard </t>
    </r>
    <r>
      <rPr>
        <b/>
        <sz val="11"/>
        <color theme="4" tint="-0.249977111117893"/>
        <rFont val="Calibri"/>
        <family val="2"/>
        <scheme val="minor"/>
      </rPr>
      <t>[s]</t>
    </r>
  </si>
  <si>
    <r>
      <rPr>
        <b/>
        <sz val="11"/>
        <color theme="1"/>
        <rFont val="Calibri"/>
        <family val="2"/>
        <scheme val="minor"/>
      </rPr>
      <t>Sum(</t>
    </r>
    <r>
      <rPr>
        <sz val="11"/>
        <color theme="1"/>
        <rFont val="Calibri"/>
        <family val="2"/>
        <scheme val="minor"/>
      </rPr>
      <t>(</t>
    </r>
    <r>
      <rPr>
        <b/>
        <sz val="11"/>
        <color theme="4" tint="-0.249977111117893"/>
        <rFont val="Calibri"/>
        <family val="2"/>
        <scheme val="minor"/>
      </rPr>
      <t>Cr</t>
    </r>
    <r>
      <rPr>
        <sz val="11"/>
        <color theme="1"/>
        <rFont val="Calibri"/>
        <family val="2"/>
        <scheme val="minor"/>
      </rPr>
      <t xml:space="preserve"> - </t>
    </r>
    <r>
      <rPr>
        <b/>
        <sz val="11"/>
        <color theme="4" tint="-0.249977111117893"/>
        <rFont val="Calibri"/>
        <family val="2"/>
        <scheme val="minor"/>
      </rPr>
      <t>Xi</t>
    </r>
    <r>
      <rPr>
        <sz val="11"/>
        <color theme="1"/>
        <rFont val="Calibri"/>
        <family val="2"/>
        <scheme val="minor"/>
      </rPr>
      <t>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</si>
  <si>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 xml:space="preserve">EROARE NEGATIVA TOLERATA </t>
    </r>
    <r>
      <rPr>
        <b/>
        <sz val="12"/>
        <rFont val="Arial"/>
        <family val="2"/>
      </rPr>
      <t>ENT =  CF TABEL</t>
    </r>
  </si>
  <si>
    <r>
      <t xml:space="preserve">Cantitatea nominala </t>
    </r>
    <r>
      <rPr>
        <b/>
        <sz val="12"/>
        <rFont val="Arial"/>
        <family val="2"/>
      </rPr>
      <t>Qn</t>
    </r>
    <r>
      <rPr>
        <sz val="12"/>
        <rFont val="Arial"/>
        <family val="2"/>
      </rPr>
      <t xml:space="preserve"> in g sau ml</t>
    </r>
  </si>
  <si>
    <t>Eroare negativa tolerata</t>
  </si>
  <si>
    <t>in % din Qn</t>
  </si>
  <si>
    <t>in g sau ml</t>
  </si>
  <si>
    <t xml:space="preserve">&lt;= Qn &lt;= </t>
  </si>
  <si>
    <t>-</t>
  </si>
  <si>
    <t>Criteriu de Acceptare</t>
  </si>
  <si>
    <t>Criteriu de Respingere</t>
  </si>
  <si>
    <t>Rezultate Negative</t>
  </si>
  <si>
    <t>Status Esantion</t>
  </si>
  <si>
    <t>#</t>
  </si>
  <si>
    <t>Cantitatea Cantarita [Cc]</t>
  </si>
  <si>
    <t>Ora</t>
  </si>
  <si>
    <t>Comparatie EN&gt;2ENT (Produs 'Fara E' nu se comercializeaza!)</t>
  </si>
  <si>
    <t>Comparatie Cr1 cu CMA</t>
  </si>
  <si>
    <t>Comparatie Cr2 cu CMA</t>
  </si>
  <si>
    <r>
      <rPr>
        <b/>
        <sz val="11"/>
        <color theme="4" tint="-0.249977111117893"/>
        <rFont val="Calibri"/>
        <family val="2"/>
        <scheme val="minor"/>
      </rPr>
      <t>Qn=</t>
    </r>
    <r>
      <rPr>
        <sz val="11"/>
        <color theme="1"/>
        <rFont val="Calibri"/>
        <family val="2"/>
        <scheme val="minor"/>
      </rPr>
      <t>[</t>
    </r>
    <r>
      <rPr>
        <b/>
        <sz val="11"/>
        <color theme="4" tint="-0.249977111117893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/sqrt(</t>
    </r>
    <r>
      <rPr>
        <b/>
        <sz val="11"/>
        <color theme="4" tint="-0.249977111117893"/>
        <rFont val="Calibri"/>
        <family val="2"/>
        <scheme val="minor"/>
      </rPr>
      <t>N</t>
    </r>
    <r>
      <rPr>
        <sz val="11"/>
        <rFont val="Calibri"/>
        <family val="2"/>
        <scheme val="minor"/>
      </rPr>
      <t>)</t>
    </r>
    <r>
      <rPr>
        <sz val="11"/>
        <color theme="1"/>
        <rFont val="Calibri"/>
        <family val="2"/>
        <scheme val="minor"/>
      </rPr>
      <t>*0.995]</t>
    </r>
  </si>
  <si>
    <t>Continutul Real
[Cr1]</t>
  </si>
  <si>
    <t>Continutul Real
[Cr2]</t>
  </si>
  <si>
    <t>Continutul Real [Cr]
Cc - Ta</t>
  </si>
  <si>
    <t>Informatii de Baza</t>
  </si>
  <si>
    <t>Succesiunea 1</t>
  </si>
  <si>
    <t>Succesiunea 2</t>
  </si>
  <si>
    <t>Succesiunea 3</t>
  </si>
  <si>
    <t>Marime Esantion</t>
  </si>
  <si>
    <t>S1</t>
  </si>
  <si>
    <t>S2</t>
  </si>
  <si>
    <t>S3</t>
  </si>
  <si>
    <t>Calcule Intermediare Succesiunea 3</t>
  </si>
  <si>
    <t>Marimea Lotului [ML]</t>
  </si>
  <si>
    <t>Marime Esantion ES1</t>
  </si>
  <si>
    <t>Marime Esantion ES2</t>
  </si>
  <si>
    <t>Marime Esantion ES3</t>
  </si>
  <si>
    <t>Continutul Real
[Cr2]
Cc - Ta</t>
  </si>
  <si>
    <t>Continutul Real
[Cr1]
Cc - Ta</t>
  </si>
  <si>
    <t>Continutul Real [Cr3]
Cc - Ta</t>
  </si>
  <si>
    <t>Continutul Real - Continutul Real Mediu
Cr3 - Xi</t>
  </si>
  <si>
    <r>
      <t>(Cr3 - Xi)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</si>
  <si>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t>Eroare Negativa Tolerata [ENT]</t>
  </si>
  <si>
    <t>Numarul Total de preambalate  [RN_1] necorespunzatoare din ES1</t>
  </si>
  <si>
    <t>Numarul Total de preambalate  [RN_2] necorespunzatoare din ES2</t>
  </si>
  <si>
    <t>SE NUMARA TOATE "Not Ok" DIN COLOANA "Comparatie Cr1 cu CMA"</t>
  </si>
  <si>
    <t>SE NUMARA TOATE "Not Ok" DIN COLOANA "Comparatie Cr2 cu CMA"</t>
  </si>
  <si>
    <t>Valoarea Medie a cantitatilor reale [Xi]</t>
  </si>
  <si>
    <t>SE CALCULEAZA MEDIA ARITMETICA PE COL "Continutul Real [Cr3]"</t>
  </si>
  <si>
    <t>ESTE EGAL CU NUMARUL DE PREAMBALATE CANTARITE; COUNT(Coloana E)</t>
  </si>
  <si>
    <t>Estimatorul Abaterii Standard [s]</t>
  </si>
  <si>
    <t>Rezultat Esantionul 1</t>
  </si>
  <si>
    <t>Rezultat Esantionul 2</t>
  </si>
  <si>
    <t>Rezultat Esantionul 3</t>
  </si>
  <si>
    <t>Comparatie EN&gt;2ENT Produs 'Fara E' nu se comercializeaza</t>
  </si>
  <si>
    <t>Cutie Margarita - 20 Kg</t>
  </si>
  <si>
    <t>Margarina aluat si creme 80%</t>
  </si>
  <si>
    <t>17:20:36,856</t>
  </si>
  <si>
    <t>17:21:46,137</t>
  </si>
  <si>
    <t>17:23:03,197</t>
  </si>
  <si>
    <t>17:24:27,504</t>
  </si>
  <si>
    <t>17:25:58,576</t>
  </si>
  <si>
    <t>17:27:09,653</t>
  </si>
  <si>
    <t>17:28:09,233</t>
  </si>
  <si>
    <t>17:29:22,903</t>
  </si>
  <si>
    <t>17:30:39,198</t>
  </si>
  <si>
    <t>17:31:55,555</t>
  </si>
  <si>
    <t>17:35:40,205</t>
  </si>
  <si>
    <t>17:36:58,280</t>
  </si>
  <si>
    <t>17:38:10,559</t>
  </si>
  <si>
    <t>17:39:28,635</t>
  </si>
  <si>
    <t>17:40:46,022</t>
  </si>
  <si>
    <t>17:42:07,706</t>
  </si>
  <si>
    <t>17:43:15,971</t>
  </si>
  <si>
    <t>17:44:27,657</t>
  </si>
  <si>
    <t>17:45:41,952</t>
  </si>
  <si>
    <t>17:46:55,325</t>
  </si>
  <si>
    <t>17:48:09,589</t>
  </si>
  <si>
    <t>17:50:36,945</t>
  </si>
  <si>
    <t>17:51:52,615</t>
  </si>
  <si>
    <t>17:53:07,800</t>
  </si>
  <si>
    <t>17:54:21,502</t>
  </si>
  <si>
    <t>17:55:39,358</t>
  </si>
  <si>
    <t>17:56:52,043</t>
  </si>
  <si>
    <t>17:58:04,729</t>
  </si>
  <si>
    <t>17:59:19,118</t>
  </si>
  <si>
    <t>18:00:36,787</t>
  </si>
  <si>
    <t>18:02:04,766</t>
  </si>
  <si>
    <t>18:03:04,330</t>
  </si>
  <si>
    <t>18:04:17,329</t>
  </si>
  <si>
    <t>18:05:32,483</t>
  </si>
  <si>
    <t>18:06:46,668</t>
  </si>
  <si>
    <t>18:08:00,963</t>
  </si>
  <si>
    <t>18:09:14,634</t>
  </si>
  <si>
    <t>18:10:29,506</t>
  </si>
  <si>
    <t>18:11:45,003</t>
  </si>
  <si>
    <t>18:13:00,766</t>
  </si>
  <si>
    <t>18:14:14,249</t>
  </si>
  <si>
    <t>18:15:27,138</t>
  </si>
  <si>
    <t>18:16:42,823</t>
  </si>
  <si>
    <t>18:17:57,493</t>
  </si>
  <si>
    <t>18:19:10,663</t>
  </si>
  <si>
    <t>18:20:26,161</t>
  </si>
  <si>
    <t>18:21:40,441</t>
  </si>
  <si>
    <t>18:22:55,720</t>
  </si>
  <si>
    <t>18:24:09,187</t>
  </si>
  <si>
    <t>18:25:23,982</t>
  </si>
  <si>
    <t>18:26:39,448</t>
  </si>
  <si>
    <t>18:27:55,319</t>
  </si>
  <si>
    <t>18:29:08,005</t>
  </si>
  <si>
    <t>18:30:22,488</t>
  </si>
  <si>
    <t>18:31:35,658</t>
  </si>
  <si>
    <t>18:32:48,344</t>
  </si>
  <si>
    <t>18:34:03,811</t>
  </si>
  <si>
    <t>18:35:17,512</t>
  </si>
  <si>
    <t>18:36:33,603</t>
  </si>
  <si>
    <t>18:37:49,570</t>
  </si>
  <si>
    <t>18:39:03,646</t>
  </si>
  <si>
    <t>18:40:17,519</t>
  </si>
  <si>
    <t>18:41:31,002</t>
  </si>
  <si>
    <t>18:42:46,187</t>
  </si>
  <si>
    <t>18:43:59,264</t>
  </si>
  <si>
    <t>18:45:12,731</t>
  </si>
  <si>
    <t>18:46:26,823</t>
  </si>
  <si>
    <t>18:47:43,508</t>
  </si>
  <si>
    <t>18:48:59,568</t>
  </si>
  <si>
    <t>18:50:12,957</t>
  </si>
  <si>
    <t>18:51:26,221</t>
  </si>
  <si>
    <t>18:52:40,702</t>
  </si>
  <si>
    <t>18:53:54,794</t>
  </si>
  <si>
    <t>18:55:09,261</t>
  </si>
  <si>
    <t>18:56:24,056</t>
  </si>
  <si>
    <t>18:57:39,116</t>
  </si>
  <si>
    <t>18:58:51,599</t>
  </si>
  <si>
    <t>19:00:04,879</t>
  </si>
  <si>
    <t>19:01:19,658</t>
  </si>
  <si>
    <t>19:02:34,953</t>
  </si>
  <si>
    <t>19:03:49,029</t>
  </si>
  <si>
    <t>19:05:04,324</t>
  </si>
  <si>
    <t>19:06:19,790</t>
  </si>
  <si>
    <t>19:07:33,054</t>
  </si>
  <si>
    <t>19:08:45,849</t>
  </si>
  <si>
    <t>19:10:00,925</t>
  </si>
  <si>
    <t>19:11:16,391</t>
  </si>
  <si>
    <t>19:12:28,890</t>
  </si>
  <si>
    <t>19:13:42,544</t>
  </si>
  <si>
    <t>19:14:56,339</t>
  </si>
  <si>
    <t>19:16:12,400</t>
  </si>
  <si>
    <t>19:17:25,898</t>
  </si>
  <si>
    <t>19:18:46,582</t>
  </si>
  <si>
    <t>19:20:01,846</t>
  </si>
  <si>
    <t>19:21:09,236</t>
  </si>
  <si>
    <t>19:22:24,312</t>
  </si>
  <si>
    <t>19:23:40,995</t>
  </si>
  <si>
    <t>19:24:59,274</t>
  </si>
  <si>
    <t>19:26:12,147</t>
  </si>
  <si>
    <t>19:27:23,990</t>
  </si>
  <si>
    <t>19:28:38,207</t>
  </si>
  <si>
    <t>19:29:55,486</t>
  </si>
  <si>
    <t>19:31:09,765</t>
  </si>
  <si>
    <t>19:32:23,451</t>
  </si>
  <si>
    <t>19:33:38,121</t>
  </si>
  <si>
    <t>19:34:51,697</t>
  </si>
  <si>
    <t>19:36:09,772</t>
  </si>
  <si>
    <t>19:37:21,849</t>
  </si>
  <si>
    <t>19:38:36,331</t>
  </si>
  <si>
    <t>19:39:50,016</t>
  </si>
  <si>
    <t>19:41:03,998</t>
  </si>
  <si>
    <t>19:43:31,354</t>
  </si>
  <si>
    <t>19:44:47,430</t>
  </si>
  <si>
    <t>19:46:01,834</t>
  </si>
  <si>
    <t>19:47:17,192</t>
  </si>
  <si>
    <t>19:48:30,971</t>
  </si>
  <si>
    <t>19:49:44,220</t>
  </si>
  <si>
    <t>19:50:58,312</t>
  </si>
  <si>
    <t>19:52:12,013</t>
  </si>
  <si>
    <t>19:53:26,589</t>
  </si>
  <si>
    <t>19:54:41,884</t>
  </si>
  <si>
    <t>19:55:56,943</t>
  </si>
  <si>
    <t>19:57:08,223</t>
  </si>
  <si>
    <t>19:58:19,722</t>
  </si>
  <si>
    <t>19:59:32,283</t>
  </si>
  <si>
    <t>20:00:45,375</t>
  </si>
  <si>
    <t>20:01:58,639</t>
  </si>
  <si>
    <t>20:03:10,919</t>
  </si>
  <si>
    <t>20:04:23,090</t>
  </si>
  <si>
    <t>20:05:34,995</t>
  </si>
  <si>
    <t>20:06:48,258</t>
  </si>
  <si>
    <t>20:08:02,960</t>
  </si>
  <si>
    <t>20:09:16,317</t>
  </si>
  <si>
    <t>20:11:39,688</t>
  </si>
  <si>
    <t>20:12:52,156</t>
  </si>
  <si>
    <t>20:14:04,732</t>
  </si>
  <si>
    <t>20:15:18,028</t>
  </si>
  <si>
    <t>20:16:32,104</t>
  </si>
  <si>
    <t>20:17:44,368</t>
  </si>
  <si>
    <t>20:18:58,772</t>
  </si>
  <si>
    <t>20:20:13,239</t>
  </si>
  <si>
    <t>20:21:24,722</t>
  </si>
  <si>
    <t>20:22:39,095</t>
  </si>
  <si>
    <t>20:23:55,171</t>
  </si>
  <si>
    <t>20:26:12,545</t>
  </si>
  <si>
    <t>20:27:26,122</t>
  </si>
  <si>
    <t>20:28:39,806</t>
  </si>
  <si>
    <t>20:31:05,178</t>
  </si>
  <si>
    <t>20:32:22,331</t>
  </si>
  <si>
    <t>20:33:31,612</t>
  </si>
  <si>
    <t>20:34:42,298</t>
  </si>
  <si>
    <t>20:35:54,890</t>
  </si>
  <si>
    <t>20:37:08,779</t>
  </si>
  <si>
    <t>20:38:21,043</t>
  </si>
  <si>
    <t>20:39:36,322</t>
  </si>
  <si>
    <t>20:40:47,993</t>
  </si>
  <si>
    <t>20:42:03,178</t>
  </si>
  <si>
    <t>20:43:13,849</t>
  </si>
  <si>
    <t>20:44:23,331</t>
  </si>
  <si>
    <t>20:45:37,501</t>
  </si>
  <si>
    <t>20:46:50,000</t>
  </si>
  <si>
    <t>20:48:03,857</t>
  </si>
  <si>
    <t>20:49:16,356</t>
  </si>
  <si>
    <t>20:50:27,120</t>
  </si>
  <si>
    <t>20:51:40,603</t>
  </si>
  <si>
    <t>20:52:55,695</t>
  </si>
  <si>
    <t>20:54:09,584</t>
  </si>
  <si>
    <t>20:55:19,942</t>
  </si>
  <si>
    <t>20:56:30,222</t>
  </si>
  <si>
    <t>20:58:54,688</t>
  </si>
  <si>
    <t>21:00:09,981</t>
  </si>
  <si>
    <t>21:01:22,636</t>
  </si>
  <si>
    <t>21:02:35,916</t>
  </si>
  <si>
    <t>21:03:50,820</t>
  </si>
  <si>
    <t>21:05:00,804</t>
  </si>
  <si>
    <t>21:06:15,864</t>
  </si>
  <si>
    <t>21:07:26,535</t>
  </si>
  <si>
    <t>21:08:39,408</t>
  </si>
  <si>
    <t>21:11:03,484</t>
  </si>
  <si>
    <t>21:12:18,763</t>
  </si>
  <si>
    <t>21:13:36,745</t>
  </si>
  <si>
    <t>21:14:52,633</t>
  </si>
  <si>
    <t>21:15:54,304</t>
  </si>
  <si>
    <t>21:17:06,990</t>
  </si>
  <si>
    <t>21:18:20,161</t>
  </si>
  <si>
    <t>21:20:44,923</t>
  </si>
  <si>
    <t>21:21:56,797</t>
  </si>
  <si>
    <t>21:23:10,389</t>
  </si>
  <si>
    <t>21:24:24,262</t>
  </si>
  <si>
    <t>21:25:35,745</t>
  </si>
  <si>
    <t>21:26:47,401</t>
  </si>
  <si>
    <t>21:28:00,196</t>
  </si>
  <si>
    <t>21:29:16,084</t>
  </si>
  <si>
    <t>21:30:29,754</t>
  </si>
  <si>
    <t>21:31:41,330</t>
  </si>
  <si>
    <t>21:32:54,422</t>
  </si>
  <si>
    <t>21:35:17,779</t>
  </si>
  <si>
    <t>21:36:32,371</t>
  </si>
  <si>
    <t>21:37:46,651</t>
  </si>
  <si>
    <t>21:39:00,305</t>
  </si>
  <si>
    <t>21:40:12,195</t>
  </si>
  <si>
    <t>21:42:34,864</t>
  </si>
  <si>
    <t>21:43:48,534</t>
  </si>
  <si>
    <t>21:45:00,814</t>
  </si>
  <si>
    <t>21:46:12,688</t>
  </si>
  <si>
    <t>21:47:25,671</t>
  </si>
  <si>
    <t>21:48:40,964</t>
  </si>
  <si>
    <t>21:49:57,040</t>
  </si>
  <si>
    <t>21:51:05,617</t>
  </si>
  <si>
    <t>21:52:17,288</t>
  </si>
  <si>
    <t>21:53:30,583</t>
  </si>
  <si>
    <t>21:54:44,050</t>
  </si>
  <si>
    <t>21:55:56,236</t>
  </si>
  <si>
    <t>21:57:09,922</t>
  </si>
  <si>
    <t>21:58:21,577</t>
  </si>
  <si>
    <t>22:00:48,855</t>
  </si>
  <si>
    <t>22:02:03,728</t>
  </si>
  <si>
    <t>22:03:18,007</t>
  </si>
  <si>
    <t>22:04:29,286</t>
  </si>
  <si>
    <t>22:05:41,456</t>
  </si>
  <si>
    <t>22:06:52,940</t>
  </si>
  <si>
    <t>22:08:06,016</t>
  </si>
  <si>
    <t>22:09:21,108</t>
  </si>
  <si>
    <t>22:10:34,294</t>
  </si>
  <si>
    <t>22:11:46,761</t>
  </si>
  <si>
    <t>22:12:58,041</t>
  </si>
  <si>
    <t>22:14:10,493</t>
  </si>
  <si>
    <t>22:15:22,710</t>
  </si>
  <si>
    <t>22:16:36,380</t>
  </si>
  <si>
    <t>22:17:50,659</t>
  </si>
  <si>
    <t>22:19:03,142</t>
  </si>
  <si>
    <t>22:20:14,718</t>
  </si>
  <si>
    <t>22:21:27,810</t>
  </si>
  <si>
    <t>22:22:41,886</t>
  </si>
  <si>
    <t>22:23:54,479</t>
  </si>
  <si>
    <t>22:25:08,555</t>
  </si>
  <si>
    <t>22:26:21,022</t>
  </si>
  <si>
    <t>22:27:33,693</t>
  </si>
  <si>
    <t>22:28:45,286</t>
  </si>
  <si>
    <t>22:29:56,956</t>
  </si>
  <si>
    <t>22:31:09,642</t>
  </si>
  <si>
    <t>22:32:25,718</t>
  </si>
  <si>
    <t>22:33:36,779</t>
  </si>
  <si>
    <t>22:34:49,575</t>
  </si>
  <si>
    <t>22:36:01,852</t>
  </si>
  <si>
    <t>22:37:14,335</t>
  </si>
  <si>
    <t>22:38:26,724</t>
  </si>
  <si>
    <t>22:39:40,207</t>
  </si>
  <si>
    <t>22:40:52,284</t>
  </si>
  <si>
    <t>22:42:06,954</t>
  </si>
  <si>
    <t>22:43:19,343</t>
  </si>
  <si>
    <t>22:44:30,420</t>
  </si>
  <si>
    <t>22:45:43,481</t>
  </si>
  <si>
    <t>22:46:58,572</t>
  </si>
  <si>
    <t>22:49:22,429</t>
  </si>
  <si>
    <t>22:50:35,521</t>
  </si>
  <si>
    <t>22:51:51,002</t>
  </si>
  <si>
    <t>22:53:02,360</t>
  </si>
  <si>
    <t>22:54:15,858</t>
  </si>
  <si>
    <t>22:55:28,732</t>
  </si>
  <si>
    <t>22:56:41,809</t>
  </si>
  <si>
    <t>22:57:55,494</t>
  </si>
  <si>
    <t>22:59:06,478</t>
  </si>
  <si>
    <t>23:00:19,164</t>
  </si>
  <si>
    <t>23:01:32,631</t>
  </si>
  <si>
    <t>23:02:45,223</t>
  </si>
  <si>
    <t>23:03:57,487</t>
  </si>
  <si>
    <t>23:05:11,360</t>
  </si>
  <si>
    <t>23:06:23,359</t>
  </si>
  <si>
    <t>23:07:37,529</t>
  </si>
  <si>
    <t>23:08:49,308</t>
  </si>
  <si>
    <t>23:10:03,587</t>
  </si>
  <si>
    <t>23:11:16,445</t>
  </si>
  <si>
    <t>23:12:29,740</t>
  </si>
  <si>
    <t>23:13:41,911</t>
  </si>
  <si>
    <t>23:14:55,393</t>
  </si>
  <si>
    <t>23:16:08,048</t>
  </si>
  <si>
    <t>23:17:20,156</t>
  </si>
  <si>
    <t>23:18:33,545</t>
  </si>
  <si>
    <t>23:19:46,622</t>
  </si>
  <si>
    <t>23:20:58,292</t>
  </si>
  <si>
    <t>23:22:13,306</t>
  </si>
  <si>
    <t>23:23:26,960</t>
  </si>
  <si>
    <t>23:24:39,036</t>
  </si>
  <si>
    <t>23:25:51,315</t>
  </si>
  <si>
    <t>23:27:05,095</t>
  </si>
  <si>
    <t>23:28:16,984</t>
  </si>
  <si>
    <t>23:29:27,655</t>
  </si>
  <si>
    <t>23:30:40,935</t>
  </si>
  <si>
    <t>23:31:55,526</t>
  </si>
  <si>
    <t>23:33:10,790</t>
  </si>
  <si>
    <t>23:34:20,883</t>
  </si>
  <si>
    <t>23:35:32,960</t>
  </si>
  <si>
    <t>23:36:47,332</t>
  </si>
  <si>
    <t>23:38:02,220</t>
  </si>
  <si>
    <t>23:39:13,501</t>
  </si>
  <si>
    <t>23:40:24,560</t>
  </si>
  <si>
    <t>23:41:38,559</t>
  </si>
  <si>
    <t>23:42:51,416</t>
  </si>
  <si>
    <t>23:44:03,712</t>
  </si>
  <si>
    <t>23:45:15,992</t>
  </si>
  <si>
    <t>23:46:28,772</t>
  </si>
  <si>
    <t>23:47:41,458</t>
  </si>
  <si>
    <t>23:48:54,534</t>
  </si>
  <si>
    <t>23:50:08,626</t>
  </si>
  <si>
    <t>23:51:22,984</t>
  </si>
  <si>
    <t>23:52:33,061</t>
  </si>
  <si>
    <t>23:53:46,762</t>
  </si>
  <si>
    <t>23:55:01,541</t>
  </si>
  <si>
    <t>23:56:15,819</t>
  </si>
  <si>
    <t>23:57:30,895</t>
  </si>
  <si>
    <t>23:58:40,363</t>
  </si>
  <si>
    <t>23:59:50,644</t>
  </si>
  <si>
    <t>00:01:04,829</t>
  </si>
  <si>
    <t>00:02:18,312</t>
  </si>
  <si>
    <t>00:03:33,404</t>
  </si>
  <si>
    <t>00:04:46,074</t>
  </si>
  <si>
    <t>00:05:57,526</t>
  </si>
  <si>
    <t>00:07:08,509</t>
  </si>
  <si>
    <t>00:08:21,805</t>
  </si>
  <si>
    <t>00:09:35,381</t>
  </si>
  <si>
    <t>00:10:47,458</t>
  </si>
  <si>
    <t>00:12:01,768</t>
  </si>
  <si>
    <t>00:13:16,031</t>
  </si>
  <si>
    <t>00:14:29,686</t>
  </si>
  <si>
    <t>00:15:41,669</t>
  </si>
  <si>
    <t>00:16:53,355</t>
  </si>
  <si>
    <t>00:18:05,838</t>
  </si>
  <si>
    <t>00:19:18,633</t>
  </si>
  <si>
    <t>00:20:31,288</t>
  </si>
  <si>
    <t>00:21:43,974</t>
  </si>
  <si>
    <t>00:22:57,582</t>
  </si>
  <si>
    <t>00:25:23,735</t>
  </si>
  <si>
    <t>00:26:37,999</t>
  </si>
  <si>
    <t>00:27:51,480</t>
  </si>
  <si>
    <t>00:29:02,947</t>
  </si>
  <si>
    <t>00:30:16,133</t>
  </si>
  <si>
    <t>00:31:28,632</t>
  </si>
  <si>
    <t>00:32:41,896</t>
  </si>
  <si>
    <t>00:33:54,785</t>
  </si>
  <si>
    <t>00:35:07,565</t>
  </si>
  <si>
    <t>00:36:23,234</t>
  </si>
  <si>
    <t>00:38:47,200</t>
  </si>
  <si>
    <t>00:40:00,776</t>
  </si>
  <si>
    <t>00:41:10,853</t>
  </si>
  <si>
    <t>00:42:24,320</t>
  </si>
  <si>
    <t>00:43:37,723</t>
  </si>
  <si>
    <t>00:44:50,472</t>
  </si>
  <si>
    <t>00:46:03,876</t>
  </si>
  <si>
    <t>00:48:28,139</t>
  </si>
  <si>
    <t>00:49:42,825</t>
  </si>
  <si>
    <t>00:50:56,495</t>
  </si>
  <si>
    <t>00:52:06,978</t>
  </si>
  <si>
    <t>00:53:19,758</t>
  </si>
  <si>
    <t>00:54:32,616</t>
  </si>
  <si>
    <t>00:55:44,927</t>
  </si>
  <si>
    <t>00:56:58,191</t>
  </si>
  <si>
    <t>00:58:11,783</t>
  </si>
  <si>
    <t>00:59:24,235</t>
  </si>
  <si>
    <t>01:00:35,936</t>
  </si>
  <si>
    <t>01:01:49,606</t>
  </si>
  <si>
    <t>01:03:04,088</t>
  </si>
  <si>
    <t>01:04:16,884</t>
  </si>
  <si>
    <t>01:05:29,148</t>
  </si>
  <si>
    <t>01:06:41,225</t>
  </si>
  <si>
    <t>01:07:53,411</t>
  </si>
  <si>
    <t>01:09:06,487</t>
  </si>
  <si>
    <t>01:10:19,361</t>
  </si>
  <si>
    <t>01:11:31,766</t>
  </si>
  <si>
    <t>01:12:45,123</t>
  </si>
  <si>
    <t>01:13:58,106</t>
  </si>
  <si>
    <t>01:15:12,198</t>
  </si>
  <si>
    <t>01:16:24,867</t>
  </si>
  <si>
    <t>01:17:36,444</t>
  </si>
  <si>
    <t>01:18:50,130</t>
  </si>
  <si>
    <t>01:20:02,612</t>
  </si>
  <si>
    <t>01:21:14,267</t>
  </si>
  <si>
    <t>01:22:27,047</t>
  </si>
  <si>
    <t>01:23:39,952</t>
  </si>
  <si>
    <t>01:24:53,435</t>
  </si>
  <si>
    <t>01:26:05,902</t>
  </si>
  <si>
    <t>01:27:18,682</t>
  </si>
  <si>
    <t>01:28:31,165</t>
  </si>
  <si>
    <t>01:29:43,835</t>
  </si>
  <si>
    <t>01:30:57,833</t>
  </si>
  <si>
    <t>01:32:11,690</t>
  </si>
  <si>
    <t>01:33:22,376</t>
  </si>
  <si>
    <t>01:34:36,250</t>
  </si>
  <si>
    <t>01:35:48,638</t>
  </si>
  <si>
    <t>01:37:02,714</t>
  </si>
  <si>
    <t>01:38:15,384</t>
  </si>
  <si>
    <t>01:39:27,680</t>
  </si>
  <si>
    <t>01:40:39,663</t>
  </si>
  <si>
    <t>01:41:53,114</t>
  </si>
  <si>
    <t>01:43:05,425</t>
  </si>
  <si>
    <t>01:44:18,502</t>
  </si>
  <si>
    <t>01:45:30,672</t>
  </si>
  <si>
    <t>01:47:56,652</t>
  </si>
  <si>
    <t>01:49:11,103</t>
  </si>
  <si>
    <t>01:50:23,789</t>
  </si>
  <si>
    <t>01:51:38,365</t>
  </si>
  <si>
    <t>01:52:50,052</t>
  </si>
  <si>
    <t>01:54:02,347</t>
  </si>
  <si>
    <t>01:55:13,799</t>
  </si>
  <si>
    <t>01:56:27,188</t>
  </si>
  <si>
    <t>01:57:39,671</t>
  </si>
  <si>
    <t>01:58:53,154</t>
  </si>
  <si>
    <t>02:00:05,528</t>
  </si>
  <si>
    <t>02:01:19,401</t>
  </si>
  <si>
    <t>02:02:31,477</t>
  </si>
  <si>
    <t>02:03:44,365</t>
  </si>
  <si>
    <t>02:04:57,739</t>
  </si>
  <si>
    <t>02:06:10,628</t>
  </si>
  <si>
    <t>02:07:24,110</t>
  </si>
  <si>
    <t>02:08:37,171</t>
  </si>
  <si>
    <t>02:09:50,154</t>
  </si>
  <si>
    <t>02:11:03,028</t>
  </si>
  <si>
    <t>02:12:15,339</t>
  </si>
  <si>
    <t>02:13:27,806</t>
  </si>
  <si>
    <t>02:14:40,586</t>
  </si>
  <si>
    <t>02:15:53,287</t>
  </si>
  <si>
    <t>02:17:05,942</t>
  </si>
  <si>
    <t>02:18:18,425</t>
  </si>
  <si>
    <t>02:19:31,002</t>
  </si>
  <si>
    <t>02:20:43,686</t>
  </si>
  <si>
    <t>02:21:57,559</t>
  </si>
  <si>
    <t>02:23:10,245</t>
  </si>
  <si>
    <t>02:24:22,416</t>
  </si>
  <si>
    <t>02:25:37,914</t>
  </si>
  <si>
    <t>02:26:50,584</t>
  </si>
  <si>
    <t>02:28:04,770</t>
  </si>
  <si>
    <t>02:29:16,643</t>
  </si>
  <si>
    <t>02:30:27,330</t>
  </si>
  <si>
    <t>02:31:40,797</t>
  </si>
  <si>
    <t>02:32:53,264</t>
  </si>
  <si>
    <t>02:36:33,023</t>
  </si>
  <si>
    <t>02:37:46,193</t>
  </si>
  <si>
    <t>02:38:58,676</t>
  </si>
  <si>
    <t>02:40:11,956</t>
  </si>
  <si>
    <t>02:41:24,626</t>
  </si>
  <si>
    <t>02:42:38,218</t>
  </si>
  <si>
    <t>02:43:51,482</t>
  </si>
  <si>
    <t>02:45:04,168</t>
  </si>
  <si>
    <t>02:46:17,260</t>
  </si>
  <si>
    <t>02:47:29,915</t>
  </si>
  <si>
    <t>02:49:56,193</t>
  </si>
  <si>
    <t>02:51:08,879</t>
  </si>
  <si>
    <t>02:52:21,752</t>
  </si>
  <si>
    <t>02:53:35,125</t>
  </si>
  <si>
    <t>02:54:50,029</t>
  </si>
  <si>
    <t>02:56:01,497</t>
  </si>
  <si>
    <t>02:57:16,588</t>
  </si>
  <si>
    <t>02:58:29,149</t>
  </si>
  <si>
    <t>02:59:41,023</t>
  </si>
  <si>
    <t>03:00:55,693</t>
  </si>
  <si>
    <t>03:02:06,786</t>
  </si>
  <si>
    <t>03:03:19,956</t>
  </si>
  <si>
    <t>03:04:31,626</t>
  </si>
  <si>
    <t>03:05:44,328</t>
  </si>
  <si>
    <t>03:06:58,014</t>
  </si>
  <si>
    <t>03:08:12,182</t>
  </si>
  <si>
    <t>03:09:23,853</t>
  </si>
  <si>
    <t>03:10:36,742</t>
  </si>
  <si>
    <t>03:13:02,411</t>
  </si>
  <si>
    <t>03:14:15,675</t>
  </si>
  <si>
    <t>03:15:28,361</t>
  </si>
  <si>
    <t>03:16:40,859</t>
  </si>
  <si>
    <t>03:17:54,014</t>
  </si>
  <si>
    <t>03:19:06,700</t>
  </si>
  <si>
    <t>03:20:18,964</t>
  </si>
  <si>
    <t>03:21:31,244</t>
  </si>
  <si>
    <t>03:22:44,258</t>
  </si>
  <si>
    <t>03:25:09,394</t>
  </si>
  <si>
    <t>03:26:22,893</t>
  </si>
  <si>
    <t>03:27:35,876</t>
  </si>
  <si>
    <t>03:28:51,545</t>
  </si>
  <si>
    <t>03:30:02,622</t>
  </si>
  <si>
    <t>03:31:15,011</t>
  </si>
  <si>
    <t>03:32:27,885</t>
  </si>
  <si>
    <t>03:33:41,368</t>
  </si>
  <si>
    <t>03:34:53,038</t>
  </si>
  <si>
    <t>03:36:05,911</t>
  </si>
  <si>
    <t>03:37:18,504</t>
  </si>
  <si>
    <t>03:38:33,783</t>
  </si>
  <si>
    <t>03:39:45,452</t>
  </si>
  <si>
    <t>03:40:56,732</t>
  </si>
  <si>
    <t>03:42:09,699</t>
  </si>
  <si>
    <t>03:43:22,776</t>
  </si>
  <si>
    <t>03:44:36,868</t>
  </si>
  <si>
    <t>03:45:50,850</t>
  </si>
  <si>
    <t>03:47:02,318</t>
  </si>
  <si>
    <t>03:48:14,816</t>
  </si>
  <si>
    <t>03:49:27,487</t>
  </si>
  <si>
    <t>03:50:40,266</t>
  </si>
  <si>
    <t>03:51:53,765</t>
  </si>
  <si>
    <t>03:53:07,419</t>
  </si>
  <si>
    <t>03:54:18,512</t>
  </si>
  <si>
    <t>03:55:33,493</t>
  </si>
  <si>
    <t>03:56:47,773</t>
  </si>
  <si>
    <t>03:57:58,240</t>
  </si>
  <si>
    <t>03:59:11,114</t>
  </si>
  <si>
    <t>04:00:23,706</t>
  </si>
  <si>
    <t>04:01:36,392</t>
  </si>
  <si>
    <t>04:02:51,671</t>
  </si>
  <si>
    <t>04:04:05,951</t>
  </si>
  <si>
    <t>04:05:16,715</t>
  </si>
  <si>
    <t>04:06:29,026</t>
  </si>
  <si>
    <t>04:07:42,884</t>
  </si>
  <si>
    <t>04:10:07,944</t>
  </si>
  <si>
    <t>04:12:33,501</t>
  </si>
  <si>
    <t>04:13:47,078</t>
  </si>
  <si>
    <t>04:15:00,764</t>
  </si>
  <si>
    <t>04:16:13,231</t>
  </si>
  <si>
    <t>04:17:25,120</t>
  </si>
  <si>
    <t>04:18:37,978</t>
  </si>
  <si>
    <t>04:19:51,383</t>
  </si>
  <si>
    <t>04:21:04,069</t>
  </si>
  <si>
    <t>04:22:18,348</t>
  </si>
  <si>
    <t>04:23:29,816</t>
  </si>
  <si>
    <t>04:24:42,798</t>
  </si>
  <si>
    <t>04:25:55,672</t>
  </si>
  <si>
    <t>04:27:07,749</t>
  </si>
  <si>
    <t>04:28:21,136</t>
  </si>
  <si>
    <t>04:29:34,822</t>
  </si>
  <si>
    <t>04:30:47,898</t>
  </si>
  <si>
    <t>04:32:00,163</t>
  </si>
  <si>
    <t>04:33:12,645</t>
  </si>
  <si>
    <t>04:35:39,517</t>
  </si>
  <si>
    <t>04:36:52,405</t>
  </si>
  <si>
    <t>04:38:04,779</t>
  </si>
  <si>
    <t>04:39:17,653</t>
  </si>
  <si>
    <t>04:40:31,338</t>
  </si>
  <si>
    <t>04:41:44,602</t>
  </si>
  <si>
    <t>04:42:57,070</t>
  </si>
  <si>
    <t>04:44:09,488</t>
  </si>
  <si>
    <t>04:45:22,534</t>
  </si>
  <si>
    <t>04:46:36,219</t>
  </si>
  <si>
    <t>04:47:49,312</t>
  </si>
  <si>
    <t>04:49:02,091</t>
  </si>
  <si>
    <t>04:50:15,777</t>
  </si>
  <si>
    <t>04:51:28,666</t>
  </si>
  <si>
    <t>04:52:41,134</t>
  </si>
  <si>
    <t>04:53:55,507</t>
  </si>
  <si>
    <t>04:55:08,552</t>
  </si>
  <si>
    <t>04:56:20,254</t>
  </si>
  <si>
    <t>04:57:32,721</t>
  </si>
  <si>
    <t>04:58:46,126</t>
  </si>
  <si>
    <t>05:01:11,887</t>
  </si>
  <si>
    <t>05:02:25,947</t>
  </si>
  <si>
    <t>05:03:39,336</t>
  </si>
  <si>
    <t>05:04:52,225</t>
  </si>
  <si>
    <t>05:06:05,505</t>
  </si>
  <si>
    <t>05:07:17,894</t>
  </si>
  <si>
    <t>05:08:30,174</t>
  </si>
  <si>
    <t>05:09:43,641</t>
  </si>
  <si>
    <t>05:10:56,124</t>
  </si>
  <si>
    <t>05:12:09,294</t>
  </si>
  <si>
    <t>05:13:22,387</t>
  </si>
  <si>
    <t>05:14:34,854</t>
  </si>
  <si>
    <t>05:15:47,741</t>
  </si>
  <si>
    <t>05:17:03,630</t>
  </si>
  <si>
    <t>05:18:15,706</t>
  </si>
  <si>
    <t>05:20:39,173</t>
  </si>
  <si>
    <t>05:21:53,030</t>
  </si>
  <si>
    <t>05:23:05,419</t>
  </si>
  <si>
    <t>05:24:18,309</t>
  </si>
  <si>
    <t>05:25:31,760</t>
  </si>
  <si>
    <t>05:26:44,774</t>
  </si>
  <si>
    <t>05:27:58,429</t>
  </si>
  <si>
    <t>05:29:11,302</t>
  </si>
  <si>
    <t>05:30:26,206</t>
  </si>
  <si>
    <t>05:31:38,266</t>
  </si>
  <si>
    <t>05:32:49,453</t>
  </si>
  <si>
    <t>05:34:04,326</t>
  </si>
  <si>
    <t>05:35:17,605</t>
  </si>
  <si>
    <t>05:36:29,291</t>
  </si>
  <si>
    <t>05:37:42,086</t>
  </si>
  <si>
    <t>05:38:54,553</t>
  </si>
  <si>
    <t>05:40:07,411</t>
  </si>
  <si>
    <t>05:41:21,316</t>
  </si>
  <si>
    <t>05:42:34,095</t>
  </si>
  <si>
    <t>05:43:47,172</t>
  </si>
  <si>
    <t>05:45:00,233</t>
  </si>
  <si>
    <t>05:46:12,122</t>
  </si>
  <si>
    <t>05:47:24,511</t>
  </si>
  <si>
    <t>05:48:39,398</t>
  </si>
  <si>
    <t>05:49:53,459</t>
  </si>
  <si>
    <t>05:51:05,848</t>
  </si>
  <si>
    <t>05:52:17,534</t>
  </si>
  <si>
    <t>05:53:30,220</t>
  </si>
  <si>
    <t>05:54:43,078</t>
  </si>
  <si>
    <t>05:57:08,747</t>
  </si>
  <si>
    <t>05:58:26,619</t>
  </si>
  <si>
    <t>05:59:38,868</t>
  </si>
  <si>
    <t>06:00:47,492</t>
  </si>
  <si>
    <t>06:02:00,163</t>
  </si>
  <si>
    <t>06:03:13,036</t>
  </si>
  <si>
    <t>06:04:26,924</t>
  </si>
  <si>
    <t>06:05:39,500</t>
  </si>
  <si>
    <t>06:06:51,577</t>
  </si>
  <si>
    <t>06:08:05,466</t>
  </si>
  <si>
    <t>06:09:16,949</t>
  </si>
  <si>
    <t>06:10:29,026</t>
  </si>
  <si>
    <t>06:11:43,805</t>
  </si>
  <si>
    <t>06:12:56,678</t>
  </si>
  <si>
    <t>06:14:09,364</t>
  </si>
  <si>
    <t>06:15:22,144</t>
  </si>
  <si>
    <t>06:16:35,018</t>
  </si>
  <si>
    <t>06:17:47,891</t>
  </si>
  <si>
    <t>06:19:01,780</t>
  </si>
  <si>
    <t>06:20:18,838</t>
  </si>
  <si>
    <t>06:21:25,213</t>
  </si>
  <si>
    <t>06:22:39,524</t>
  </si>
  <si>
    <t>06:23:52,507</t>
  </si>
  <si>
    <t>06:25:05,177</t>
  </si>
  <si>
    <t>06:26:18,254</t>
  </si>
  <si>
    <t>06:27:30,143</t>
  </si>
  <si>
    <t>06:28:53,811</t>
  </si>
  <si>
    <t>06:29:57,405</t>
  </si>
  <si>
    <t>06:31:09,669</t>
  </si>
  <si>
    <t>06:32:21,746</t>
  </si>
  <si>
    <t>06:33:33,839</t>
  </si>
  <si>
    <t>06:34:46,618</t>
  </si>
  <si>
    <t>06:35:59,693</t>
  </si>
  <si>
    <t>06:37:12,176</t>
  </si>
  <si>
    <t>06:38:26,846</t>
  </si>
  <si>
    <t>06:39:41,047</t>
  </si>
  <si>
    <t>06:40:52,312</t>
  </si>
  <si>
    <t>06:42:04,982</t>
  </si>
  <si>
    <t>06:43:18,262</t>
  </si>
  <si>
    <t>06:44:30,854</t>
  </si>
  <si>
    <t>06:45:43,540</t>
  </si>
  <si>
    <t>06:46:55,804</t>
  </si>
  <si>
    <t>06:48:06,991</t>
  </si>
  <si>
    <t>06:49:20,895</t>
  </si>
  <si>
    <t>06:50:32,941</t>
  </si>
  <si>
    <t>06:51:46,047</t>
  </si>
  <si>
    <t>06:53:01,826</t>
  </si>
  <si>
    <t>06:54:14,496</t>
  </si>
  <si>
    <t>06:55:24,777</t>
  </si>
  <si>
    <t>06:56:35,635</t>
  </si>
  <si>
    <t>06:57:48,930</t>
  </si>
  <si>
    <t>06:59:01,101</t>
  </si>
  <si>
    <t>07:00:15,380</t>
  </si>
  <si>
    <t>07:01:29,784</t>
  </si>
  <si>
    <t>07:02:40,846</t>
  </si>
  <si>
    <t>07:03:54,328</t>
  </si>
  <si>
    <t>07:05:07,811</t>
  </si>
  <si>
    <t>07:06:26,496</t>
  </si>
  <si>
    <t>07:07:32,275</t>
  </si>
  <si>
    <t>07:08:47,133</t>
  </si>
  <si>
    <t>07:10:00,412</t>
  </si>
  <si>
    <t>07:11:11,802</t>
  </si>
  <si>
    <t>07:12:22,285</t>
  </si>
  <si>
    <t>07:13:35,362</t>
  </si>
  <si>
    <t>07:14:49,251</t>
  </si>
  <si>
    <t>07:16:00,718</t>
  </si>
  <si>
    <t>07:17:12,701</t>
  </si>
  <si>
    <t>07:18:29,574</t>
  </si>
  <si>
    <t>07:19:39,854</t>
  </si>
  <si>
    <t>07:20:51,040</t>
  </si>
  <si>
    <t>07:22:04,914</t>
  </si>
  <si>
    <t>07:23:18,209</t>
  </si>
  <si>
    <t>07:24:32,893</t>
  </si>
  <si>
    <t>07:25:44,876</t>
  </si>
  <si>
    <t>07:26:58,124</t>
  </si>
  <si>
    <t>07:28:09,014</t>
  </si>
  <si>
    <t>07:30:34,386</t>
  </si>
  <si>
    <t>07:31:47,166</t>
  </si>
  <si>
    <t>07:32:59,836</t>
  </si>
  <si>
    <t>07:34:13,334</t>
  </si>
  <si>
    <t>07:35:26,192</t>
  </si>
  <si>
    <t>07:36:37,581</t>
  </si>
  <si>
    <t>07:37:49,048</t>
  </si>
  <si>
    <t>07:39:02,328</t>
  </si>
  <si>
    <t>07:40:15,512</t>
  </si>
  <si>
    <t>07:41:28,183</t>
  </si>
  <si>
    <t>07:42:39,072</t>
  </si>
  <si>
    <t>07:43:49,852</t>
  </si>
  <si>
    <t>07:45:02,741</t>
  </si>
  <si>
    <t>07:46:14,615</t>
  </si>
  <si>
    <t>07:47:25,692</t>
  </si>
  <si>
    <t>07:48:38,566</t>
  </si>
  <si>
    <t>07:49:51,955</t>
  </si>
  <si>
    <t>07:51:02,438</t>
  </si>
  <si>
    <t>07:52:13,609</t>
  </si>
  <si>
    <t>07:53:26,498</t>
  </si>
  <si>
    <t>07:54:38,169</t>
  </si>
  <si>
    <t>07:55:49,635</t>
  </si>
  <si>
    <t>07:57:03,836</t>
  </si>
  <si>
    <t>08:00:06,090</t>
  </si>
  <si>
    <t>08:01:35,647</t>
  </si>
  <si>
    <t>08:02:52,535</t>
  </si>
  <si>
    <t>08:04:04,737</t>
  </si>
  <si>
    <t>08:05:17,407</t>
  </si>
  <si>
    <t>08:06:28,859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</si>
</sst>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0"/>
    <numFmt numFmtId="165" formatCode="0.000"/>
    <numFmt numFmtId="166" formatCode="0.00000"/>
    <numFmt numFmtId="167" formatCode="0.000000"/>
    <numFmt numFmtId="168" formatCode="[$-409]d\-mmm\-yy;@"/>
  </numFmts>
  <fonts count="19" x14ac:knownFonts="1"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4" tint="-0.249977111117893"/>
      <name val="Calibri"/>
      <family val="2"/>
      <scheme val="minor"/>
    </font>
    <font>
      <b/>
      <sz val="10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2"/>
      <color indexed="40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vertAlign val="superscript"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4">
    <xf numFmtId="0" fontId="0" fillId="0" borderId="0" xfId="0"/>
    <xf numFmtId="21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6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vertical="center" wrapText="1"/>
    </xf>
    <xf numFmtId="0" fontId="0" fillId="0" borderId="1" xfId="0" applyBorder="1"/>
    <xf numFmtId="0" fontId="5" fillId="0" borderId="1" xfId="0" applyFont="1" applyBorder="1" applyAlignment="1">
      <alignment horizontal="left" wrapText="1"/>
    </xf>
    <xf numFmtId="0" fontId="7" fillId="0" borderId="1" xfId="0" applyFont="1" applyBorder="1"/>
    <xf numFmtId="0" fontId="5" fillId="0" borderId="1" xfId="0" applyFont="1" applyBorder="1" applyAlignment="1">
      <alignment vertical="center" wrapText="1"/>
    </xf>
    <xf numFmtId="0" fontId="0" fillId="0" borderId="1" xfId="0" applyBorder="1" applyAlignment="1">
      <alignment vertical="top" wrapText="1"/>
    </xf>
    <xf numFmtId="0" fontId="9" fillId="0" borderId="1" xfId="0" applyFont="1" applyBorder="1" applyAlignment="1">
      <alignment wrapText="1"/>
    </xf>
    <xf numFmtId="0" fontId="0" fillId="0" borderId="1" xfId="0" applyBorder="1" applyAlignment="1">
      <alignment vertical="center"/>
    </xf>
    <xf numFmtId="0" fontId="7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1" fontId="0" fillId="0" borderId="0" xfId="0" applyNumberFormat="1" applyAlignment="1">
      <alignment horizontal="right"/>
    </xf>
    <xf numFmtId="0" fontId="5" fillId="0" borderId="0" xfId="0" applyFont="1"/>
    <xf numFmtId="0" fontId="5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164" fontId="0" fillId="2" borderId="0" xfId="0" applyNumberFormat="1" applyFill="1" applyAlignment="1">
      <alignment horizontal="right"/>
    </xf>
    <xf numFmtId="0" fontId="0" fillId="2" borderId="0" xfId="0" applyFill="1" applyAlignment="1">
      <alignment horizontal="left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/>
    <xf numFmtId="0" fontId="0" fillId="2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NumberFormat="1" applyFont="1" applyAlignment="1">
      <alignment horizontal="right"/>
    </xf>
    <xf numFmtId="0" fontId="0" fillId="2" borderId="0" xfId="0" applyFill="1" applyAlignment="1">
      <alignment horizontal="right"/>
    </xf>
    <xf numFmtId="0" fontId="0" fillId="4" borderId="0" xfId="0" applyFill="1" applyAlignment="1">
      <alignment horizontal="right"/>
    </xf>
    <xf numFmtId="0" fontId="1" fillId="0" borderId="0" xfId="0" applyFont="1" applyAlignment="1">
      <alignment horizontal="right"/>
    </xf>
    <xf numFmtId="0" fontId="0" fillId="6" borderId="0" xfId="0" applyFill="1" applyAlignment="1">
      <alignment horizontal="left"/>
    </xf>
    <xf numFmtId="2" fontId="0" fillId="6" borderId="0" xfId="0" applyNumberFormat="1" applyFill="1" applyAlignment="1">
      <alignment horizontal="right"/>
    </xf>
    <xf numFmtId="0" fontId="5" fillId="3" borderId="1" xfId="0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 wrapText="1"/>
    </xf>
    <xf numFmtId="0" fontId="7" fillId="5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7" fillId="6" borderId="1" xfId="0" applyFont="1" applyFill="1" applyBorder="1" applyAlignment="1">
      <alignment horizontal="center" vertical="center" wrapText="1"/>
    </xf>
    <xf numFmtId="0" fontId="0" fillId="2" borderId="0" xfId="0" applyFill="1" applyAlignment="1"/>
    <xf numFmtId="0" fontId="0" fillId="2" borderId="0" xfId="0" applyFont="1" applyFill="1" applyAlignment="1">
      <alignment horizontal="left"/>
    </xf>
    <xf numFmtId="0" fontId="10" fillId="0" borderId="2" xfId="0" applyFont="1" applyBorder="1" applyAlignment="1">
      <alignment horizontal="center" wrapText="1"/>
    </xf>
    <xf numFmtId="2" fontId="11" fillId="0" borderId="2" xfId="0" applyNumberFormat="1" applyFont="1" applyBorder="1" applyAlignment="1">
      <alignment horizontal="center" wrapText="1"/>
    </xf>
    <xf numFmtId="165" fontId="0" fillId="0" borderId="0" xfId="0" applyNumberFormat="1" applyAlignment="1">
      <alignment horizontal="right"/>
    </xf>
    <xf numFmtId="165" fontId="10" fillId="0" borderId="0" xfId="0" applyNumberFormat="1" applyFont="1" applyAlignment="1">
      <alignment horizontal="center" vertical="center" wrapText="1"/>
    </xf>
    <xf numFmtId="165" fontId="0" fillId="0" borderId="0" xfId="0" applyNumberFormat="1"/>
    <xf numFmtId="165" fontId="10" fillId="0" borderId="2" xfId="0" applyNumberFormat="1" applyFont="1" applyBorder="1" applyAlignment="1">
      <alignment horizontal="center" wrapText="1"/>
    </xf>
    <xf numFmtId="166" fontId="10" fillId="0" borderId="2" xfId="0" applyNumberFormat="1" applyFont="1" applyFill="1" applyBorder="1" applyAlignment="1">
      <alignment horizontal="center" wrapText="1"/>
    </xf>
    <xf numFmtId="166" fontId="0" fillId="0" borderId="0" xfId="0" applyNumberFormat="1"/>
    <xf numFmtId="2" fontId="0" fillId="0" borderId="0" xfId="0" applyNumberFormat="1" applyFill="1"/>
    <xf numFmtId="2" fontId="10" fillId="0" borderId="2" xfId="0" applyNumberFormat="1" applyFont="1" applyBorder="1" applyAlignment="1">
      <alignment horizontal="center" wrapText="1"/>
    </xf>
    <xf numFmtId="2" fontId="0" fillId="0" borderId="0" xfId="0" applyNumberFormat="1" applyFont="1" applyFill="1" applyAlignment="1">
      <alignment horizontal="right"/>
    </xf>
    <xf numFmtId="2" fontId="18" fillId="0" borderId="0" xfId="0" applyNumberFormat="1" applyFont="1" applyFill="1"/>
    <xf numFmtId="2" fontId="4" fillId="0" borderId="0" xfId="0" applyNumberFormat="1" applyFont="1" applyAlignment="1">
      <alignment horizontal="center" vertical="center" wrapText="1"/>
    </xf>
    <xf numFmtId="2" fontId="0" fillId="0" borderId="0" xfId="0" applyNumberFormat="1" applyFont="1" applyAlignment="1">
      <alignment horizontal="right"/>
    </xf>
    <xf numFmtId="167" fontId="0" fillId="0" borderId="0" xfId="0" applyNumberFormat="1" applyFill="1"/>
    <xf numFmtId="167" fontId="10" fillId="0" borderId="2" xfId="0" applyNumberFormat="1" applyFont="1" applyFill="1" applyBorder="1" applyAlignment="1">
      <alignment horizontal="center" wrapText="1"/>
    </xf>
    <xf numFmtId="167" fontId="0" fillId="0" borderId="0" xfId="0" applyNumberFormat="1" applyFont="1" applyFill="1" applyAlignment="1">
      <alignment horizontal="right"/>
    </xf>
    <xf numFmtId="1" fontId="0" fillId="0" borderId="0" xfId="0" applyNumberFormat="1"/>
    <xf numFmtId="1" fontId="10" fillId="0" borderId="2" xfId="0" applyNumberFormat="1" applyFont="1" applyBorder="1" applyAlignment="1">
      <alignment horizontal="center" wrapText="1"/>
    </xf>
    <xf numFmtId="1" fontId="0" fillId="0" borderId="0" xfId="0" applyNumberFormat="1" applyFont="1" applyAlignment="1">
      <alignment horizontal="right"/>
    </xf>
    <xf numFmtId="1" fontId="0" fillId="2" borderId="0" xfId="0" applyNumberFormat="1" applyFill="1" applyAlignment="1">
      <alignment horizontal="center"/>
    </xf>
    <xf numFmtId="1" fontId="4" fillId="0" borderId="0" xfId="0" applyNumberFormat="1" applyFont="1" applyAlignment="1">
      <alignment horizontal="center" vertical="center" wrapText="1"/>
    </xf>
    <xf numFmtId="1" fontId="0" fillId="4" borderId="0" xfId="0" applyNumberFormat="1" applyFill="1" applyAlignment="1">
      <alignment horizontal="center"/>
    </xf>
    <xf numFmtId="14" fontId="0" fillId="0" borderId="0" xfId="0" applyNumberFormat="1"/>
    <xf numFmtId="168" fontId="0" fillId="0" borderId="0" xfId="0" applyNumberFormat="1" applyAlignment="1">
      <alignment horizontal="right"/>
    </xf>
    <xf numFmtId="0" fontId="10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center"/>
    </xf>
    <xf numFmtId="0" fontId="17" fillId="0" borderId="0" xfId="0" quotePrefix="1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0" fillId="2" borderId="0" xfId="0" applyFont="1" applyFill="1" applyAlignment="1">
      <alignment horizontal="center"/>
    </xf>
    <xf numFmtId="0" fontId="0" fillId="0" borderId="0" xfId="0" applyAlignment="1"/>
    <xf numFmtId="0" fontId="10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10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5" fillId="0" borderId="1" xfId="0" applyFont="1" applyBorder="1" applyAlignment="1">
      <alignment horizontal="center" vertical="center"/>
    </xf>
  </cellXfs>
  <cellStyles count="1">
    <cellStyle name="Normal" xfId="0" builtinId="0"/>
  </cellStyles>
  <dxfs count="11"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EB9C"/>
      <color rgb="FFFFC7CE"/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yVal>
            <c:numRef>
              <c:f>RawData!$B$2:$B$726</c:f>
              <c:numCache>
                <c:formatCode>General</c:formatCode>
                <c:ptCount val="725"/>
                <c:pt idx="0">
                  <c:v>20000</c:v>
                </c:pt>
                <c:pt idx="1">
                  <c:v>20000</c:v>
                </c:pt>
                <c:pt idx="2">
                  <c:v>19980</c:v>
                </c:pt>
                <c:pt idx="3">
                  <c:v>19980</c:v>
                </c:pt>
                <c:pt idx="4">
                  <c:v>19980</c:v>
                </c:pt>
                <c:pt idx="5">
                  <c:v>20000</c:v>
                </c:pt>
                <c:pt idx="6">
                  <c:v>20000</c:v>
                </c:pt>
                <c:pt idx="7">
                  <c:v>20020</c:v>
                </c:pt>
                <c:pt idx="8">
                  <c:v>20020</c:v>
                </c:pt>
                <c:pt idx="9">
                  <c:v>20020</c:v>
                </c:pt>
                <c:pt idx="10">
                  <c:v>20000</c:v>
                </c:pt>
                <c:pt idx="11">
                  <c:v>20000</c:v>
                </c:pt>
                <c:pt idx="12">
                  <c:v>20020</c:v>
                </c:pt>
                <c:pt idx="13">
                  <c:v>20020</c:v>
                </c:pt>
                <c:pt idx="14">
                  <c:v>20020</c:v>
                </c:pt>
                <c:pt idx="15">
                  <c:v>20000</c:v>
                </c:pt>
                <c:pt idx="16">
                  <c:v>19980</c:v>
                </c:pt>
                <c:pt idx="17">
                  <c:v>20040</c:v>
                </c:pt>
                <c:pt idx="18">
                  <c:v>20020</c:v>
                </c:pt>
                <c:pt idx="19">
                  <c:v>20020</c:v>
                </c:pt>
                <c:pt idx="20">
                  <c:v>20000</c:v>
                </c:pt>
                <c:pt idx="21">
                  <c:v>20000</c:v>
                </c:pt>
                <c:pt idx="22">
                  <c:v>20040</c:v>
                </c:pt>
                <c:pt idx="23">
                  <c:v>20000</c:v>
                </c:pt>
                <c:pt idx="24">
                  <c:v>20040</c:v>
                </c:pt>
                <c:pt idx="25">
                  <c:v>20020</c:v>
                </c:pt>
                <c:pt idx="26">
                  <c:v>20000</c:v>
                </c:pt>
                <c:pt idx="27">
                  <c:v>19980</c:v>
                </c:pt>
                <c:pt idx="28">
                  <c:v>20000</c:v>
                </c:pt>
                <c:pt idx="29">
                  <c:v>19980</c:v>
                </c:pt>
                <c:pt idx="30">
                  <c:v>20000</c:v>
                </c:pt>
                <c:pt idx="31">
                  <c:v>19980</c:v>
                </c:pt>
                <c:pt idx="32">
                  <c:v>20020</c:v>
                </c:pt>
                <c:pt idx="33">
                  <c:v>19980</c:v>
                </c:pt>
                <c:pt idx="34">
                  <c:v>20020</c:v>
                </c:pt>
                <c:pt idx="35">
                  <c:v>20040</c:v>
                </c:pt>
                <c:pt idx="36">
                  <c:v>20040</c:v>
                </c:pt>
                <c:pt idx="37">
                  <c:v>20040</c:v>
                </c:pt>
                <c:pt idx="38">
                  <c:v>20040</c:v>
                </c:pt>
                <c:pt idx="39">
                  <c:v>20020</c:v>
                </c:pt>
                <c:pt idx="40">
                  <c:v>20040</c:v>
                </c:pt>
                <c:pt idx="41">
                  <c:v>20020</c:v>
                </c:pt>
                <c:pt idx="42">
                  <c:v>20020</c:v>
                </c:pt>
                <c:pt idx="43">
                  <c:v>20020</c:v>
                </c:pt>
                <c:pt idx="44">
                  <c:v>20040</c:v>
                </c:pt>
                <c:pt idx="45">
                  <c:v>20040</c:v>
                </c:pt>
                <c:pt idx="46">
                  <c:v>20060</c:v>
                </c:pt>
                <c:pt idx="47">
                  <c:v>20020</c:v>
                </c:pt>
                <c:pt idx="48">
                  <c:v>20060</c:v>
                </c:pt>
                <c:pt idx="49">
                  <c:v>19980</c:v>
                </c:pt>
                <c:pt idx="50">
                  <c:v>20000</c:v>
                </c:pt>
                <c:pt idx="51">
                  <c:v>20020</c:v>
                </c:pt>
                <c:pt idx="52">
                  <c:v>19980</c:v>
                </c:pt>
                <c:pt idx="53">
                  <c:v>19980</c:v>
                </c:pt>
                <c:pt idx="54">
                  <c:v>20000</c:v>
                </c:pt>
                <c:pt idx="55">
                  <c:v>20000</c:v>
                </c:pt>
                <c:pt idx="56">
                  <c:v>20020</c:v>
                </c:pt>
                <c:pt idx="57">
                  <c:v>20020</c:v>
                </c:pt>
                <c:pt idx="58">
                  <c:v>19980</c:v>
                </c:pt>
                <c:pt idx="59">
                  <c:v>20000</c:v>
                </c:pt>
                <c:pt idx="60">
                  <c:v>20020</c:v>
                </c:pt>
                <c:pt idx="61">
                  <c:v>19980</c:v>
                </c:pt>
                <c:pt idx="62">
                  <c:v>20020</c:v>
                </c:pt>
                <c:pt idx="63">
                  <c:v>20020</c:v>
                </c:pt>
                <c:pt idx="64">
                  <c:v>20020</c:v>
                </c:pt>
                <c:pt idx="65">
                  <c:v>20000</c:v>
                </c:pt>
                <c:pt idx="66">
                  <c:v>20000</c:v>
                </c:pt>
                <c:pt idx="67">
                  <c:v>20020</c:v>
                </c:pt>
                <c:pt idx="68">
                  <c:v>20000</c:v>
                </c:pt>
                <c:pt idx="69">
                  <c:v>20020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20040</c:v>
                </c:pt>
                <c:pt idx="74">
                  <c:v>20020</c:v>
                </c:pt>
                <c:pt idx="75">
                  <c:v>20000</c:v>
                </c:pt>
                <c:pt idx="76">
                  <c:v>20000</c:v>
                </c:pt>
                <c:pt idx="77">
                  <c:v>20000</c:v>
                </c:pt>
                <c:pt idx="78">
                  <c:v>20000</c:v>
                </c:pt>
                <c:pt idx="79">
                  <c:v>20000</c:v>
                </c:pt>
                <c:pt idx="80">
                  <c:v>20000</c:v>
                </c:pt>
                <c:pt idx="81">
                  <c:v>20000</c:v>
                </c:pt>
                <c:pt idx="82">
                  <c:v>20020</c:v>
                </c:pt>
                <c:pt idx="83">
                  <c:v>20020</c:v>
                </c:pt>
                <c:pt idx="84">
                  <c:v>19980</c:v>
                </c:pt>
                <c:pt idx="85">
                  <c:v>20000</c:v>
                </c:pt>
                <c:pt idx="86">
                  <c:v>20020</c:v>
                </c:pt>
                <c:pt idx="87">
                  <c:v>20040</c:v>
                </c:pt>
                <c:pt idx="88">
                  <c:v>20020</c:v>
                </c:pt>
                <c:pt idx="89">
                  <c:v>20020</c:v>
                </c:pt>
                <c:pt idx="90">
                  <c:v>20000</c:v>
                </c:pt>
                <c:pt idx="91">
                  <c:v>19980</c:v>
                </c:pt>
                <c:pt idx="92">
                  <c:v>20020</c:v>
                </c:pt>
                <c:pt idx="93">
                  <c:v>20000</c:v>
                </c:pt>
                <c:pt idx="94">
                  <c:v>20020</c:v>
                </c:pt>
                <c:pt idx="95">
                  <c:v>20000</c:v>
                </c:pt>
                <c:pt idx="96">
                  <c:v>20000</c:v>
                </c:pt>
                <c:pt idx="97">
                  <c:v>20020</c:v>
                </c:pt>
                <c:pt idx="98">
                  <c:v>20020</c:v>
                </c:pt>
                <c:pt idx="99">
                  <c:v>19980</c:v>
                </c:pt>
                <c:pt idx="100">
                  <c:v>20040</c:v>
                </c:pt>
                <c:pt idx="101">
                  <c:v>20000</c:v>
                </c:pt>
                <c:pt idx="102">
                  <c:v>20020</c:v>
                </c:pt>
                <c:pt idx="103">
                  <c:v>20020</c:v>
                </c:pt>
                <c:pt idx="104">
                  <c:v>20000</c:v>
                </c:pt>
                <c:pt idx="105">
                  <c:v>20020</c:v>
                </c:pt>
                <c:pt idx="106">
                  <c:v>19980</c:v>
                </c:pt>
                <c:pt idx="107">
                  <c:v>20020</c:v>
                </c:pt>
                <c:pt idx="108">
                  <c:v>19980</c:v>
                </c:pt>
                <c:pt idx="109">
                  <c:v>20000</c:v>
                </c:pt>
                <c:pt idx="110">
                  <c:v>19980</c:v>
                </c:pt>
                <c:pt idx="111">
                  <c:v>20020</c:v>
                </c:pt>
                <c:pt idx="112">
                  <c:v>20020</c:v>
                </c:pt>
                <c:pt idx="113">
                  <c:v>20000</c:v>
                </c:pt>
                <c:pt idx="114">
                  <c:v>20000</c:v>
                </c:pt>
                <c:pt idx="115">
                  <c:v>20020</c:v>
                </c:pt>
                <c:pt idx="116">
                  <c:v>20020</c:v>
                </c:pt>
                <c:pt idx="117">
                  <c:v>20000</c:v>
                </c:pt>
                <c:pt idx="118">
                  <c:v>20000</c:v>
                </c:pt>
                <c:pt idx="119">
                  <c:v>19980</c:v>
                </c:pt>
                <c:pt idx="120">
                  <c:v>20000</c:v>
                </c:pt>
                <c:pt idx="121">
                  <c:v>20020</c:v>
                </c:pt>
                <c:pt idx="122">
                  <c:v>20000</c:v>
                </c:pt>
                <c:pt idx="123">
                  <c:v>20000</c:v>
                </c:pt>
                <c:pt idx="124">
                  <c:v>19980</c:v>
                </c:pt>
                <c:pt idx="125">
                  <c:v>20020</c:v>
                </c:pt>
                <c:pt idx="126">
                  <c:v>20020</c:v>
                </c:pt>
                <c:pt idx="127">
                  <c:v>20000</c:v>
                </c:pt>
                <c:pt idx="128">
                  <c:v>20020</c:v>
                </c:pt>
                <c:pt idx="129">
                  <c:v>20000</c:v>
                </c:pt>
                <c:pt idx="130">
                  <c:v>20020</c:v>
                </c:pt>
                <c:pt idx="131">
                  <c:v>20020</c:v>
                </c:pt>
                <c:pt idx="132">
                  <c:v>20040</c:v>
                </c:pt>
                <c:pt idx="133">
                  <c:v>20000</c:v>
                </c:pt>
                <c:pt idx="134">
                  <c:v>20020</c:v>
                </c:pt>
                <c:pt idx="135">
                  <c:v>20020</c:v>
                </c:pt>
                <c:pt idx="136">
                  <c:v>20020</c:v>
                </c:pt>
                <c:pt idx="137">
                  <c:v>20000</c:v>
                </c:pt>
                <c:pt idx="138">
                  <c:v>20000</c:v>
                </c:pt>
                <c:pt idx="139">
                  <c:v>20000</c:v>
                </c:pt>
                <c:pt idx="140">
                  <c:v>20020</c:v>
                </c:pt>
                <c:pt idx="141">
                  <c:v>20040</c:v>
                </c:pt>
                <c:pt idx="142">
                  <c:v>20020</c:v>
                </c:pt>
                <c:pt idx="143">
                  <c:v>20020</c:v>
                </c:pt>
                <c:pt idx="144">
                  <c:v>19980</c:v>
                </c:pt>
                <c:pt idx="145">
                  <c:v>20000</c:v>
                </c:pt>
                <c:pt idx="146">
                  <c:v>20020</c:v>
                </c:pt>
                <c:pt idx="147">
                  <c:v>20000</c:v>
                </c:pt>
                <c:pt idx="148">
                  <c:v>20020</c:v>
                </c:pt>
                <c:pt idx="149">
                  <c:v>20000</c:v>
                </c:pt>
                <c:pt idx="150">
                  <c:v>20000</c:v>
                </c:pt>
                <c:pt idx="151">
                  <c:v>20000</c:v>
                </c:pt>
                <c:pt idx="152">
                  <c:v>20020</c:v>
                </c:pt>
                <c:pt idx="153">
                  <c:v>20000</c:v>
                </c:pt>
                <c:pt idx="154">
                  <c:v>19980</c:v>
                </c:pt>
                <c:pt idx="155">
                  <c:v>20000</c:v>
                </c:pt>
                <c:pt idx="156">
                  <c:v>20020</c:v>
                </c:pt>
                <c:pt idx="157">
                  <c:v>20020</c:v>
                </c:pt>
                <c:pt idx="158">
                  <c:v>19980</c:v>
                </c:pt>
                <c:pt idx="159">
                  <c:v>20000</c:v>
                </c:pt>
                <c:pt idx="160">
                  <c:v>20020</c:v>
                </c:pt>
                <c:pt idx="161">
                  <c:v>20020</c:v>
                </c:pt>
                <c:pt idx="162">
                  <c:v>20020</c:v>
                </c:pt>
                <c:pt idx="163">
                  <c:v>20000</c:v>
                </c:pt>
                <c:pt idx="164">
                  <c:v>20000</c:v>
                </c:pt>
                <c:pt idx="165">
                  <c:v>20020</c:v>
                </c:pt>
                <c:pt idx="166">
                  <c:v>20020</c:v>
                </c:pt>
                <c:pt idx="167">
                  <c:v>20020</c:v>
                </c:pt>
                <c:pt idx="168">
                  <c:v>20020</c:v>
                </c:pt>
                <c:pt idx="169">
                  <c:v>20020</c:v>
                </c:pt>
                <c:pt idx="170">
                  <c:v>20020</c:v>
                </c:pt>
                <c:pt idx="171">
                  <c:v>20000</c:v>
                </c:pt>
                <c:pt idx="172">
                  <c:v>20000</c:v>
                </c:pt>
                <c:pt idx="173">
                  <c:v>20040</c:v>
                </c:pt>
                <c:pt idx="174">
                  <c:v>20020</c:v>
                </c:pt>
                <c:pt idx="175">
                  <c:v>20020</c:v>
                </c:pt>
                <c:pt idx="176">
                  <c:v>20000</c:v>
                </c:pt>
                <c:pt idx="177">
                  <c:v>20020</c:v>
                </c:pt>
                <c:pt idx="178">
                  <c:v>20020</c:v>
                </c:pt>
                <c:pt idx="179">
                  <c:v>20000</c:v>
                </c:pt>
                <c:pt idx="180">
                  <c:v>20020</c:v>
                </c:pt>
                <c:pt idx="181">
                  <c:v>20020</c:v>
                </c:pt>
                <c:pt idx="182">
                  <c:v>19980</c:v>
                </c:pt>
                <c:pt idx="183">
                  <c:v>20020</c:v>
                </c:pt>
                <c:pt idx="184">
                  <c:v>20020</c:v>
                </c:pt>
                <c:pt idx="185">
                  <c:v>20000</c:v>
                </c:pt>
                <c:pt idx="186">
                  <c:v>20000</c:v>
                </c:pt>
                <c:pt idx="187">
                  <c:v>20000</c:v>
                </c:pt>
                <c:pt idx="188">
                  <c:v>19980</c:v>
                </c:pt>
                <c:pt idx="189">
                  <c:v>19980</c:v>
                </c:pt>
                <c:pt idx="190">
                  <c:v>20000</c:v>
                </c:pt>
                <c:pt idx="191">
                  <c:v>20000</c:v>
                </c:pt>
                <c:pt idx="192">
                  <c:v>20000</c:v>
                </c:pt>
                <c:pt idx="193">
                  <c:v>20020</c:v>
                </c:pt>
                <c:pt idx="194">
                  <c:v>20000</c:v>
                </c:pt>
                <c:pt idx="195">
                  <c:v>20000</c:v>
                </c:pt>
                <c:pt idx="196">
                  <c:v>20020</c:v>
                </c:pt>
                <c:pt idx="197">
                  <c:v>20000</c:v>
                </c:pt>
                <c:pt idx="198">
                  <c:v>20000</c:v>
                </c:pt>
                <c:pt idx="199">
                  <c:v>20020</c:v>
                </c:pt>
                <c:pt idx="200">
                  <c:v>20020</c:v>
                </c:pt>
                <c:pt idx="201">
                  <c:v>19980</c:v>
                </c:pt>
                <c:pt idx="202">
                  <c:v>20000</c:v>
                </c:pt>
                <c:pt idx="203">
                  <c:v>20020</c:v>
                </c:pt>
                <c:pt idx="204">
                  <c:v>20020</c:v>
                </c:pt>
                <c:pt idx="205">
                  <c:v>19980</c:v>
                </c:pt>
                <c:pt idx="206">
                  <c:v>20000</c:v>
                </c:pt>
                <c:pt idx="207">
                  <c:v>20040</c:v>
                </c:pt>
                <c:pt idx="208">
                  <c:v>20000</c:v>
                </c:pt>
                <c:pt idx="209">
                  <c:v>19980</c:v>
                </c:pt>
                <c:pt idx="210">
                  <c:v>20020</c:v>
                </c:pt>
                <c:pt idx="211">
                  <c:v>20020</c:v>
                </c:pt>
                <c:pt idx="212">
                  <c:v>20000</c:v>
                </c:pt>
                <c:pt idx="213">
                  <c:v>19980</c:v>
                </c:pt>
                <c:pt idx="214">
                  <c:v>20020</c:v>
                </c:pt>
                <c:pt idx="215">
                  <c:v>20020</c:v>
                </c:pt>
                <c:pt idx="216">
                  <c:v>20020</c:v>
                </c:pt>
                <c:pt idx="217">
                  <c:v>20000</c:v>
                </c:pt>
                <c:pt idx="218">
                  <c:v>20000</c:v>
                </c:pt>
                <c:pt idx="219">
                  <c:v>20040</c:v>
                </c:pt>
                <c:pt idx="220">
                  <c:v>20000</c:v>
                </c:pt>
                <c:pt idx="221">
                  <c:v>20020</c:v>
                </c:pt>
                <c:pt idx="222">
                  <c:v>20000</c:v>
                </c:pt>
                <c:pt idx="223">
                  <c:v>20020</c:v>
                </c:pt>
                <c:pt idx="224">
                  <c:v>20000</c:v>
                </c:pt>
                <c:pt idx="225">
                  <c:v>20020</c:v>
                </c:pt>
                <c:pt idx="226">
                  <c:v>20020</c:v>
                </c:pt>
                <c:pt idx="227">
                  <c:v>20000</c:v>
                </c:pt>
                <c:pt idx="228">
                  <c:v>20020</c:v>
                </c:pt>
                <c:pt idx="229">
                  <c:v>19980</c:v>
                </c:pt>
                <c:pt idx="230">
                  <c:v>20020</c:v>
                </c:pt>
                <c:pt idx="231">
                  <c:v>20020</c:v>
                </c:pt>
                <c:pt idx="232">
                  <c:v>20000</c:v>
                </c:pt>
                <c:pt idx="233">
                  <c:v>20020</c:v>
                </c:pt>
                <c:pt idx="234">
                  <c:v>20020</c:v>
                </c:pt>
                <c:pt idx="235">
                  <c:v>20020</c:v>
                </c:pt>
                <c:pt idx="236">
                  <c:v>19980</c:v>
                </c:pt>
                <c:pt idx="237">
                  <c:v>20020</c:v>
                </c:pt>
                <c:pt idx="238">
                  <c:v>20020</c:v>
                </c:pt>
                <c:pt idx="239">
                  <c:v>20020</c:v>
                </c:pt>
                <c:pt idx="240">
                  <c:v>19980</c:v>
                </c:pt>
                <c:pt idx="241">
                  <c:v>20020</c:v>
                </c:pt>
                <c:pt idx="242">
                  <c:v>20020</c:v>
                </c:pt>
                <c:pt idx="243">
                  <c:v>20020</c:v>
                </c:pt>
                <c:pt idx="244">
                  <c:v>20000</c:v>
                </c:pt>
                <c:pt idx="245">
                  <c:v>20000</c:v>
                </c:pt>
                <c:pt idx="246">
                  <c:v>20020</c:v>
                </c:pt>
                <c:pt idx="247">
                  <c:v>19980</c:v>
                </c:pt>
                <c:pt idx="248">
                  <c:v>20000</c:v>
                </c:pt>
                <c:pt idx="249">
                  <c:v>19980</c:v>
                </c:pt>
                <c:pt idx="250">
                  <c:v>20020</c:v>
                </c:pt>
                <c:pt idx="251">
                  <c:v>20000</c:v>
                </c:pt>
                <c:pt idx="252">
                  <c:v>20020</c:v>
                </c:pt>
                <c:pt idx="253">
                  <c:v>19980</c:v>
                </c:pt>
                <c:pt idx="254">
                  <c:v>20000</c:v>
                </c:pt>
                <c:pt idx="255">
                  <c:v>20040</c:v>
                </c:pt>
                <c:pt idx="256">
                  <c:v>20020</c:v>
                </c:pt>
                <c:pt idx="257">
                  <c:v>20000</c:v>
                </c:pt>
                <c:pt idx="258">
                  <c:v>20020</c:v>
                </c:pt>
                <c:pt idx="259">
                  <c:v>19980</c:v>
                </c:pt>
                <c:pt idx="260">
                  <c:v>20000</c:v>
                </c:pt>
                <c:pt idx="261">
                  <c:v>20000</c:v>
                </c:pt>
                <c:pt idx="262">
                  <c:v>20020</c:v>
                </c:pt>
                <c:pt idx="263">
                  <c:v>20000</c:v>
                </c:pt>
                <c:pt idx="264">
                  <c:v>20000</c:v>
                </c:pt>
                <c:pt idx="265">
                  <c:v>20000</c:v>
                </c:pt>
                <c:pt idx="266">
                  <c:v>20020</c:v>
                </c:pt>
                <c:pt idx="267">
                  <c:v>20000</c:v>
                </c:pt>
                <c:pt idx="268">
                  <c:v>20000</c:v>
                </c:pt>
                <c:pt idx="269">
                  <c:v>19980</c:v>
                </c:pt>
                <c:pt idx="270">
                  <c:v>20000</c:v>
                </c:pt>
                <c:pt idx="271">
                  <c:v>20000</c:v>
                </c:pt>
                <c:pt idx="272">
                  <c:v>20020</c:v>
                </c:pt>
                <c:pt idx="273">
                  <c:v>20020</c:v>
                </c:pt>
                <c:pt idx="274">
                  <c:v>20020</c:v>
                </c:pt>
                <c:pt idx="275">
                  <c:v>20020</c:v>
                </c:pt>
                <c:pt idx="276">
                  <c:v>20000</c:v>
                </c:pt>
                <c:pt idx="277">
                  <c:v>20000</c:v>
                </c:pt>
                <c:pt idx="278">
                  <c:v>20020</c:v>
                </c:pt>
                <c:pt idx="279">
                  <c:v>20000</c:v>
                </c:pt>
                <c:pt idx="280">
                  <c:v>19980</c:v>
                </c:pt>
                <c:pt idx="281">
                  <c:v>20040</c:v>
                </c:pt>
                <c:pt idx="282">
                  <c:v>19980</c:v>
                </c:pt>
                <c:pt idx="283">
                  <c:v>20020</c:v>
                </c:pt>
                <c:pt idx="284">
                  <c:v>20020</c:v>
                </c:pt>
                <c:pt idx="285">
                  <c:v>20040</c:v>
                </c:pt>
                <c:pt idx="286">
                  <c:v>20020</c:v>
                </c:pt>
                <c:pt idx="287">
                  <c:v>20020</c:v>
                </c:pt>
                <c:pt idx="288">
                  <c:v>20000</c:v>
                </c:pt>
                <c:pt idx="289">
                  <c:v>20000</c:v>
                </c:pt>
                <c:pt idx="290">
                  <c:v>20020</c:v>
                </c:pt>
                <c:pt idx="291">
                  <c:v>20000</c:v>
                </c:pt>
                <c:pt idx="292">
                  <c:v>19980</c:v>
                </c:pt>
                <c:pt idx="293">
                  <c:v>20020</c:v>
                </c:pt>
                <c:pt idx="294">
                  <c:v>19980</c:v>
                </c:pt>
                <c:pt idx="295">
                  <c:v>19980</c:v>
                </c:pt>
                <c:pt idx="296">
                  <c:v>20000</c:v>
                </c:pt>
                <c:pt idx="297">
                  <c:v>20000</c:v>
                </c:pt>
                <c:pt idx="298">
                  <c:v>20020</c:v>
                </c:pt>
                <c:pt idx="299">
                  <c:v>20020</c:v>
                </c:pt>
                <c:pt idx="300">
                  <c:v>20020</c:v>
                </c:pt>
                <c:pt idx="301">
                  <c:v>20000</c:v>
                </c:pt>
                <c:pt idx="302">
                  <c:v>20040</c:v>
                </c:pt>
                <c:pt idx="303">
                  <c:v>19980</c:v>
                </c:pt>
                <c:pt idx="304">
                  <c:v>20060</c:v>
                </c:pt>
                <c:pt idx="305">
                  <c:v>20000</c:v>
                </c:pt>
                <c:pt idx="306">
                  <c:v>20000</c:v>
                </c:pt>
                <c:pt idx="307">
                  <c:v>20020</c:v>
                </c:pt>
                <c:pt idx="308">
                  <c:v>20000</c:v>
                </c:pt>
                <c:pt idx="309">
                  <c:v>20040</c:v>
                </c:pt>
                <c:pt idx="310">
                  <c:v>20000</c:v>
                </c:pt>
                <c:pt idx="311">
                  <c:v>19980</c:v>
                </c:pt>
                <c:pt idx="312">
                  <c:v>20000</c:v>
                </c:pt>
                <c:pt idx="313">
                  <c:v>20020</c:v>
                </c:pt>
                <c:pt idx="314">
                  <c:v>20020</c:v>
                </c:pt>
                <c:pt idx="315">
                  <c:v>20000</c:v>
                </c:pt>
                <c:pt idx="316">
                  <c:v>20000</c:v>
                </c:pt>
                <c:pt idx="317">
                  <c:v>20040</c:v>
                </c:pt>
                <c:pt idx="318">
                  <c:v>19980</c:v>
                </c:pt>
                <c:pt idx="319">
                  <c:v>20040</c:v>
                </c:pt>
                <c:pt idx="320">
                  <c:v>20040</c:v>
                </c:pt>
                <c:pt idx="321">
                  <c:v>19980</c:v>
                </c:pt>
                <c:pt idx="322">
                  <c:v>20020</c:v>
                </c:pt>
                <c:pt idx="323">
                  <c:v>20020</c:v>
                </c:pt>
                <c:pt idx="324">
                  <c:v>20020</c:v>
                </c:pt>
                <c:pt idx="325">
                  <c:v>20020</c:v>
                </c:pt>
                <c:pt idx="326">
                  <c:v>20000</c:v>
                </c:pt>
                <c:pt idx="327">
                  <c:v>20000</c:v>
                </c:pt>
                <c:pt idx="328">
                  <c:v>19980</c:v>
                </c:pt>
                <c:pt idx="329">
                  <c:v>19980</c:v>
                </c:pt>
                <c:pt idx="330">
                  <c:v>19980</c:v>
                </c:pt>
                <c:pt idx="331">
                  <c:v>20040</c:v>
                </c:pt>
                <c:pt idx="332">
                  <c:v>20000</c:v>
                </c:pt>
                <c:pt idx="333">
                  <c:v>20020</c:v>
                </c:pt>
                <c:pt idx="334">
                  <c:v>20000</c:v>
                </c:pt>
                <c:pt idx="335">
                  <c:v>20020</c:v>
                </c:pt>
                <c:pt idx="336">
                  <c:v>20000</c:v>
                </c:pt>
                <c:pt idx="337">
                  <c:v>20000</c:v>
                </c:pt>
                <c:pt idx="338">
                  <c:v>20040</c:v>
                </c:pt>
                <c:pt idx="339">
                  <c:v>20000</c:v>
                </c:pt>
                <c:pt idx="340">
                  <c:v>20020</c:v>
                </c:pt>
                <c:pt idx="341">
                  <c:v>20020</c:v>
                </c:pt>
                <c:pt idx="342">
                  <c:v>20000</c:v>
                </c:pt>
                <c:pt idx="343">
                  <c:v>20000</c:v>
                </c:pt>
                <c:pt idx="344">
                  <c:v>20020</c:v>
                </c:pt>
                <c:pt idx="345">
                  <c:v>20000</c:v>
                </c:pt>
                <c:pt idx="346">
                  <c:v>20000</c:v>
                </c:pt>
                <c:pt idx="347">
                  <c:v>20000</c:v>
                </c:pt>
                <c:pt idx="348">
                  <c:v>20020</c:v>
                </c:pt>
                <c:pt idx="349">
                  <c:v>20000</c:v>
                </c:pt>
                <c:pt idx="350">
                  <c:v>20020</c:v>
                </c:pt>
                <c:pt idx="351">
                  <c:v>20000</c:v>
                </c:pt>
                <c:pt idx="352">
                  <c:v>20020</c:v>
                </c:pt>
                <c:pt idx="353">
                  <c:v>20000</c:v>
                </c:pt>
                <c:pt idx="354">
                  <c:v>20000</c:v>
                </c:pt>
                <c:pt idx="355">
                  <c:v>20020</c:v>
                </c:pt>
                <c:pt idx="356">
                  <c:v>20020</c:v>
                </c:pt>
                <c:pt idx="357">
                  <c:v>20000</c:v>
                </c:pt>
                <c:pt idx="358">
                  <c:v>20020</c:v>
                </c:pt>
                <c:pt idx="359">
                  <c:v>20000</c:v>
                </c:pt>
                <c:pt idx="360">
                  <c:v>19980</c:v>
                </c:pt>
                <c:pt idx="361">
                  <c:v>20020</c:v>
                </c:pt>
                <c:pt idx="362">
                  <c:v>19980</c:v>
                </c:pt>
                <c:pt idx="363">
                  <c:v>20000</c:v>
                </c:pt>
                <c:pt idx="364">
                  <c:v>20020</c:v>
                </c:pt>
                <c:pt idx="365">
                  <c:v>20000</c:v>
                </c:pt>
                <c:pt idx="366">
                  <c:v>20000</c:v>
                </c:pt>
                <c:pt idx="367">
                  <c:v>20000</c:v>
                </c:pt>
                <c:pt idx="368">
                  <c:v>20020</c:v>
                </c:pt>
                <c:pt idx="369">
                  <c:v>20000</c:v>
                </c:pt>
                <c:pt idx="370">
                  <c:v>20000</c:v>
                </c:pt>
                <c:pt idx="371">
                  <c:v>20000</c:v>
                </c:pt>
                <c:pt idx="372">
                  <c:v>20020</c:v>
                </c:pt>
                <c:pt idx="373">
                  <c:v>19980</c:v>
                </c:pt>
                <c:pt idx="374">
                  <c:v>19980</c:v>
                </c:pt>
                <c:pt idx="375">
                  <c:v>20020</c:v>
                </c:pt>
                <c:pt idx="376">
                  <c:v>20020</c:v>
                </c:pt>
                <c:pt idx="377">
                  <c:v>19980</c:v>
                </c:pt>
                <c:pt idx="378">
                  <c:v>20000</c:v>
                </c:pt>
                <c:pt idx="379">
                  <c:v>20000</c:v>
                </c:pt>
                <c:pt idx="380">
                  <c:v>20000</c:v>
                </c:pt>
                <c:pt idx="381">
                  <c:v>20000</c:v>
                </c:pt>
                <c:pt idx="382">
                  <c:v>20000</c:v>
                </c:pt>
                <c:pt idx="383">
                  <c:v>20000</c:v>
                </c:pt>
                <c:pt idx="384">
                  <c:v>20000</c:v>
                </c:pt>
                <c:pt idx="385">
                  <c:v>20000</c:v>
                </c:pt>
                <c:pt idx="386">
                  <c:v>20020</c:v>
                </c:pt>
                <c:pt idx="387">
                  <c:v>19980</c:v>
                </c:pt>
                <c:pt idx="388">
                  <c:v>19980</c:v>
                </c:pt>
                <c:pt idx="389">
                  <c:v>20000</c:v>
                </c:pt>
                <c:pt idx="390">
                  <c:v>19980</c:v>
                </c:pt>
                <c:pt idx="391">
                  <c:v>20020</c:v>
                </c:pt>
                <c:pt idx="392">
                  <c:v>20000</c:v>
                </c:pt>
                <c:pt idx="393">
                  <c:v>20020</c:v>
                </c:pt>
                <c:pt idx="394">
                  <c:v>20020</c:v>
                </c:pt>
                <c:pt idx="395">
                  <c:v>20000</c:v>
                </c:pt>
                <c:pt idx="396">
                  <c:v>20000</c:v>
                </c:pt>
                <c:pt idx="397">
                  <c:v>20000</c:v>
                </c:pt>
                <c:pt idx="398">
                  <c:v>20000</c:v>
                </c:pt>
                <c:pt idx="399">
                  <c:v>20020</c:v>
                </c:pt>
                <c:pt idx="400">
                  <c:v>20020</c:v>
                </c:pt>
                <c:pt idx="401">
                  <c:v>19980</c:v>
                </c:pt>
                <c:pt idx="402">
                  <c:v>20020</c:v>
                </c:pt>
                <c:pt idx="403">
                  <c:v>19980</c:v>
                </c:pt>
                <c:pt idx="404">
                  <c:v>20020</c:v>
                </c:pt>
                <c:pt idx="405">
                  <c:v>19980</c:v>
                </c:pt>
                <c:pt idx="406">
                  <c:v>20000</c:v>
                </c:pt>
                <c:pt idx="407">
                  <c:v>19980</c:v>
                </c:pt>
                <c:pt idx="408">
                  <c:v>20000</c:v>
                </c:pt>
                <c:pt idx="409">
                  <c:v>19980</c:v>
                </c:pt>
                <c:pt idx="410">
                  <c:v>20000</c:v>
                </c:pt>
                <c:pt idx="411">
                  <c:v>20000</c:v>
                </c:pt>
                <c:pt idx="412">
                  <c:v>20020</c:v>
                </c:pt>
                <c:pt idx="413">
                  <c:v>20000</c:v>
                </c:pt>
                <c:pt idx="414">
                  <c:v>20000</c:v>
                </c:pt>
                <c:pt idx="415">
                  <c:v>19980</c:v>
                </c:pt>
                <c:pt idx="416">
                  <c:v>20020</c:v>
                </c:pt>
                <c:pt idx="417">
                  <c:v>20000</c:v>
                </c:pt>
                <c:pt idx="418">
                  <c:v>20040</c:v>
                </c:pt>
                <c:pt idx="419">
                  <c:v>20000</c:v>
                </c:pt>
                <c:pt idx="420">
                  <c:v>20000</c:v>
                </c:pt>
                <c:pt idx="421">
                  <c:v>20000</c:v>
                </c:pt>
                <c:pt idx="422">
                  <c:v>20020</c:v>
                </c:pt>
                <c:pt idx="423">
                  <c:v>20000</c:v>
                </c:pt>
                <c:pt idx="424">
                  <c:v>20020</c:v>
                </c:pt>
                <c:pt idx="425">
                  <c:v>19980</c:v>
                </c:pt>
                <c:pt idx="426">
                  <c:v>20040</c:v>
                </c:pt>
                <c:pt idx="427">
                  <c:v>20040</c:v>
                </c:pt>
                <c:pt idx="428">
                  <c:v>20040</c:v>
                </c:pt>
                <c:pt idx="429">
                  <c:v>20000</c:v>
                </c:pt>
                <c:pt idx="430">
                  <c:v>20040</c:v>
                </c:pt>
                <c:pt idx="431">
                  <c:v>19980</c:v>
                </c:pt>
                <c:pt idx="432">
                  <c:v>20040</c:v>
                </c:pt>
                <c:pt idx="433">
                  <c:v>20000</c:v>
                </c:pt>
                <c:pt idx="434">
                  <c:v>20020</c:v>
                </c:pt>
                <c:pt idx="435">
                  <c:v>20000</c:v>
                </c:pt>
                <c:pt idx="436">
                  <c:v>20020</c:v>
                </c:pt>
                <c:pt idx="437">
                  <c:v>20020</c:v>
                </c:pt>
                <c:pt idx="438">
                  <c:v>20000</c:v>
                </c:pt>
                <c:pt idx="439">
                  <c:v>20020</c:v>
                </c:pt>
                <c:pt idx="440">
                  <c:v>20040</c:v>
                </c:pt>
                <c:pt idx="441">
                  <c:v>20020</c:v>
                </c:pt>
                <c:pt idx="442">
                  <c:v>20000</c:v>
                </c:pt>
                <c:pt idx="443">
                  <c:v>20000</c:v>
                </c:pt>
                <c:pt idx="444">
                  <c:v>20020</c:v>
                </c:pt>
                <c:pt idx="445">
                  <c:v>20020</c:v>
                </c:pt>
                <c:pt idx="446">
                  <c:v>20000</c:v>
                </c:pt>
                <c:pt idx="447">
                  <c:v>19980</c:v>
                </c:pt>
                <c:pt idx="448">
                  <c:v>20000</c:v>
                </c:pt>
                <c:pt idx="449">
                  <c:v>20020</c:v>
                </c:pt>
                <c:pt idx="450">
                  <c:v>20020</c:v>
                </c:pt>
                <c:pt idx="451">
                  <c:v>20020</c:v>
                </c:pt>
                <c:pt idx="452">
                  <c:v>20020</c:v>
                </c:pt>
                <c:pt idx="453">
                  <c:v>20000</c:v>
                </c:pt>
                <c:pt idx="454">
                  <c:v>20000</c:v>
                </c:pt>
                <c:pt idx="455">
                  <c:v>20020</c:v>
                </c:pt>
                <c:pt idx="456">
                  <c:v>20020</c:v>
                </c:pt>
                <c:pt idx="457">
                  <c:v>20020</c:v>
                </c:pt>
                <c:pt idx="458">
                  <c:v>20000</c:v>
                </c:pt>
                <c:pt idx="459">
                  <c:v>20020</c:v>
                </c:pt>
                <c:pt idx="460">
                  <c:v>20000</c:v>
                </c:pt>
                <c:pt idx="461">
                  <c:v>20020</c:v>
                </c:pt>
                <c:pt idx="462">
                  <c:v>20040</c:v>
                </c:pt>
                <c:pt idx="463">
                  <c:v>20020</c:v>
                </c:pt>
                <c:pt idx="464">
                  <c:v>19960</c:v>
                </c:pt>
                <c:pt idx="465">
                  <c:v>20000</c:v>
                </c:pt>
                <c:pt idx="466">
                  <c:v>20020</c:v>
                </c:pt>
                <c:pt idx="467">
                  <c:v>20000</c:v>
                </c:pt>
                <c:pt idx="468">
                  <c:v>20000</c:v>
                </c:pt>
                <c:pt idx="469">
                  <c:v>19980</c:v>
                </c:pt>
                <c:pt idx="470">
                  <c:v>20000</c:v>
                </c:pt>
                <c:pt idx="471">
                  <c:v>19980</c:v>
                </c:pt>
                <c:pt idx="472">
                  <c:v>19980</c:v>
                </c:pt>
                <c:pt idx="473">
                  <c:v>20000</c:v>
                </c:pt>
                <c:pt idx="474">
                  <c:v>19980</c:v>
                </c:pt>
                <c:pt idx="475">
                  <c:v>20000</c:v>
                </c:pt>
                <c:pt idx="476">
                  <c:v>20020</c:v>
                </c:pt>
                <c:pt idx="477">
                  <c:v>20000</c:v>
                </c:pt>
                <c:pt idx="478">
                  <c:v>19980</c:v>
                </c:pt>
                <c:pt idx="479">
                  <c:v>20000</c:v>
                </c:pt>
                <c:pt idx="480">
                  <c:v>20000</c:v>
                </c:pt>
                <c:pt idx="481">
                  <c:v>20040</c:v>
                </c:pt>
                <c:pt idx="482">
                  <c:v>20020</c:v>
                </c:pt>
                <c:pt idx="483">
                  <c:v>19980</c:v>
                </c:pt>
                <c:pt idx="484">
                  <c:v>20000</c:v>
                </c:pt>
                <c:pt idx="485">
                  <c:v>20040</c:v>
                </c:pt>
                <c:pt idx="486">
                  <c:v>20020</c:v>
                </c:pt>
                <c:pt idx="487">
                  <c:v>20000</c:v>
                </c:pt>
                <c:pt idx="488">
                  <c:v>20000</c:v>
                </c:pt>
                <c:pt idx="489">
                  <c:v>20020</c:v>
                </c:pt>
                <c:pt idx="490">
                  <c:v>20020</c:v>
                </c:pt>
                <c:pt idx="491">
                  <c:v>20020</c:v>
                </c:pt>
                <c:pt idx="492">
                  <c:v>20020</c:v>
                </c:pt>
                <c:pt idx="493">
                  <c:v>20000</c:v>
                </c:pt>
                <c:pt idx="494">
                  <c:v>20000</c:v>
                </c:pt>
                <c:pt idx="495">
                  <c:v>20000</c:v>
                </c:pt>
                <c:pt idx="496">
                  <c:v>20020</c:v>
                </c:pt>
                <c:pt idx="497">
                  <c:v>19980</c:v>
                </c:pt>
                <c:pt idx="498">
                  <c:v>20020</c:v>
                </c:pt>
                <c:pt idx="499">
                  <c:v>20000</c:v>
                </c:pt>
                <c:pt idx="500">
                  <c:v>20000</c:v>
                </c:pt>
                <c:pt idx="501">
                  <c:v>19980</c:v>
                </c:pt>
                <c:pt idx="502">
                  <c:v>20020</c:v>
                </c:pt>
                <c:pt idx="503">
                  <c:v>20020</c:v>
                </c:pt>
                <c:pt idx="504">
                  <c:v>20020</c:v>
                </c:pt>
                <c:pt idx="505">
                  <c:v>20000</c:v>
                </c:pt>
                <c:pt idx="506">
                  <c:v>20000</c:v>
                </c:pt>
                <c:pt idx="507">
                  <c:v>20000</c:v>
                </c:pt>
                <c:pt idx="508">
                  <c:v>20000</c:v>
                </c:pt>
                <c:pt idx="509">
                  <c:v>20020</c:v>
                </c:pt>
                <c:pt idx="510">
                  <c:v>20000</c:v>
                </c:pt>
                <c:pt idx="511">
                  <c:v>19980</c:v>
                </c:pt>
                <c:pt idx="512">
                  <c:v>20040</c:v>
                </c:pt>
                <c:pt idx="513">
                  <c:v>20040</c:v>
                </c:pt>
                <c:pt idx="514">
                  <c:v>20020</c:v>
                </c:pt>
                <c:pt idx="515">
                  <c:v>20020</c:v>
                </c:pt>
                <c:pt idx="516">
                  <c:v>20020</c:v>
                </c:pt>
                <c:pt idx="517">
                  <c:v>19980</c:v>
                </c:pt>
                <c:pt idx="518">
                  <c:v>20020</c:v>
                </c:pt>
                <c:pt idx="519">
                  <c:v>20020</c:v>
                </c:pt>
                <c:pt idx="520">
                  <c:v>19980</c:v>
                </c:pt>
                <c:pt idx="521">
                  <c:v>20040</c:v>
                </c:pt>
                <c:pt idx="522">
                  <c:v>20020</c:v>
                </c:pt>
                <c:pt idx="523">
                  <c:v>20020</c:v>
                </c:pt>
                <c:pt idx="524">
                  <c:v>20020</c:v>
                </c:pt>
                <c:pt idx="525">
                  <c:v>20000</c:v>
                </c:pt>
                <c:pt idx="526">
                  <c:v>19980</c:v>
                </c:pt>
                <c:pt idx="527">
                  <c:v>20000</c:v>
                </c:pt>
                <c:pt idx="528">
                  <c:v>20020</c:v>
                </c:pt>
                <c:pt idx="529">
                  <c:v>19980</c:v>
                </c:pt>
                <c:pt idx="530">
                  <c:v>20020</c:v>
                </c:pt>
                <c:pt idx="531">
                  <c:v>20000</c:v>
                </c:pt>
                <c:pt idx="532">
                  <c:v>20040</c:v>
                </c:pt>
                <c:pt idx="533">
                  <c:v>20000</c:v>
                </c:pt>
                <c:pt idx="534">
                  <c:v>20020</c:v>
                </c:pt>
                <c:pt idx="535">
                  <c:v>20020</c:v>
                </c:pt>
                <c:pt idx="536">
                  <c:v>20020</c:v>
                </c:pt>
                <c:pt idx="537">
                  <c:v>20040</c:v>
                </c:pt>
                <c:pt idx="538">
                  <c:v>20000</c:v>
                </c:pt>
                <c:pt idx="539">
                  <c:v>20020</c:v>
                </c:pt>
                <c:pt idx="540">
                  <c:v>19980</c:v>
                </c:pt>
                <c:pt idx="541">
                  <c:v>19980</c:v>
                </c:pt>
                <c:pt idx="542">
                  <c:v>19980</c:v>
                </c:pt>
                <c:pt idx="543">
                  <c:v>20060</c:v>
                </c:pt>
                <c:pt idx="544">
                  <c:v>20020</c:v>
                </c:pt>
                <c:pt idx="545">
                  <c:v>20000</c:v>
                </c:pt>
                <c:pt idx="546">
                  <c:v>20000</c:v>
                </c:pt>
                <c:pt idx="547">
                  <c:v>20020</c:v>
                </c:pt>
                <c:pt idx="548">
                  <c:v>20000</c:v>
                </c:pt>
                <c:pt idx="549">
                  <c:v>20040</c:v>
                </c:pt>
                <c:pt idx="550">
                  <c:v>20000</c:v>
                </c:pt>
                <c:pt idx="551">
                  <c:v>20020</c:v>
                </c:pt>
                <c:pt idx="552">
                  <c:v>20000</c:v>
                </c:pt>
                <c:pt idx="553">
                  <c:v>20020</c:v>
                </c:pt>
                <c:pt idx="554">
                  <c:v>20000</c:v>
                </c:pt>
                <c:pt idx="555">
                  <c:v>20000</c:v>
                </c:pt>
                <c:pt idx="556">
                  <c:v>20000</c:v>
                </c:pt>
                <c:pt idx="557">
                  <c:v>20020</c:v>
                </c:pt>
                <c:pt idx="558">
                  <c:v>20000</c:v>
                </c:pt>
                <c:pt idx="559">
                  <c:v>19980</c:v>
                </c:pt>
                <c:pt idx="560">
                  <c:v>20000</c:v>
                </c:pt>
                <c:pt idx="561">
                  <c:v>20020</c:v>
                </c:pt>
                <c:pt idx="562">
                  <c:v>20000</c:v>
                </c:pt>
                <c:pt idx="563">
                  <c:v>19980</c:v>
                </c:pt>
                <c:pt idx="564">
                  <c:v>20000</c:v>
                </c:pt>
                <c:pt idx="565">
                  <c:v>19980</c:v>
                </c:pt>
                <c:pt idx="566">
                  <c:v>20000</c:v>
                </c:pt>
                <c:pt idx="567">
                  <c:v>19980</c:v>
                </c:pt>
                <c:pt idx="568">
                  <c:v>20020</c:v>
                </c:pt>
                <c:pt idx="569">
                  <c:v>20000</c:v>
                </c:pt>
                <c:pt idx="570">
                  <c:v>20020</c:v>
                </c:pt>
                <c:pt idx="571">
                  <c:v>20000</c:v>
                </c:pt>
                <c:pt idx="572">
                  <c:v>20020</c:v>
                </c:pt>
                <c:pt idx="573">
                  <c:v>20000</c:v>
                </c:pt>
                <c:pt idx="574">
                  <c:v>19980</c:v>
                </c:pt>
                <c:pt idx="575">
                  <c:v>20040</c:v>
                </c:pt>
                <c:pt idx="576">
                  <c:v>20000</c:v>
                </c:pt>
                <c:pt idx="577">
                  <c:v>20000</c:v>
                </c:pt>
                <c:pt idx="578">
                  <c:v>19980</c:v>
                </c:pt>
                <c:pt idx="579">
                  <c:v>20000</c:v>
                </c:pt>
                <c:pt idx="580">
                  <c:v>19980</c:v>
                </c:pt>
                <c:pt idx="581">
                  <c:v>20040</c:v>
                </c:pt>
                <c:pt idx="582">
                  <c:v>20020</c:v>
                </c:pt>
                <c:pt idx="583">
                  <c:v>19980</c:v>
                </c:pt>
                <c:pt idx="584">
                  <c:v>20000</c:v>
                </c:pt>
                <c:pt idx="585">
                  <c:v>20000</c:v>
                </c:pt>
                <c:pt idx="586">
                  <c:v>20000</c:v>
                </c:pt>
                <c:pt idx="587">
                  <c:v>20000</c:v>
                </c:pt>
                <c:pt idx="588">
                  <c:v>20020</c:v>
                </c:pt>
                <c:pt idx="589">
                  <c:v>20000</c:v>
                </c:pt>
                <c:pt idx="590">
                  <c:v>20000</c:v>
                </c:pt>
                <c:pt idx="591">
                  <c:v>20020</c:v>
                </c:pt>
                <c:pt idx="592">
                  <c:v>20020</c:v>
                </c:pt>
                <c:pt idx="593">
                  <c:v>20000</c:v>
                </c:pt>
                <c:pt idx="594">
                  <c:v>20000</c:v>
                </c:pt>
                <c:pt idx="595">
                  <c:v>19980</c:v>
                </c:pt>
                <c:pt idx="596">
                  <c:v>20020</c:v>
                </c:pt>
                <c:pt idx="597">
                  <c:v>20000</c:v>
                </c:pt>
                <c:pt idx="598">
                  <c:v>20000</c:v>
                </c:pt>
                <c:pt idx="599">
                  <c:v>20020</c:v>
                </c:pt>
                <c:pt idx="600">
                  <c:v>20040</c:v>
                </c:pt>
                <c:pt idx="601">
                  <c:v>20020</c:v>
                </c:pt>
                <c:pt idx="602">
                  <c:v>20020</c:v>
                </c:pt>
                <c:pt idx="603">
                  <c:v>20020</c:v>
                </c:pt>
                <c:pt idx="604">
                  <c:v>20020</c:v>
                </c:pt>
                <c:pt idx="605">
                  <c:v>20000</c:v>
                </c:pt>
                <c:pt idx="606">
                  <c:v>20020</c:v>
                </c:pt>
                <c:pt idx="607">
                  <c:v>20000</c:v>
                </c:pt>
                <c:pt idx="608">
                  <c:v>20020</c:v>
                </c:pt>
                <c:pt idx="609">
                  <c:v>20020</c:v>
                </c:pt>
                <c:pt idx="610">
                  <c:v>20000</c:v>
                </c:pt>
                <c:pt idx="611">
                  <c:v>20020</c:v>
                </c:pt>
                <c:pt idx="612">
                  <c:v>20000</c:v>
                </c:pt>
                <c:pt idx="613">
                  <c:v>20060</c:v>
                </c:pt>
                <c:pt idx="614">
                  <c:v>20000</c:v>
                </c:pt>
                <c:pt idx="615">
                  <c:v>20040</c:v>
                </c:pt>
                <c:pt idx="616">
                  <c:v>20020</c:v>
                </c:pt>
                <c:pt idx="617">
                  <c:v>20000</c:v>
                </c:pt>
                <c:pt idx="618">
                  <c:v>20040</c:v>
                </c:pt>
                <c:pt idx="619">
                  <c:v>20000</c:v>
                </c:pt>
                <c:pt idx="620">
                  <c:v>20040</c:v>
                </c:pt>
                <c:pt idx="621">
                  <c:v>20020</c:v>
                </c:pt>
                <c:pt idx="622">
                  <c:v>20020</c:v>
                </c:pt>
                <c:pt idx="623">
                  <c:v>19980</c:v>
                </c:pt>
                <c:pt idx="624">
                  <c:v>20040</c:v>
                </c:pt>
                <c:pt idx="625">
                  <c:v>20020</c:v>
                </c:pt>
                <c:pt idx="626">
                  <c:v>20020</c:v>
                </c:pt>
                <c:pt idx="627">
                  <c:v>20020</c:v>
                </c:pt>
                <c:pt idx="628">
                  <c:v>20000</c:v>
                </c:pt>
                <c:pt idx="629">
                  <c:v>20000</c:v>
                </c:pt>
                <c:pt idx="630">
                  <c:v>19980</c:v>
                </c:pt>
                <c:pt idx="631">
                  <c:v>20000</c:v>
                </c:pt>
                <c:pt idx="632">
                  <c:v>20040</c:v>
                </c:pt>
                <c:pt idx="633">
                  <c:v>20020</c:v>
                </c:pt>
                <c:pt idx="634">
                  <c:v>19980</c:v>
                </c:pt>
                <c:pt idx="635">
                  <c:v>19960</c:v>
                </c:pt>
                <c:pt idx="636">
                  <c:v>20040</c:v>
                </c:pt>
                <c:pt idx="637">
                  <c:v>19960</c:v>
                </c:pt>
                <c:pt idx="638">
                  <c:v>20040</c:v>
                </c:pt>
                <c:pt idx="639">
                  <c:v>20020</c:v>
                </c:pt>
                <c:pt idx="640">
                  <c:v>20020</c:v>
                </c:pt>
                <c:pt idx="641">
                  <c:v>20020</c:v>
                </c:pt>
                <c:pt idx="642">
                  <c:v>19980</c:v>
                </c:pt>
                <c:pt idx="643">
                  <c:v>20020</c:v>
                </c:pt>
                <c:pt idx="644">
                  <c:v>19980</c:v>
                </c:pt>
                <c:pt idx="645">
                  <c:v>20020</c:v>
                </c:pt>
                <c:pt idx="646">
                  <c:v>20020</c:v>
                </c:pt>
                <c:pt idx="647">
                  <c:v>20020</c:v>
                </c:pt>
                <c:pt idx="648">
                  <c:v>20040</c:v>
                </c:pt>
                <c:pt idx="649">
                  <c:v>20000</c:v>
                </c:pt>
                <c:pt idx="650">
                  <c:v>20020</c:v>
                </c:pt>
                <c:pt idx="651">
                  <c:v>20000</c:v>
                </c:pt>
                <c:pt idx="652">
                  <c:v>20020</c:v>
                </c:pt>
                <c:pt idx="653">
                  <c:v>19980</c:v>
                </c:pt>
                <c:pt idx="654">
                  <c:v>20020</c:v>
                </c:pt>
                <c:pt idx="655">
                  <c:v>19980</c:v>
                </c:pt>
                <c:pt idx="656">
                  <c:v>20000</c:v>
                </c:pt>
                <c:pt idx="657">
                  <c:v>20040</c:v>
                </c:pt>
                <c:pt idx="658">
                  <c:v>20020</c:v>
                </c:pt>
                <c:pt idx="659">
                  <c:v>20000</c:v>
                </c:pt>
                <c:pt idx="660">
                  <c:v>19980</c:v>
                </c:pt>
                <c:pt idx="661">
                  <c:v>20020</c:v>
                </c:pt>
                <c:pt idx="662">
                  <c:v>20020</c:v>
                </c:pt>
                <c:pt idx="663">
                  <c:v>20000</c:v>
                </c:pt>
                <c:pt idx="664">
                  <c:v>20020</c:v>
                </c:pt>
                <c:pt idx="665">
                  <c:v>19980</c:v>
                </c:pt>
                <c:pt idx="666">
                  <c:v>20000</c:v>
                </c:pt>
                <c:pt idx="667">
                  <c:v>20040</c:v>
                </c:pt>
                <c:pt idx="668">
                  <c:v>19980</c:v>
                </c:pt>
                <c:pt idx="669">
                  <c:v>20040</c:v>
                </c:pt>
                <c:pt idx="670">
                  <c:v>20040</c:v>
                </c:pt>
                <c:pt idx="671">
                  <c:v>19980</c:v>
                </c:pt>
                <c:pt idx="672">
                  <c:v>20020</c:v>
                </c:pt>
                <c:pt idx="673">
                  <c:v>20000</c:v>
                </c:pt>
                <c:pt idx="674">
                  <c:v>20000</c:v>
                </c:pt>
                <c:pt idx="675">
                  <c:v>20020</c:v>
                </c:pt>
                <c:pt idx="676">
                  <c:v>20000</c:v>
                </c:pt>
                <c:pt idx="677">
                  <c:v>20000</c:v>
                </c:pt>
                <c:pt idx="678">
                  <c:v>19980</c:v>
                </c:pt>
                <c:pt idx="679">
                  <c:v>20000</c:v>
                </c:pt>
                <c:pt idx="680">
                  <c:v>20080</c:v>
                </c:pt>
                <c:pt idx="681">
                  <c:v>19980</c:v>
                </c:pt>
                <c:pt idx="682">
                  <c:v>20000</c:v>
                </c:pt>
                <c:pt idx="683">
                  <c:v>20000</c:v>
                </c:pt>
                <c:pt idx="684">
                  <c:v>20000</c:v>
                </c:pt>
                <c:pt idx="685">
                  <c:v>20000</c:v>
                </c:pt>
                <c:pt idx="686">
                  <c:v>19960</c:v>
                </c:pt>
                <c:pt idx="687">
                  <c:v>20000</c:v>
                </c:pt>
                <c:pt idx="688">
                  <c:v>20000</c:v>
                </c:pt>
                <c:pt idx="689">
                  <c:v>19980</c:v>
                </c:pt>
                <c:pt idx="690">
                  <c:v>20000</c:v>
                </c:pt>
                <c:pt idx="691">
                  <c:v>19980</c:v>
                </c:pt>
                <c:pt idx="692">
                  <c:v>19980</c:v>
                </c:pt>
                <c:pt idx="693">
                  <c:v>20000</c:v>
                </c:pt>
                <c:pt idx="694">
                  <c:v>20000</c:v>
                </c:pt>
                <c:pt idx="695">
                  <c:v>20020</c:v>
                </c:pt>
                <c:pt idx="696">
                  <c:v>20000</c:v>
                </c:pt>
                <c:pt idx="697">
                  <c:v>20020</c:v>
                </c:pt>
                <c:pt idx="698">
                  <c:v>20040</c:v>
                </c:pt>
                <c:pt idx="699">
                  <c:v>20020</c:v>
                </c:pt>
                <c:pt idx="700">
                  <c:v>19980</c:v>
                </c:pt>
                <c:pt idx="701">
                  <c:v>20020</c:v>
                </c:pt>
                <c:pt idx="702">
                  <c:v>20000</c:v>
                </c:pt>
                <c:pt idx="703">
                  <c:v>20000</c:v>
                </c:pt>
                <c:pt idx="704">
                  <c:v>20000</c:v>
                </c:pt>
                <c:pt idx="705">
                  <c:v>20040</c:v>
                </c:pt>
                <c:pt idx="706">
                  <c:v>20000</c:v>
                </c:pt>
                <c:pt idx="707">
                  <c:v>20020</c:v>
                </c:pt>
                <c:pt idx="708">
                  <c:v>20020</c:v>
                </c:pt>
                <c:pt idx="709">
                  <c:v>20000</c:v>
                </c:pt>
                <c:pt idx="710">
                  <c:v>20000</c:v>
                </c:pt>
                <c:pt idx="711">
                  <c:v>20040</c:v>
                </c:pt>
                <c:pt idx="712">
                  <c:v>20000</c:v>
                </c:pt>
                <c:pt idx="713">
                  <c:v>20000</c:v>
                </c:pt>
                <c:pt idx="714">
                  <c:v>20020</c:v>
                </c:pt>
                <c:pt idx="715">
                  <c:v>20020</c:v>
                </c:pt>
                <c:pt idx="716">
                  <c:v>19980</c:v>
                </c:pt>
                <c:pt idx="717">
                  <c:v>19980</c:v>
                </c:pt>
                <c:pt idx="718">
                  <c:v>20040</c:v>
                </c:pt>
                <c:pt idx="719">
                  <c:v>19980</c:v>
                </c:pt>
                <c:pt idx="720">
                  <c:v>20000</c:v>
                </c:pt>
                <c:pt idx="721">
                  <c:v>20040</c:v>
                </c:pt>
                <c:pt idx="722">
                  <c:v>20020</c:v>
                </c:pt>
                <c:pt idx="723">
                  <c:v>20020</c:v>
                </c:pt>
                <c:pt idx="724">
                  <c:v>20000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174784"/>
        <c:axId val="203750016"/>
      </c:scatterChart>
      <c:valAx>
        <c:axId val="217174784"/>
        <c:scaling>
          <c:orientation val="minMax"/>
        </c:scaling>
        <c:delete val="0"/>
        <c:axPos val="b"/>
        <c:majorTickMark val="out"/>
        <c:minorTickMark val="none"/>
        <c:tickLblPos val="nextTo"/>
        <c:crossAx val="203750016"/>
        <c:crosses val="autoZero"/>
        <c:crossBetween val="midCat"/>
      </c:valAx>
      <c:valAx>
        <c:axId val="2037500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17478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0</xdr:row>
          <xdr:rowOff>38100</xdr:rowOff>
        </xdr:from>
        <xdr:to>
          <xdr:col>7</xdr:col>
          <xdr:colOff>161925</xdr:colOff>
          <xdr:row>0</xdr:row>
          <xdr:rowOff>276225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Actualizeaza Lista Loturi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2</xdr:col>
          <xdr:colOff>0</xdr:colOff>
          <xdr:row>0</xdr:row>
          <xdr:rowOff>285750</xdr:rowOff>
        </xdr:to>
        <xdr:sp macro="" textlink="">
          <xdr:nvSpPr>
            <xdr:cNvPr id="2050" name="cbFileSelect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406400</xdr:colOff>
      <xdr:row>30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test_1" refreshOnLoad="1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739"/>
  <sheetViews>
    <sheetView tabSelected="1" zoomScaleNormal="100" zoomScaleSheetLayoutView="130" workbookViewId="0">
      <selection activeCell="C1" sqref="C1"/>
    </sheetView>
  </sheetViews>
  <sheetFormatPr defaultRowHeight="15" x14ac:dyDescent="0.25"/>
  <cols>
    <col min="1" max="1" width="34.7109375" customWidth="1"/>
    <col min="2" max="2" width="58.140625" style="7" customWidth="1"/>
    <col min="3" max="3" width="3.140625" style="4" bestFit="1" customWidth="1"/>
    <col min="4" max="4" width="1.5703125" style="4" customWidth="1"/>
    <col min="5" max="5" width="6.42578125" style="7" customWidth="1"/>
    <col min="6" max="6" width="10" style="49" customWidth="1"/>
    <col min="7" max="7" width="10.140625" style="7" customWidth="1"/>
    <col min="8" max="8" width="14.7109375" style="3" customWidth="1"/>
    <col min="9" max="9" width="11" style="64" customWidth="1"/>
    <col min="10" max="10" width="10.85546875" style="7" customWidth="1"/>
    <col min="11" max="11" width="11.5703125" style="3" customWidth="1"/>
    <col min="12" max="12" width="6.42578125" customWidth="1"/>
    <col min="13" max="13" width="14.85546875" style="3" bestFit="1" customWidth="1"/>
    <col min="14" max="14" width="11.28515625" style="3" bestFit="1" customWidth="1"/>
    <col min="15" max="15" width="6.42578125" style="64" customWidth="1"/>
    <col min="16" max="16" width="14.85546875" style="55" bestFit="1" customWidth="1"/>
    <col min="17" max="17" width="16" style="61" bestFit="1" customWidth="1"/>
    <col min="18" max="18" width="12" style="54" bestFit="1" customWidth="1"/>
    <col min="19" max="19" width="3" bestFit="1" customWidth="1"/>
    <col min="20" max="20" width="8.5703125" bestFit="1" customWidth="1"/>
    <col min="21" max="21" width="10.5703125" bestFit="1" customWidth="1"/>
    <col min="22" max="22" width="9.5703125" bestFit="1" customWidth="1"/>
    <col min="23" max="23" width="11.42578125" customWidth="1"/>
  </cols>
  <sheetData>
    <row r="1" spans="1:18" ht="24" customHeight="1" x14ac:dyDescent="0.25"/>
    <row r="2" spans="1:18" ht="38.25" customHeight="1" x14ac:dyDescent="0.25">
      <c r="A2" s="75" t="str">
        <f>IF(AND(OR(ES1_Status = "Ok",ES1_Status = "ES2 Necesar"), ES2_Status &lt;&gt; "Not Ok", ES3_Status = "Ok"), "Lot Acceptat","Lot Respins")</f>
        <v>Lot Acceptat</v>
      </c>
      <c r="B2" s="76"/>
      <c r="C2" s="5"/>
      <c r="D2" s="5"/>
      <c r="E2" s="3"/>
      <c r="F2" s="50" t="s">
        <v>62</v>
      </c>
      <c r="G2" s="30" t="s">
        <v>44</v>
      </c>
      <c r="H2" s="30" t="s">
        <v>46</v>
      </c>
      <c r="I2" s="68" t="s">
        <v>45</v>
      </c>
      <c r="J2" s="59" t="s">
        <v>47</v>
      </c>
    </row>
    <row r="3" spans="1:18" x14ac:dyDescent="0.25">
      <c r="A3" s="2" t="s">
        <v>2</v>
      </c>
      <c r="B3" s="7" t="str">
        <f>RawData!E1</f>
        <v>Margarina aluat si creme 80%</v>
      </c>
      <c r="C3" s="3"/>
      <c r="D3" s="3"/>
      <c r="E3" s="3" t="s">
        <v>63</v>
      </c>
      <c r="F3" s="67">
        <f>IF(ML&lt;=100,ML,IF(ML&gt;3201,80, IF(ML&gt;=501,50, IF(ML&gt;100,30,ML))))</f>
        <v>50</v>
      </c>
      <c r="G3" s="32">
        <f>IF(ML=30,1, IF(ML=50,2, IF(ML=80,3,1)))</f>
        <v>1</v>
      </c>
      <c r="H3" s="35">
        <f>COUNTIF(K:K, "Not Ok")</f>
        <v>0</v>
      </c>
      <c r="I3" s="67">
        <f>IF(ML=30,3, IF(ML=50,5, IF(ML=80,7,3)))</f>
        <v>3</v>
      </c>
      <c r="J3" s="7" t="str">
        <f>IF(ML=0,"Not Ok",IF(CA_1&gt;=RN_1,"Ok",IF(RN_1&gt;=CR_1,"Not Ok",IF(ES_1=ML,"Not Ok","ES2 Necesar"))))</f>
        <v>Ok</v>
      </c>
    </row>
    <row r="4" spans="1:18" x14ac:dyDescent="0.25">
      <c r="A4" s="2" t="s">
        <v>1</v>
      </c>
      <c r="B4" s="22">
        <f>RawData!D1</f>
        <v>200042</v>
      </c>
      <c r="C4" s="3"/>
      <c r="D4" s="3"/>
      <c r="E4" s="3" t="s">
        <v>64</v>
      </c>
      <c r="F4" s="67">
        <v>0</v>
      </c>
      <c r="G4" s="33" t="str">
        <f>IF(ES1_Status="ES2 Necesar",IF(ML=30,4, IF(ML=50,6, IF(ML=80,8,4))),"")</f>
        <v/>
      </c>
      <c r="H4" s="36" t="str">
        <f>IF(ES1_Status="ES2 Necesar",COUNTIF(N:N, "Not Ok"),"")</f>
        <v/>
      </c>
      <c r="I4" s="69" t="str">
        <f>IF(ES1_Status="ES2 Necesar",IF(ML=30,5, IF(ML=50,7, IF(ML=80,9,5))),"")</f>
        <v/>
      </c>
      <c r="J4" s="7" t="str">
        <f>IF(ES1_Status="ES2 Necesar",IF(RN_1+RN_2&lt;=CA_2,"Ok","Not Ok"),"")</f>
        <v/>
      </c>
    </row>
    <row r="5" spans="1:18" x14ac:dyDescent="0.25">
      <c r="A5" s="2" t="s">
        <v>9</v>
      </c>
      <c r="B5" s="71">
        <f>RawData!I1</f>
        <v>43502</v>
      </c>
      <c r="E5" s="3" t="s">
        <v>65</v>
      </c>
      <c r="F5" s="67">
        <v>50</v>
      </c>
      <c r="G5" s="74"/>
      <c r="H5" s="74"/>
      <c r="I5" s="74"/>
      <c r="J5" s="7" t="str">
        <f>IF(ES_3=0,"Not Ok",IF(Xi&gt;=QnES3 - 0.379 * s,"Ok","Not Ok"))</f>
        <v>Ok</v>
      </c>
    </row>
    <row r="6" spans="1:18" x14ac:dyDescent="0.25">
      <c r="A6" s="2" t="s">
        <v>7</v>
      </c>
      <c r="B6" s="22">
        <v>727</v>
      </c>
      <c r="C6" s="3"/>
      <c r="D6" s="3"/>
      <c r="E6"/>
      <c r="F6" s="51"/>
      <c r="K6" s="37"/>
    </row>
    <row r="7" spans="1:18" x14ac:dyDescent="0.25">
      <c r="A7" s="2" t="s">
        <v>4</v>
      </c>
      <c r="B7" s="7">
        <f>IF(ISERROR(VALUE(RawData!G1)), LEFT(RawData!G1, FIND("Kg",RawData!G1)-1), RawData!G1/1000)</f>
        <v>20</v>
      </c>
      <c r="C7" s="3" t="s">
        <v>0</v>
      </c>
      <c r="D7" s="3"/>
      <c r="E7"/>
      <c r="H7" s="1"/>
    </row>
    <row r="8" spans="1:18" x14ac:dyDescent="0.25">
      <c r="A8" s="2" t="s">
        <v>3</v>
      </c>
      <c r="B8" s="7" t="str">
        <f>RawData!F1</f>
        <v>Cutie Margarita - 20 Kg</v>
      </c>
      <c r="C8" s="3"/>
      <c r="D8" s="3"/>
      <c r="E8"/>
      <c r="F8" s="51"/>
    </row>
    <row r="9" spans="1:18" x14ac:dyDescent="0.25">
      <c r="A9" t="s">
        <v>5</v>
      </c>
      <c r="B9" s="49">
        <f>IF(ISERROR(VALUE(RawData!H1)), LEFT(RawData!H1, FIND("Kg",RawData!H1)-1), RawData!H1/1000)</f>
        <v>0.39200000000000002</v>
      </c>
      <c r="C9" s="6" t="s">
        <v>0</v>
      </c>
      <c r="E9"/>
      <c r="F9" s="51"/>
    </row>
    <row r="10" spans="1:18" x14ac:dyDescent="0.25">
      <c r="A10" s="2" t="s">
        <v>6</v>
      </c>
      <c r="B10" s="49">
        <v>0.3</v>
      </c>
      <c r="C10" s="6" t="s">
        <v>0</v>
      </c>
      <c r="E10"/>
      <c r="F10" s="51"/>
    </row>
    <row r="11" spans="1:18" x14ac:dyDescent="0.25">
      <c r="A11" s="2" t="s">
        <v>8</v>
      </c>
      <c r="B11" s="49">
        <f>Qn-ENT</f>
        <v>19.7</v>
      </c>
      <c r="C11" s="6" t="s">
        <v>0</v>
      </c>
      <c r="D11" s="6"/>
      <c r="E11" s="77" t="s">
        <v>58</v>
      </c>
      <c r="F11" s="78"/>
      <c r="G11" s="78"/>
      <c r="H11" s="78"/>
      <c r="I11" s="79" t="s">
        <v>59</v>
      </c>
      <c r="J11" s="80"/>
      <c r="K11" s="80"/>
      <c r="L11" s="81" t="s">
        <v>60</v>
      </c>
      <c r="M11" s="82"/>
      <c r="N11" s="82"/>
      <c r="O11" s="72" t="s">
        <v>61</v>
      </c>
      <c r="P11" s="73"/>
      <c r="Q11" s="73"/>
      <c r="R11" s="73"/>
    </row>
    <row r="12" spans="1:18" ht="90" x14ac:dyDescent="0.25">
      <c r="E12" s="47" t="s">
        <v>48</v>
      </c>
      <c r="F12" s="52" t="s">
        <v>49</v>
      </c>
      <c r="G12" s="47" t="s">
        <v>50</v>
      </c>
      <c r="H12" s="48" t="s">
        <v>88</v>
      </c>
      <c r="I12" s="65" t="s">
        <v>48</v>
      </c>
      <c r="J12" s="48" t="s">
        <v>72</v>
      </c>
      <c r="K12" s="47" t="s">
        <v>52</v>
      </c>
      <c r="L12" s="47" t="s">
        <v>48</v>
      </c>
      <c r="M12" s="47" t="s">
        <v>71</v>
      </c>
      <c r="N12" s="47" t="s">
        <v>53</v>
      </c>
      <c r="O12" s="65" t="s">
        <v>48</v>
      </c>
      <c r="P12" s="56" t="s">
        <v>73</v>
      </c>
      <c r="Q12" s="62" t="s">
        <v>74</v>
      </c>
      <c r="R12" s="53" t="s">
        <v>75</v>
      </c>
    </row>
    <row r="13" spans="1:18" ht="15" customHeight="1" x14ac:dyDescent="0.25">
      <c r="A13" s="2" t="s">
        <v>85</v>
      </c>
      <c r="B13" s="7" t="str">
        <f>ES1_Status</f>
        <v>Ok</v>
      </c>
      <c r="E13">
        <v>1</v>
      </c>
      <c r="F13">
        <v>20.391999999999999</v>
      </c>
      <c r="G13" t="s">
        <v>91</v>
      </c>
      <c r="H13" s="34" t="str">
        <f>IF(Qn-(F13-Ta)&gt;2*ENT,"Fara E","Ok")</f>
        <v>Ok</v>
      </c>
      <c r="I13" s="66">
        <f>E13</f>
        <v>1</v>
      </c>
      <c r="J13" s="60">
        <f>F13-Ta</f>
        <v>20</v>
      </c>
      <c r="K13" s="34" t="str">
        <f>IF(J13&gt;=CMA,"Ok","Not Ok")</f>
        <v>Ok</v>
      </c>
      <c r="L13" s="34"/>
      <c r="M13" s="34"/>
      <c r="N13" s="34"/>
      <c r="O13" s="66">
        <f>E32</f>
        <v>20</v>
      </c>
      <c r="P13" s="57">
        <f>F32-Ta</f>
        <v>20.02</v>
      </c>
      <c r="Q13" s="63">
        <f>P13-Xi</f>
        <v>1.1200000000002319E-2</v>
      </c>
      <c r="R13" s="54">
        <f>POWER(Q13,2)</f>
        <v>1.2544000000005195E-4</v>
      </c>
    </row>
    <row r="14" spans="1:18" ht="14.25" customHeight="1" x14ac:dyDescent="0.25">
      <c r="A14" s="2" t="s">
        <v>86</v>
      </c>
      <c r="B14" s="7" t="str">
        <f>ES2_Status</f>
        <v/>
      </c>
      <c r="E14">
        <v>2</v>
      </c>
      <c r="F14">
        <v>20.391999999999999</v>
      </c>
      <c r="G14" t="s">
        <v>92</v>
      </c>
      <c r="H14" s="34" t="str">
        <f>IF(Qn-(F14-Ta)&gt;2*ENT,"Fara E","Ok")</f>
        <v>Ok</v>
      </c>
      <c r="I14" s="66">
        <f>E19</f>
        <v>7</v>
      </c>
      <c r="J14" s="60">
        <f>F19-Ta</f>
        <v>20</v>
      </c>
      <c r="K14" s="34" t="str">
        <f>IF(J14&gt;=CMA,"Ok","Not Ok")</f>
        <v>Ok</v>
      </c>
      <c r="L14" s="34"/>
      <c r="M14" s="34"/>
      <c r="N14" s="34"/>
      <c r="O14" s="66">
        <f>E46</f>
        <v>34</v>
      </c>
      <c r="P14" s="57">
        <f>F46-Ta</f>
        <v>19.98</v>
      </c>
      <c r="Q14" s="63">
        <f>P14-Xi</f>
        <v>-2.8799999999996828E-2</v>
      </c>
      <c r="R14" s="54">
        <f>POWER(Q14,2)</f>
        <v>8.2943999999981729E-4</v>
      </c>
    </row>
    <row r="15" spans="1:18" x14ac:dyDescent="0.25">
      <c r="A15" s="2" t="s">
        <v>87</v>
      </c>
      <c r="B15" s="7" t="str">
        <f>ES3_Status</f>
        <v>Ok</v>
      </c>
      <c r="E15">
        <v>3</v>
      </c>
      <c r="F15">
        <v>20.372</v>
      </c>
      <c r="G15" t="s">
        <v>93</v>
      </c>
      <c r="H15" s="34" t="str">
        <f>IF(Qn-(F15-Ta)&gt;2*ENT,"Fara E","Ok")</f>
        <v>Ok</v>
      </c>
      <c r="I15" s="66">
        <f>E45</f>
        <v>33</v>
      </c>
      <c r="J15" s="60">
        <f>F45-Ta</f>
        <v>20.02</v>
      </c>
      <c r="K15" s="34" t="str">
        <f>IF(J15&gt;=CMA,"Ok","Not Ok")</f>
        <v>Ok</v>
      </c>
      <c r="L15" s="34"/>
      <c r="M15" s="34"/>
      <c r="N15" s="34"/>
      <c r="O15" s="66">
        <f>E50</f>
        <v>38</v>
      </c>
      <c r="P15" s="57">
        <f>F50-Ta</f>
        <v>20.04</v>
      </c>
      <c r="Q15" s="63">
        <f>P15-Xi</f>
        <v>3.1200000000001893E-2</v>
      </c>
      <c r="R15" s="54">
        <f>POWER(Q15,2)</f>
        <v>9.7344000000011807E-4</v>
      </c>
    </row>
    <row r="16" spans="1:18" ht="14.25" customHeight="1" x14ac:dyDescent="0.25">
      <c r="E16">
        <v>4</v>
      </c>
      <c r="F16">
        <v>20.372</v>
      </c>
      <c r="G16" t="s">
        <v>94</v>
      </c>
      <c r="H16" s="34" t="str">
        <f>IF(Qn-(F16-Ta)&gt;2*ENT,"Fara E","Ok")</f>
        <v>Ok</v>
      </c>
      <c r="I16" s="66">
        <f>E49</f>
        <v>37</v>
      </c>
      <c r="J16" s="60">
        <f>F49-Ta</f>
        <v>20.04</v>
      </c>
      <c r="K16" s="34" t="str">
        <f>IF(J16&gt;=CMA,"Ok","Not Ok")</f>
        <v>Ok</v>
      </c>
      <c r="L16" s="34"/>
      <c r="M16" s="34"/>
      <c r="N16" s="34"/>
      <c r="O16" s="66">
        <f>E52</f>
        <v>40</v>
      </c>
      <c r="P16" s="57">
        <f>F52-Ta</f>
        <v>20.02</v>
      </c>
      <c r="Q16" s="63">
        <f>P16-Xi</f>
        <v>1.1200000000002319E-2</v>
      </c>
      <c r="R16" s="54">
        <f>POWER(Q16,2)</f>
        <v>1.2544000000005195E-4</v>
      </c>
    </row>
    <row r="17" spans="1:18" x14ac:dyDescent="0.25">
      <c r="E17">
        <v>5</v>
      </c>
      <c r="F17">
        <v>20.372</v>
      </c>
      <c r="G17" t="s">
        <v>95</v>
      </c>
      <c r="H17" s="34" t="str">
        <f>IF(Qn-(F17-Ta)&gt;2*ENT,"Fara E","Ok")</f>
        <v>Ok</v>
      </c>
      <c r="I17" s="66">
        <f>E62</f>
        <v>50</v>
      </c>
      <c r="J17" s="60">
        <f>F62-Ta</f>
        <v>19.98</v>
      </c>
      <c r="K17" s="34" t="str">
        <f>IF(J17&gt;=CMA,"Ok","Not Ok")</f>
        <v>Ok</v>
      </c>
      <c r="L17" s="34"/>
      <c r="M17" s="34"/>
      <c r="N17" s="34"/>
      <c r="O17" s="66">
        <f>E66</f>
        <v>54</v>
      </c>
      <c r="P17" s="57">
        <f>F66-Ta</f>
        <v>19.98</v>
      </c>
      <c r="Q17" s="63">
        <f>P17-Xi</f>
        <v>-2.8799999999996828E-2</v>
      </c>
      <c r="R17" s="54">
        <f>POWER(Q17,2)</f>
        <v>8.2943999999981729E-4</v>
      </c>
    </row>
    <row r="18" spans="1:18" ht="15" customHeight="1" x14ac:dyDescent="0.25">
      <c r="A18" s="38" t="s">
        <v>66</v>
      </c>
      <c r="B18" s="39"/>
      <c r="E18">
        <v>6</v>
      </c>
      <c r="F18">
        <v>20.391999999999999</v>
      </c>
      <c r="G18" t="s">
        <v>96</v>
      </c>
      <c r="H18" s="3" t="str">
        <f>IF(Qn-(F18-Ta)&gt;2*ENT,"Fara E","Ok")</f>
        <v>Ok</v>
      </c>
      <c r="I18" s="64">
        <f>E65</f>
        <v>53</v>
      </c>
      <c r="J18" s="7">
        <f>F65-Ta</f>
        <v>19.98</v>
      </c>
      <c r="K18" s="3" t="str">
        <f>IF(J18&gt;=CMA,"Ok","Not Ok")</f>
        <v>Ok</v>
      </c>
      <c r="O18" s="64">
        <f>E88</f>
        <v>76</v>
      </c>
      <c r="P18" s="55">
        <f>F88-Ta</f>
        <v>20</v>
      </c>
      <c r="Q18" s="61">
        <f>P18-Xi</f>
        <v>-8.7999999999972545E-3</v>
      </c>
      <c r="R18" s="54">
        <f>POWER(Q18,2)</f>
        <v>7.7439999999951676E-5</v>
      </c>
    </row>
    <row r="19" spans="1:18" x14ac:dyDescent="0.25">
      <c r="A19" s="45" t="s">
        <v>34</v>
      </c>
      <c r="B19" s="28">
        <f>AVERAGE(P13:P63)</f>
        <v>20.008799999999997</v>
      </c>
      <c r="E19">
        <v>7</v>
      </c>
      <c r="F19">
        <v>20.391999999999999</v>
      </c>
      <c r="G19" t="s">
        <v>97</v>
      </c>
      <c r="H19" s="3" t="str">
        <f>IF(Qn-(F19-Ta)&gt;2*ENT,"Fara E","Ok")</f>
        <v>Ok</v>
      </c>
      <c r="I19" s="64">
        <f>E77</f>
        <v>65</v>
      </c>
      <c r="J19" s="7">
        <f>F77-Ta</f>
        <v>20.02</v>
      </c>
      <c r="K19" s="3" t="str">
        <f>IF(J19&gt;=CMA,"Ok","Not Ok")</f>
        <v>Ok</v>
      </c>
      <c r="O19" s="64">
        <f>E89</f>
        <v>77</v>
      </c>
      <c r="P19" s="58">
        <f>F89-Ta</f>
        <v>20</v>
      </c>
      <c r="Q19" s="61">
        <f>P19-Xi</f>
        <v>-8.7999999999972545E-3</v>
      </c>
      <c r="R19" s="54">
        <f>POWER(Q19,2)</f>
        <v>7.7439999999951676E-5</v>
      </c>
    </row>
    <row r="20" spans="1:18" ht="17.25" x14ac:dyDescent="0.25">
      <c r="A20" s="46" t="s">
        <v>36</v>
      </c>
      <c r="B20" s="28">
        <f>SUM(R13,R62)</f>
        <v>1.09888000000017E-3</v>
      </c>
      <c r="E20">
        <v>8</v>
      </c>
      <c r="F20">
        <v>20.411999999999999</v>
      </c>
      <c r="G20" t="s">
        <v>98</v>
      </c>
      <c r="H20" s="3" t="str">
        <f>IF(Qn-(F20-Ta)&gt;2*ENT,"Fara E","Ok")</f>
        <v>Ok</v>
      </c>
      <c r="I20" s="64">
        <f>E102</f>
        <v>90</v>
      </c>
      <c r="J20" s="7">
        <f>F102-Ta</f>
        <v>20.02</v>
      </c>
      <c r="K20" s="3" t="str">
        <f>IF(J20&gt;=CMA,"Ok","Not Ok")</f>
        <v>Ok</v>
      </c>
      <c r="O20" s="64">
        <f>E94</f>
        <v>82</v>
      </c>
      <c r="P20" s="55">
        <f>F94-Ta</f>
        <v>20</v>
      </c>
      <c r="Q20" s="61">
        <f>P20-Xi</f>
        <v>-8.7999999999972545E-3</v>
      </c>
      <c r="R20" s="54">
        <f>POWER(Q20,2)</f>
        <v>7.7439999999951676E-5</v>
      </c>
    </row>
    <row r="21" spans="1:18" x14ac:dyDescent="0.25">
      <c r="A21" s="29" t="s">
        <v>35</v>
      </c>
      <c r="B21" s="28">
        <f>SQRT(SumOfSquares/(ES_3-1))</f>
        <v>4.7356227097376602E-3</v>
      </c>
      <c r="E21">
        <v>9</v>
      </c>
      <c r="F21">
        <v>20.411999999999999</v>
      </c>
      <c r="G21" t="s">
        <v>99</v>
      </c>
      <c r="H21" s="3" t="str">
        <f>IF(Qn-(F21-Ta)&gt;2*ENT,"Fara E","Ok")</f>
        <v>Ok</v>
      </c>
      <c r="I21" s="64">
        <f>E105</f>
        <v>93</v>
      </c>
      <c r="J21" s="7">
        <f>F105-Ta</f>
        <v>20.02</v>
      </c>
      <c r="K21" s="3" t="str">
        <f>IF(J21&gt;=CMA,"Ok","Not Ok")</f>
        <v>Ok</v>
      </c>
      <c r="O21" s="64">
        <f>E95</f>
        <v>83</v>
      </c>
      <c r="P21" s="55">
        <f>F95-Ta</f>
        <v>20.02</v>
      </c>
      <c r="Q21" s="61">
        <f>P21-Xi</f>
        <v>1.1200000000002319E-2</v>
      </c>
      <c r="R21" s="54">
        <f>POWER(Q21,2)</f>
        <v>1.2544000000005195E-4</v>
      </c>
    </row>
    <row r="22" spans="1:18" x14ac:dyDescent="0.25">
      <c r="A22" s="45" t="s">
        <v>54</v>
      </c>
      <c r="B22" s="28">
        <f>s/SQRT(ES_3)*0.995</f>
        <v>6.6636959530810608E-4</v>
      </c>
      <c r="E22">
        <v>10</v>
      </c>
      <c r="F22">
        <v>20.411999999999999</v>
      </c>
      <c r="G22" t="s">
        <v>100</v>
      </c>
      <c r="H22" s="3" t="str">
        <f>IF(Qn-(F22-Ta)&gt;2*ENT,"Fara E","Ok")</f>
        <v>Ok</v>
      </c>
      <c r="I22" s="64">
        <f>E137</f>
        <v>125</v>
      </c>
      <c r="J22" s="7">
        <f>F137-Ta</f>
        <v>19.98</v>
      </c>
      <c r="K22" s="3" t="str">
        <f>IF(J22&gt;=CMA,"Ok","Not Ok")</f>
        <v>Ok</v>
      </c>
      <c r="O22" s="64">
        <f>E105</f>
        <v>93</v>
      </c>
      <c r="P22" s="55">
        <f>F105-Ta</f>
        <v>20.02</v>
      </c>
      <c r="Q22" s="61">
        <f>P22-Xi</f>
        <v>1.1200000000002319E-2</v>
      </c>
      <c r="R22" s="54">
        <f>POWER(Q22,2)</f>
        <v>1.2544000000005195E-4</v>
      </c>
    </row>
    <row r="23" spans="1:18" x14ac:dyDescent="0.25">
      <c r="A23" s="2"/>
      <c r="E23">
        <v>11</v>
      </c>
      <c r="F23">
        <v>20.391999999999999</v>
      </c>
      <c r="G23"/>
      <c r="H23" s="3" t="str">
        <f>IF(Qn-(F23-Ta)&gt;2*ENT,"Fara E","Ok")</f>
        <v>Ok</v>
      </c>
      <c r="I23" s="64">
        <f>E146</f>
        <v>134</v>
      </c>
      <c r="J23" s="7">
        <f>F146-Ta</f>
        <v>20</v>
      </c>
      <c r="K23" s="3" t="str">
        <f>IF(J23&gt;=CMA,"Ok","Not Ok")</f>
        <v>Ok</v>
      </c>
      <c r="O23" s="64">
        <f>E121</f>
        <v>109</v>
      </c>
      <c r="P23" s="55">
        <f>F121-Ta</f>
        <v>19.98</v>
      </c>
      <c r="Q23" s="61">
        <f>P23-Xi</f>
        <v>-2.8799999999996828E-2</v>
      </c>
      <c r="R23" s="54">
        <f>POWER(Q23,2)</f>
        <v>8.2943999999981729E-4</v>
      </c>
    </row>
    <row r="24" spans="1:18" x14ac:dyDescent="0.25">
      <c r="E24">
        <v>12</v>
      </c>
      <c r="F24">
        <v>20.391999999999999</v>
      </c>
      <c r="G24"/>
      <c r="H24" s="3" t="str">
        <f>IF(Qn-(F24-Ta)&gt;2*ENT,"Fara E","Ok")</f>
        <v>Ok</v>
      </c>
      <c r="I24" s="64">
        <f>E147</f>
        <v>135</v>
      </c>
      <c r="J24" s="7">
        <f>F147-Ta</f>
        <v>20.02</v>
      </c>
      <c r="K24" s="3" t="str">
        <f>IF(J24&gt;=CMA,"Ok","Not Ok")</f>
        <v>Ok</v>
      </c>
      <c r="O24" s="64">
        <f>E160</f>
        <v>148</v>
      </c>
      <c r="P24" s="55">
        <f>F160-Ta</f>
        <v>20</v>
      </c>
      <c r="Q24" s="61">
        <f>P24-Xi</f>
        <v>-8.7999999999972545E-3</v>
      </c>
      <c r="R24" s="54">
        <f>POWER(Q24,2)</f>
        <v>7.7439999999951676E-5</v>
      </c>
    </row>
    <row r="25" spans="1:18" x14ac:dyDescent="0.25">
      <c r="E25">
        <v>13</v>
      </c>
      <c r="F25">
        <v>20.411999999999999</v>
      </c>
      <c r="G25" t="s">
        <v>101</v>
      </c>
      <c r="H25" s="3" t="str">
        <f>IF(Qn-(F25-Ta)&gt;2*ENT,"Fara E","Ok")</f>
        <v>Ok</v>
      </c>
      <c r="I25" s="64">
        <f>E149</f>
        <v>137</v>
      </c>
      <c r="J25" s="7">
        <f>F149-Ta</f>
        <v>20.02</v>
      </c>
      <c r="K25" s="3" t="str">
        <f>IF(J25&gt;=CMA,"Ok","Not Ok")</f>
        <v>Ok</v>
      </c>
      <c r="O25" s="64">
        <f>E185</f>
        <v>173</v>
      </c>
      <c r="P25" s="55">
        <f>F185-Ta</f>
        <v>20</v>
      </c>
      <c r="Q25" s="61">
        <f>P25-Xi</f>
        <v>-8.7999999999972545E-3</v>
      </c>
      <c r="R25" s="54">
        <f>POWER(Q25,2)</f>
        <v>7.7439999999951676E-5</v>
      </c>
    </row>
    <row r="26" spans="1:18" x14ac:dyDescent="0.25">
      <c r="E26">
        <v>14</v>
      </c>
      <c r="F26">
        <v>20.411999999999999</v>
      </c>
      <c r="G26" t="s">
        <v>102</v>
      </c>
      <c r="H26" s="3" t="str">
        <f>IF(Qn-(F26-Ta)&gt;2*ENT,"Fara E","Ok")</f>
        <v>Ok</v>
      </c>
      <c r="I26" s="64">
        <f>E150</f>
        <v>138</v>
      </c>
      <c r="J26" s="7">
        <f>F150-Ta</f>
        <v>20</v>
      </c>
      <c r="K26" s="3" t="str">
        <f>IF(J26&gt;=CMA,"Ok","Not Ok")</f>
        <v>Ok</v>
      </c>
      <c r="O26" s="64">
        <f>E208</f>
        <v>196</v>
      </c>
      <c r="P26" s="55">
        <f>F208-Ta</f>
        <v>20</v>
      </c>
      <c r="Q26" s="61">
        <f>P26-Xi</f>
        <v>-8.7999999999972545E-3</v>
      </c>
      <c r="R26" s="54">
        <f>POWER(Q26,2)</f>
        <v>7.7439999999951676E-5</v>
      </c>
    </row>
    <row r="27" spans="1:18" x14ac:dyDescent="0.25">
      <c r="E27">
        <v>15</v>
      </c>
      <c r="F27">
        <v>20.411999999999999</v>
      </c>
      <c r="G27" t="s">
        <v>103</v>
      </c>
      <c r="H27" s="3" t="str">
        <f>IF(Qn-(F27-Ta)&gt;2*ENT,"Fara E","Ok")</f>
        <v>Ok</v>
      </c>
      <c r="I27" s="64">
        <f>E155</f>
        <v>143</v>
      </c>
      <c r="J27" s="7">
        <f>F155-Ta</f>
        <v>20.02</v>
      </c>
      <c r="K27" s="3" t="str">
        <f>IF(J27&gt;=CMA,"Ok","Not Ok")</f>
        <v>Ok</v>
      </c>
      <c r="O27" s="64">
        <f>E227</f>
        <v>215</v>
      </c>
      <c r="P27" s="55">
        <f>F227-Ta</f>
        <v>20.02</v>
      </c>
      <c r="Q27" s="61">
        <f>P27-Xi</f>
        <v>1.1200000000002319E-2</v>
      </c>
      <c r="R27" s="54">
        <f>POWER(Q27,2)</f>
        <v>1.2544000000005195E-4</v>
      </c>
    </row>
    <row r="28" spans="1:18" x14ac:dyDescent="0.25">
      <c r="E28">
        <v>16</v>
      </c>
      <c r="F28">
        <v>20.391999999999999</v>
      </c>
      <c r="G28" t="s">
        <v>104</v>
      </c>
      <c r="H28" s="3" t="str">
        <f>IF(Qn-(F28-Ta)&gt;2*ENT,"Fara E","Ok")</f>
        <v>Ok</v>
      </c>
      <c r="I28" s="64">
        <f>E187</f>
        <v>175</v>
      </c>
      <c r="J28" s="7">
        <f>F187-Ta</f>
        <v>20.02</v>
      </c>
      <c r="K28" s="3" t="str">
        <f>IF(J28&gt;=CMA,"Ok","Not Ok")</f>
        <v>Ok</v>
      </c>
      <c r="O28" s="64">
        <f>E257</f>
        <v>245</v>
      </c>
      <c r="P28" s="55">
        <f>F257-Ta</f>
        <v>20</v>
      </c>
      <c r="Q28" s="61">
        <f>P28-Xi</f>
        <v>-8.7999999999972545E-3</v>
      </c>
      <c r="R28" s="54">
        <f>POWER(Q28,2)</f>
        <v>7.7439999999951676E-5</v>
      </c>
    </row>
    <row r="29" spans="1:18" x14ac:dyDescent="0.25">
      <c r="E29">
        <v>17</v>
      </c>
      <c r="F29">
        <v>20.372</v>
      </c>
      <c r="G29" t="s">
        <v>105</v>
      </c>
      <c r="H29" s="3" t="str">
        <f>IF(Qn-(F29-Ta)&gt;2*ENT,"Fara E","Ok")</f>
        <v>Ok</v>
      </c>
      <c r="I29" s="64">
        <f>E218</f>
        <v>206</v>
      </c>
      <c r="J29" s="7">
        <f>F218-Ta</f>
        <v>19.98</v>
      </c>
      <c r="K29" s="3" t="str">
        <f>IF(J29&gt;=CMA,"Ok","Not Ok")</f>
        <v>Ok</v>
      </c>
      <c r="O29" s="64">
        <f>E261</f>
        <v>249</v>
      </c>
      <c r="P29" s="55">
        <f>F261-Ta</f>
        <v>20</v>
      </c>
      <c r="Q29" s="61">
        <f>P29-Xi</f>
        <v>-8.7999999999972545E-3</v>
      </c>
      <c r="R29" s="54">
        <f>POWER(Q29,2)</f>
        <v>7.7439999999951676E-5</v>
      </c>
    </row>
    <row r="30" spans="1:18" x14ac:dyDescent="0.25">
      <c r="E30">
        <v>18</v>
      </c>
      <c r="F30">
        <v>20.431999999999999</v>
      </c>
      <c r="G30" t="s">
        <v>106</v>
      </c>
      <c r="H30" s="3" t="str">
        <f>IF(Qn-(F30-Ta)&gt;2*ENT,"Fara E","Ok")</f>
        <v>Ok</v>
      </c>
      <c r="I30" s="64">
        <f>E219</f>
        <v>207</v>
      </c>
      <c r="J30" s="7">
        <f>F219-Ta</f>
        <v>20</v>
      </c>
      <c r="K30" s="3" t="str">
        <f>IF(J30&gt;=CMA,"Ok","Not Ok")</f>
        <v>Ok</v>
      </c>
      <c r="O30" s="64">
        <f>E304</f>
        <v>292</v>
      </c>
      <c r="P30" s="55">
        <f>F304-Ta</f>
        <v>20</v>
      </c>
      <c r="Q30" s="61">
        <f>P30-Xi</f>
        <v>-8.7999999999972545E-3</v>
      </c>
      <c r="R30" s="54">
        <f>POWER(Q30,2)</f>
        <v>7.7439999999951676E-5</v>
      </c>
    </row>
    <row r="31" spans="1:18" x14ac:dyDescent="0.25">
      <c r="E31">
        <v>19</v>
      </c>
      <c r="F31">
        <v>20.411999999999999</v>
      </c>
      <c r="G31" t="s">
        <v>107</v>
      </c>
      <c r="H31" s="3" t="str">
        <f>IF(Qn-(F31-Ta)&gt;2*ENT,"Fara E","Ok")</f>
        <v>Ok</v>
      </c>
      <c r="I31" s="64">
        <f>E234</f>
        <v>222</v>
      </c>
      <c r="J31" s="7">
        <f>F234-Ta</f>
        <v>20.02</v>
      </c>
      <c r="K31" s="3" t="str">
        <f>IF(J31&gt;=CMA,"Ok","Not Ok")</f>
        <v>Ok</v>
      </c>
      <c r="O31" s="64">
        <f>E310</f>
        <v>298</v>
      </c>
      <c r="P31" s="55">
        <f>F310-Ta</f>
        <v>20</v>
      </c>
      <c r="Q31" s="61">
        <f>P31-Xi</f>
        <v>-8.7999999999972545E-3</v>
      </c>
      <c r="R31" s="54">
        <f>POWER(Q31,2)</f>
        <v>7.7439999999951676E-5</v>
      </c>
    </row>
    <row r="32" spans="1:18" x14ac:dyDescent="0.25">
      <c r="E32">
        <v>20</v>
      </c>
      <c r="F32">
        <v>20.411999999999999</v>
      </c>
      <c r="G32" t="s">
        <v>108</v>
      </c>
      <c r="H32" s="3" t="str">
        <f>IF(Qn-(F32-Ta)&gt;2*ENT,"Fara E","Ok")</f>
        <v>Ok</v>
      </c>
      <c r="I32" s="64">
        <f>E246</f>
        <v>234</v>
      </c>
      <c r="J32" s="7">
        <f>F246-Ta</f>
        <v>20.02</v>
      </c>
      <c r="K32" s="3" t="str">
        <f>IF(J32&gt;=CMA,"Ok","Not Ok")</f>
        <v>Ok</v>
      </c>
      <c r="O32" s="64">
        <f>E333</f>
        <v>321</v>
      </c>
      <c r="P32" s="55">
        <f>F333-Ta</f>
        <v>20.04</v>
      </c>
      <c r="Q32" s="61">
        <f>P32-Xi</f>
        <v>3.1200000000001893E-2</v>
      </c>
      <c r="R32" s="54">
        <f>POWER(Q32,2)</f>
        <v>9.7344000000011807E-4</v>
      </c>
    </row>
    <row r="33" spans="5:18" x14ac:dyDescent="0.25">
      <c r="E33">
        <v>21</v>
      </c>
      <c r="F33">
        <v>20.391999999999999</v>
      </c>
      <c r="G33" t="s">
        <v>109</v>
      </c>
      <c r="H33" s="3" t="str">
        <f>IF(Qn-(F33-Ta)&gt;2*ENT,"Fara E","Ok")</f>
        <v>Ok</v>
      </c>
      <c r="I33" s="64">
        <f>E248</f>
        <v>236</v>
      </c>
      <c r="J33" s="7">
        <f>F248-Ta</f>
        <v>20.02</v>
      </c>
      <c r="K33" s="3" t="str">
        <f>IF(J33&gt;=CMA,"Ok","Not Ok")</f>
        <v>Ok</v>
      </c>
      <c r="O33" s="64">
        <f>E343</f>
        <v>331</v>
      </c>
      <c r="P33" s="55">
        <f>F343-Ta</f>
        <v>19.98</v>
      </c>
      <c r="Q33" s="61">
        <f>P33-Xi</f>
        <v>-2.8799999999996828E-2</v>
      </c>
      <c r="R33" s="54">
        <f>POWER(Q33,2)</f>
        <v>8.2943999999981729E-4</v>
      </c>
    </row>
    <row r="34" spans="5:18" x14ac:dyDescent="0.25">
      <c r="E34">
        <v>22</v>
      </c>
      <c r="F34">
        <v>20.391999999999999</v>
      </c>
      <c r="G34" t="s">
        <v>110</v>
      </c>
      <c r="H34" s="3" t="str">
        <f>IF(Qn-(F34-Ta)&gt;2*ENT,"Fara E","Ok")</f>
        <v>Ok</v>
      </c>
      <c r="I34" s="64">
        <f>E255</f>
        <v>243</v>
      </c>
      <c r="J34" s="7">
        <f>F255-Ta</f>
        <v>20.02</v>
      </c>
      <c r="K34" s="3" t="str">
        <f>IF(J34&gt;=CMA,"Ok","Not Ok")</f>
        <v>Ok</v>
      </c>
      <c r="O34" s="64">
        <f>E392</f>
        <v>380</v>
      </c>
      <c r="P34" s="55">
        <f>F392-Ta</f>
        <v>20</v>
      </c>
      <c r="Q34" s="61">
        <f>P34-Xi</f>
        <v>-8.7999999999972545E-3</v>
      </c>
      <c r="R34" s="54">
        <f>POWER(Q34,2)</f>
        <v>7.7439999999951676E-5</v>
      </c>
    </row>
    <row r="35" spans="5:18" x14ac:dyDescent="0.25">
      <c r="E35">
        <v>23</v>
      </c>
      <c r="F35">
        <v>20.431999999999999</v>
      </c>
      <c r="G35" t="s">
        <v>111</v>
      </c>
      <c r="H35" s="3" t="str">
        <f>IF(Qn-(F35-Ta)&gt;2*ENT,"Fara E","Ok")</f>
        <v>Ok</v>
      </c>
      <c r="I35" s="64">
        <f>E259</f>
        <v>247</v>
      </c>
      <c r="J35" s="7">
        <f>F259-Ta</f>
        <v>20.02</v>
      </c>
      <c r="K35" s="3" t="str">
        <f>IF(J35&gt;=CMA,"Ok","Not Ok")</f>
        <v>Ok</v>
      </c>
      <c r="O35" s="64">
        <f>E483</f>
        <v>471</v>
      </c>
      <c r="P35" s="55">
        <f>F483-Ta</f>
        <v>20</v>
      </c>
      <c r="Q35" s="61">
        <f>P35-Xi</f>
        <v>-8.7999999999972545E-3</v>
      </c>
      <c r="R35" s="54">
        <f>POWER(Q35,2)</f>
        <v>7.7439999999951676E-5</v>
      </c>
    </row>
    <row r="36" spans="5:18" x14ac:dyDescent="0.25">
      <c r="E36">
        <v>24</v>
      </c>
      <c r="F36">
        <v>20.391999999999999</v>
      </c>
      <c r="G36"/>
      <c r="H36" s="3" t="str">
        <f>IF(Qn-(F36-Ta)&gt;2*ENT,"Fara E","Ok")</f>
        <v>Ok</v>
      </c>
      <c r="I36" s="64">
        <f>E296</f>
        <v>284</v>
      </c>
      <c r="J36" s="7">
        <f>F296-Ta</f>
        <v>20.02</v>
      </c>
      <c r="K36" s="3" t="str">
        <f>IF(J36&gt;=CMA,"Ok","Not Ok")</f>
        <v>Ok</v>
      </c>
      <c r="O36" s="64">
        <f>E516</f>
        <v>504</v>
      </c>
      <c r="P36" s="55">
        <f>F516-Ta</f>
        <v>20.02</v>
      </c>
      <c r="Q36" s="61">
        <f>P36-Xi</f>
        <v>1.1200000000002319E-2</v>
      </c>
      <c r="R36" s="54">
        <f>POWER(Q36,2)</f>
        <v>1.2544000000005195E-4</v>
      </c>
    </row>
    <row r="37" spans="5:18" x14ac:dyDescent="0.25">
      <c r="E37">
        <v>25</v>
      </c>
      <c r="F37">
        <v>20.431999999999999</v>
      </c>
      <c r="G37" t="s">
        <v>112</v>
      </c>
      <c r="H37" s="3" t="str">
        <f>IF(Qn-(F37-Ta)&gt;2*ENT,"Fara E","Ok")</f>
        <v>Ok</v>
      </c>
      <c r="I37" s="64">
        <f>E300</f>
        <v>288</v>
      </c>
      <c r="J37" s="7">
        <f>F300-Ta</f>
        <v>20.02</v>
      </c>
      <c r="K37" s="3" t="str">
        <f>IF(J37&gt;=CMA,"Ok","Not Ok")</f>
        <v>Ok</v>
      </c>
      <c r="O37" s="64">
        <f>E522</f>
        <v>510</v>
      </c>
      <c r="P37" s="55">
        <f>F522-Ta</f>
        <v>20.02</v>
      </c>
      <c r="Q37" s="61">
        <f>P37-Xi</f>
        <v>1.1200000000002319E-2</v>
      </c>
      <c r="R37" s="54">
        <f>POWER(Q37,2)</f>
        <v>1.2544000000005195E-4</v>
      </c>
    </row>
    <row r="38" spans="5:18" x14ac:dyDescent="0.25">
      <c r="E38">
        <v>26</v>
      </c>
      <c r="F38">
        <v>20.411999999999999</v>
      </c>
      <c r="G38" t="s">
        <v>113</v>
      </c>
      <c r="H38" s="3" t="str">
        <f>IF(Qn-(F38-Ta)&gt;2*ENT,"Fara E","Ok")</f>
        <v>Ok</v>
      </c>
      <c r="I38" s="64">
        <f>E372</f>
        <v>360</v>
      </c>
      <c r="J38" s="7">
        <f>F372-Ta</f>
        <v>20</v>
      </c>
      <c r="K38" s="3" t="str">
        <f>IF(J38&gt;=CMA,"Ok","Not Ok")</f>
        <v>Ok</v>
      </c>
      <c r="O38" s="64">
        <f>E523</f>
        <v>511</v>
      </c>
      <c r="P38" s="55">
        <f>F523-Ta</f>
        <v>20</v>
      </c>
      <c r="Q38" s="61">
        <f>P38-Xi</f>
        <v>-8.7999999999972545E-3</v>
      </c>
      <c r="R38" s="54">
        <f>POWER(Q38,2)</f>
        <v>7.7439999999951676E-5</v>
      </c>
    </row>
    <row r="39" spans="5:18" x14ac:dyDescent="0.25">
      <c r="E39">
        <v>27</v>
      </c>
      <c r="F39">
        <v>20.391999999999999</v>
      </c>
      <c r="G39" t="s">
        <v>114</v>
      </c>
      <c r="H39" s="3" t="str">
        <f>IF(Qn-(F39-Ta)&gt;2*ENT,"Fara E","Ok")</f>
        <v>Ok</v>
      </c>
      <c r="I39" s="64">
        <f>E401</f>
        <v>389</v>
      </c>
      <c r="J39" s="7">
        <f>F401-Ta</f>
        <v>19.98</v>
      </c>
      <c r="K39" s="3" t="str">
        <f>IF(J39&gt;=CMA,"Ok","Not Ok")</f>
        <v>Ok</v>
      </c>
      <c r="O39" s="64">
        <f>E526</f>
        <v>514</v>
      </c>
      <c r="P39" s="55">
        <f>F526-Ta</f>
        <v>20.04</v>
      </c>
      <c r="Q39" s="61">
        <f>P39-Xi</f>
        <v>3.1200000000001893E-2</v>
      </c>
      <c r="R39" s="54">
        <f>POWER(Q39,2)</f>
        <v>9.7344000000011807E-4</v>
      </c>
    </row>
    <row r="40" spans="5:18" x14ac:dyDescent="0.25">
      <c r="E40">
        <v>28</v>
      </c>
      <c r="F40">
        <v>20.372</v>
      </c>
      <c r="G40" t="s">
        <v>115</v>
      </c>
      <c r="H40" s="3" t="str">
        <f>IF(Qn-(F40-Ta)&gt;2*ENT,"Fara E","Ok")</f>
        <v>Ok</v>
      </c>
      <c r="I40" s="64">
        <f>E421</f>
        <v>409</v>
      </c>
      <c r="J40" s="7">
        <f>F421-Ta</f>
        <v>20</v>
      </c>
      <c r="K40" s="3" t="str">
        <f>IF(J40&gt;=CMA,"Ok","Not Ok")</f>
        <v>Ok</v>
      </c>
      <c r="O40" s="64">
        <f>E527</f>
        <v>515</v>
      </c>
      <c r="P40" s="55">
        <f>F527-Ta</f>
        <v>20.02</v>
      </c>
      <c r="Q40" s="61">
        <f>P40-Xi</f>
        <v>1.1200000000002319E-2</v>
      </c>
      <c r="R40" s="54">
        <f>POWER(Q40,2)</f>
        <v>1.2544000000005195E-4</v>
      </c>
    </row>
    <row r="41" spans="5:18" x14ac:dyDescent="0.25">
      <c r="E41">
        <v>29</v>
      </c>
      <c r="F41">
        <v>20.391999999999999</v>
      </c>
      <c r="G41" t="s">
        <v>116</v>
      </c>
      <c r="H41" s="3" t="str">
        <f>IF(Qn-(F41-Ta)&gt;2*ENT,"Fara E","Ok")</f>
        <v>Ok</v>
      </c>
      <c r="I41" s="64">
        <f>E441</f>
        <v>429</v>
      </c>
      <c r="J41" s="7">
        <f>F441-Ta</f>
        <v>20.04</v>
      </c>
      <c r="K41" s="3" t="str">
        <f>IF(J41&gt;=CMA,"Ok","Not Ok")</f>
        <v>Ok</v>
      </c>
      <c r="O41" s="64">
        <f>E547</f>
        <v>535</v>
      </c>
      <c r="P41" s="55">
        <f>F547-Ta</f>
        <v>20.02</v>
      </c>
      <c r="Q41" s="61">
        <f>P41-Xi</f>
        <v>1.1200000000002319E-2</v>
      </c>
      <c r="R41" s="54">
        <f>POWER(Q41,2)</f>
        <v>1.2544000000005195E-4</v>
      </c>
    </row>
    <row r="42" spans="5:18" x14ac:dyDescent="0.25">
      <c r="E42">
        <v>30</v>
      </c>
      <c r="F42">
        <v>20.372</v>
      </c>
      <c r="G42" t="s">
        <v>117</v>
      </c>
      <c r="H42" s="3" t="str">
        <f>IF(Qn-(F42-Ta)&gt;2*ENT,"Fara E","Ok")</f>
        <v>Ok</v>
      </c>
      <c r="I42" s="64">
        <f>E443</f>
        <v>431</v>
      </c>
      <c r="J42" s="7">
        <f>F443-Ta</f>
        <v>20.04</v>
      </c>
      <c r="K42" s="3" t="str">
        <f>IF(J42&gt;=CMA,"Ok","Not Ok")</f>
        <v>Ok</v>
      </c>
      <c r="O42" s="64">
        <f>E550</f>
        <v>538</v>
      </c>
      <c r="P42" s="55">
        <f>F550-Ta</f>
        <v>20.04</v>
      </c>
      <c r="Q42" s="61">
        <f>P42-Xi</f>
        <v>3.1200000000001893E-2</v>
      </c>
      <c r="R42" s="54">
        <f>POWER(Q42,2)</f>
        <v>9.7344000000011807E-4</v>
      </c>
    </row>
    <row r="43" spans="5:18" x14ac:dyDescent="0.25">
      <c r="E43">
        <v>31</v>
      </c>
      <c r="F43">
        <v>20.391999999999999</v>
      </c>
      <c r="G43" t="s">
        <v>118</v>
      </c>
      <c r="H43" s="3" t="str">
        <f>IF(Qn-(F43-Ta)&gt;2*ENT,"Fara E","Ok")</f>
        <v>Ok</v>
      </c>
      <c r="I43" s="64">
        <f>E472</f>
        <v>460</v>
      </c>
      <c r="J43" s="7">
        <f>F472-Ta</f>
        <v>20.02</v>
      </c>
      <c r="K43" s="3" t="str">
        <f>IF(J43&gt;=CMA,"Ok","Not Ok")</f>
        <v>Ok</v>
      </c>
      <c r="O43" s="64">
        <f>E551</f>
        <v>539</v>
      </c>
      <c r="P43" s="55">
        <f>F551-Ta</f>
        <v>20</v>
      </c>
      <c r="Q43" s="61">
        <f>P43-Xi</f>
        <v>-8.7999999999972545E-3</v>
      </c>
      <c r="R43" s="54">
        <f>POWER(Q43,2)</f>
        <v>7.7439999999951676E-5</v>
      </c>
    </row>
    <row r="44" spans="5:18" x14ac:dyDescent="0.25">
      <c r="E44">
        <v>32</v>
      </c>
      <c r="F44">
        <v>20.372</v>
      </c>
      <c r="G44" t="s">
        <v>119</v>
      </c>
      <c r="H44" s="3" t="str">
        <f>IF(Qn-(F44-Ta)&gt;2*ENT,"Fara E","Ok")</f>
        <v>Ok</v>
      </c>
      <c r="I44" s="64">
        <f>E496</f>
        <v>484</v>
      </c>
      <c r="J44" s="7">
        <f>F496-Ta</f>
        <v>19.98</v>
      </c>
      <c r="K44" s="3" t="str">
        <f>IF(J44&gt;=CMA,"Ok","Not Ok")</f>
        <v>Ok</v>
      </c>
      <c r="O44" s="64">
        <f>E562</f>
        <v>550</v>
      </c>
      <c r="P44" s="55">
        <f>F562-Ta</f>
        <v>20.04</v>
      </c>
      <c r="Q44" s="61">
        <f>P44-Xi</f>
        <v>3.1200000000001893E-2</v>
      </c>
      <c r="R44" s="54">
        <f>POWER(Q44,2)</f>
        <v>9.7344000000011807E-4</v>
      </c>
    </row>
    <row r="45" spans="5:18" x14ac:dyDescent="0.25">
      <c r="E45">
        <v>33</v>
      </c>
      <c r="F45">
        <v>20.411999999999999</v>
      </c>
      <c r="G45" t="s">
        <v>120</v>
      </c>
      <c r="H45" s="3" t="str">
        <f>IF(Qn-(F45-Ta)&gt;2*ENT,"Fara E","Ok")</f>
        <v>Ok</v>
      </c>
      <c r="I45" s="64">
        <f>E502</f>
        <v>490</v>
      </c>
      <c r="J45" s="7">
        <f>F502-Ta</f>
        <v>20.02</v>
      </c>
      <c r="K45" s="3" t="str">
        <f>IF(J45&gt;=CMA,"Ok","Not Ok")</f>
        <v>Ok</v>
      </c>
      <c r="O45" s="64">
        <f>E570</f>
        <v>558</v>
      </c>
      <c r="P45" s="55">
        <f>F570-Ta</f>
        <v>20.02</v>
      </c>
      <c r="Q45" s="61">
        <f>P45-Xi</f>
        <v>1.1200000000002319E-2</v>
      </c>
      <c r="R45" s="54">
        <f>POWER(Q45,2)</f>
        <v>1.2544000000005195E-4</v>
      </c>
    </row>
    <row r="46" spans="5:18" x14ac:dyDescent="0.25">
      <c r="E46">
        <v>34</v>
      </c>
      <c r="F46">
        <v>20.372</v>
      </c>
      <c r="G46" t="s">
        <v>121</v>
      </c>
      <c r="H46" s="3" t="str">
        <f>IF(Qn-(F46-Ta)&gt;2*ENT,"Fara E","Ok")</f>
        <v>Ok</v>
      </c>
      <c r="I46" s="64">
        <f>E511</f>
        <v>499</v>
      </c>
      <c r="J46" s="7">
        <f>F511-Ta</f>
        <v>20.02</v>
      </c>
      <c r="K46" s="3" t="str">
        <f>IF(J46&gt;=CMA,"Ok","Not Ok")</f>
        <v>Ok</v>
      </c>
      <c r="O46" s="64">
        <f>E582</f>
        <v>570</v>
      </c>
      <c r="P46" s="55">
        <f>F582-Ta</f>
        <v>20</v>
      </c>
      <c r="Q46" s="61">
        <f>P46-Xi</f>
        <v>-8.7999999999972545E-3</v>
      </c>
      <c r="R46" s="54">
        <f>POWER(Q46,2)</f>
        <v>7.7439999999951676E-5</v>
      </c>
    </row>
    <row r="47" spans="5:18" x14ac:dyDescent="0.25">
      <c r="E47">
        <v>35</v>
      </c>
      <c r="F47">
        <v>20.411999999999999</v>
      </c>
      <c r="G47" t="s">
        <v>122</v>
      </c>
      <c r="H47" s="3" t="str">
        <f>IF(Qn-(F47-Ta)&gt;2*ENT,"Fara E","Ok")</f>
        <v>Ok</v>
      </c>
      <c r="I47" s="64">
        <f>E520</f>
        <v>508</v>
      </c>
      <c r="J47" s="7">
        <f>F520-Ta</f>
        <v>20</v>
      </c>
      <c r="K47" s="3" t="str">
        <f>IF(J47&gt;=CMA,"Ok","Not Ok")</f>
        <v>Ok</v>
      </c>
      <c r="O47" s="64">
        <f>E586</f>
        <v>574</v>
      </c>
      <c r="P47" s="55">
        <f>F586-Ta</f>
        <v>20</v>
      </c>
      <c r="Q47" s="61">
        <f>P47-Xi</f>
        <v>-8.7999999999972545E-3</v>
      </c>
      <c r="R47" s="54">
        <f>POWER(Q47,2)</f>
        <v>7.7439999999951676E-5</v>
      </c>
    </row>
    <row r="48" spans="5:18" x14ac:dyDescent="0.25">
      <c r="E48">
        <v>36</v>
      </c>
      <c r="F48">
        <v>20.431999999999999</v>
      </c>
      <c r="G48" t="s">
        <v>123</v>
      </c>
      <c r="H48" s="3" t="str">
        <f>IF(Qn-(F48-Ta)&gt;2*ENT,"Fara E","Ok")</f>
        <v>Ok</v>
      </c>
      <c r="I48" s="64">
        <f>E559</f>
        <v>547</v>
      </c>
      <c r="J48" s="7">
        <f>F559-Ta</f>
        <v>20</v>
      </c>
      <c r="K48" s="3" t="str">
        <f>IF(J48&gt;=CMA,"Ok","Not Ok")</f>
        <v>Ok</v>
      </c>
      <c r="O48" s="64">
        <f>E601</f>
        <v>589</v>
      </c>
      <c r="P48" s="55">
        <f>F601-Ta</f>
        <v>20.02</v>
      </c>
      <c r="Q48" s="61">
        <f>P48-Xi</f>
        <v>1.1200000000002319E-2</v>
      </c>
      <c r="R48" s="54">
        <f>POWER(Q48,2)</f>
        <v>1.2544000000005195E-4</v>
      </c>
    </row>
    <row r="49" spans="5:18" x14ac:dyDescent="0.25">
      <c r="E49">
        <v>37</v>
      </c>
      <c r="F49">
        <v>20.431999999999999</v>
      </c>
      <c r="G49" t="s">
        <v>124</v>
      </c>
      <c r="H49" s="3" t="str">
        <f>IF(Qn-(F49-Ta)&gt;2*ENT,"Fara E","Ok")</f>
        <v>Ok</v>
      </c>
      <c r="I49" s="64">
        <f>E567</f>
        <v>555</v>
      </c>
      <c r="J49" s="7">
        <f>F567-Ta</f>
        <v>20</v>
      </c>
      <c r="K49" s="3" t="str">
        <f>IF(J49&gt;=CMA,"Ok","Not Ok")</f>
        <v>Ok</v>
      </c>
      <c r="O49" s="64">
        <f>E609</f>
        <v>597</v>
      </c>
      <c r="P49" s="55">
        <f>F609-Ta</f>
        <v>20.02</v>
      </c>
      <c r="Q49" s="61">
        <f>P49-Xi</f>
        <v>1.1200000000002319E-2</v>
      </c>
      <c r="R49" s="54">
        <f>POWER(Q49,2)</f>
        <v>1.2544000000005195E-4</v>
      </c>
    </row>
    <row r="50" spans="5:18" x14ac:dyDescent="0.25">
      <c r="E50">
        <v>38</v>
      </c>
      <c r="F50">
        <v>20.431999999999999</v>
      </c>
      <c r="G50" t="s">
        <v>125</v>
      </c>
      <c r="H50" s="3" t="str">
        <f>IF(Qn-(F50-Ta)&gt;2*ENT,"Fara E","Ok")</f>
        <v>Ok</v>
      </c>
      <c r="I50" s="64">
        <f>E580</f>
        <v>568</v>
      </c>
      <c r="J50" s="7">
        <f>F580-Ta</f>
        <v>19.98</v>
      </c>
      <c r="K50" s="3" t="str">
        <f>IF(J50&gt;=CMA,"Ok","Not Ok")</f>
        <v>Ok</v>
      </c>
      <c r="O50" s="64">
        <f>E611</f>
        <v>599</v>
      </c>
      <c r="P50" s="55">
        <f>F611-Ta</f>
        <v>20</v>
      </c>
      <c r="Q50" s="61">
        <f>P50-Xi</f>
        <v>-8.7999999999972545E-3</v>
      </c>
      <c r="R50" s="54">
        <f>POWER(Q50,2)</f>
        <v>7.7439999999951676E-5</v>
      </c>
    </row>
    <row r="51" spans="5:18" x14ac:dyDescent="0.25">
      <c r="E51">
        <v>39</v>
      </c>
      <c r="F51">
        <v>20.431999999999999</v>
      </c>
      <c r="G51" t="s">
        <v>126</v>
      </c>
      <c r="H51" s="3" t="str">
        <f>IF(Qn-(F51-Ta)&gt;2*ENT,"Fara E","Ok")</f>
        <v>Ok</v>
      </c>
      <c r="I51" s="64">
        <f>E604</f>
        <v>592</v>
      </c>
      <c r="J51" s="7">
        <f>F604-Ta</f>
        <v>20.02</v>
      </c>
      <c r="K51" s="3" t="str">
        <f>IF(J51&gt;=CMA,"Ok","Not Ok")</f>
        <v>Ok</v>
      </c>
      <c r="O51" s="64">
        <f>E637</f>
        <v>625</v>
      </c>
      <c r="P51" s="55">
        <f>F637-Ta</f>
        <v>20.04</v>
      </c>
      <c r="Q51" s="61">
        <f>P51-Xi</f>
        <v>3.1200000000001893E-2</v>
      </c>
      <c r="R51" s="54">
        <f>POWER(Q51,2)</f>
        <v>9.7344000000011807E-4</v>
      </c>
    </row>
    <row r="52" spans="5:18" x14ac:dyDescent="0.25">
      <c r="E52">
        <v>40</v>
      </c>
      <c r="F52">
        <v>20.411999999999999</v>
      </c>
      <c r="G52" t="s">
        <v>127</v>
      </c>
      <c r="H52" s="3" t="str">
        <f>IF(Qn-(F52-Ta)&gt;2*ENT,"Fara E","Ok")</f>
        <v>Ok</v>
      </c>
      <c r="I52" s="64">
        <f>E606</f>
        <v>594</v>
      </c>
      <c r="J52" s="7">
        <f>F606-Ta</f>
        <v>20</v>
      </c>
      <c r="K52" s="3" t="str">
        <f>IF(J52&gt;=CMA,"Ok","Not Ok")</f>
        <v>Ok</v>
      </c>
      <c r="O52" s="64">
        <f>E642</f>
        <v>630</v>
      </c>
      <c r="P52" s="55">
        <f>F642-Ta</f>
        <v>20</v>
      </c>
      <c r="Q52" s="61">
        <f>P52-Xi</f>
        <v>-8.7999999999972545E-3</v>
      </c>
      <c r="R52" s="54">
        <f>POWER(Q52,2)</f>
        <v>7.7439999999951676E-5</v>
      </c>
    </row>
    <row r="53" spans="5:18" x14ac:dyDescent="0.25">
      <c r="E53">
        <v>41</v>
      </c>
      <c r="F53">
        <v>20.431999999999999</v>
      </c>
      <c r="G53" t="s">
        <v>128</v>
      </c>
      <c r="H53" s="3" t="str">
        <f>IF(Qn-(F53-Ta)&gt;2*ENT,"Fara E","Ok")</f>
        <v>Ok</v>
      </c>
      <c r="I53" s="64">
        <f>E608</f>
        <v>596</v>
      </c>
      <c r="J53" s="7">
        <f>F608-Ta</f>
        <v>19.98</v>
      </c>
      <c r="K53" s="3" t="str">
        <f>IF(J53&gt;=CMA,"Ok","Not Ok")</f>
        <v>Ok</v>
      </c>
      <c r="O53" s="64">
        <f>E662</f>
        <v>650</v>
      </c>
      <c r="P53" s="55">
        <f>F662-Ta</f>
        <v>20</v>
      </c>
      <c r="Q53" s="61">
        <f>P53-Xi</f>
        <v>-8.7999999999972545E-3</v>
      </c>
      <c r="R53" s="54">
        <f>POWER(Q53,2)</f>
        <v>7.7439999999951676E-5</v>
      </c>
    </row>
    <row r="54" spans="5:18" x14ac:dyDescent="0.25">
      <c r="E54">
        <v>42</v>
      </c>
      <c r="F54">
        <v>20.411999999999999</v>
      </c>
      <c r="G54" t="s">
        <v>129</v>
      </c>
      <c r="H54" s="3" t="str">
        <f>IF(Qn-(F54-Ta)&gt;2*ENT,"Fara E","Ok")</f>
        <v>Ok</v>
      </c>
      <c r="I54" s="64">
        <f>E610</f>
        <v>598</v>
      </c>
      <c r="J54" s="7">
        <f>F610-Ta</f>
        <v>20</v>
      </c>
      <c r="K54" s="3" t="str">
        <f>IF(J54&gt;=CMA,"Ok","Not Ok")</f>
        <v>Ok</v>
      </c>
      <c r="O54" s="64">
        <f>E664</f>
        <v>652</v>
      </c>
      <c r="P54" s="55">
        <f>F664-Ta</f>
        <v>20</v>
      </c>
      <c r="Q54" s="61">
        <f>P54-Xi</f>
        <v>-8.7999999999972545E-3</v>
      </c>
      <c r="R54" s="54">
        <f>POWER(Q54,2)</f>
        <v>7.7439999999951676E-5</v>
      </c>
    </row>
    <row r="55" spans="5:18" x14ac:dyDescent="0.25">
      <c r="E55">
        <v>43</v>
      </c>
      <c r="F55">
        <v>20.411999999999999</v>
      </c>
      <c r="G55" t="s">
        <v>130</v>
      </c>
      <c r="H55" s="3" t="str">
        <f>IF(Qn-(F55-Ta)&gt;2*ENT,"Fara E","Ok")</f>
        <v>Ok</v>
      </c>
      <c r="I55" s="64">
        <f>E626</f>
        <v>614</v>
      </c>
      <c r="J55" s="7">
        <f>F626-Ta</f>
        <v>20.059999999999999</v>
      </c>
      <c r="K55" s="3" t="str">
        <f>IF(J55&gt;=CMA,"Ok","Not Ok")</f>
        <v>Ok</v>
      </c>
      <c r="O55" s="64">
        <f>E666</f>
        <v>654</v>
      </c>
      <c r="P55" s="55">
        <f>F666-Ta</f>
        <v>19.98</v>
      </c>
      <c r="Q55" s="61">
        <f>P55-Xi</f>
        <v>-2.8799999999996828E-2</v>
      </c>
      <c r="R55" s="54">
        <f>POWER(Q55,2)</f>
        <v>8.2943999999981729E-4</v>
      </c>
    </row>
    <row r="56" spans="5:18" x14ac:dyDescent="0.25">
      <c r="E56">
        <v>44</v>
      </c>
      <c r="F56">
        <v>20.411999999999999</v>
      </c>
      <c r="G56" t="s">
        <v>131</v>
      </c>
      <c r="H56" s="3" t="str">
        <f>IF(Qn-(F56-Ta)&gt;2*ENT,"Fara E","Ok")</f>
        <v>Ok</v>
      </c>
      <c r="I56" s="64">
        <f>E648</f>
        <v>636</v>
      </c>
      <c r="J56" s="7">
        <f>F648-Ta</f>
        <v>19.96</v>
      </c>
      <c r="K56" s="3" t="str">
        <f>IF(J56&gt;=CMA,"Ok","Not Ok")</f>
        <v>Ok</v>
      </c>
      <c r="O56" s="64">
        <f>E676</f>
        <v>664</v>
      </c>
      <c r="P56" s="55">
        <f>F676-Ta</f>
        <v>20</v>
      </c>
      <c r="Q56" s="61">
        <f>P56-Xi</f>
        <v>-8.7999999999972545E-3</v>
      </c>
      <c r="R56" s="54">
        <f>POWER(Q56,2)</f>
        <v>7.7439999999951676E-5</v>
      </c>
    </row>
    <row r="57" spans="5:18" x14ac:dyDescent="0.25">
      <c r="E57">
        <v>45</v>
      </c>
      <c r="F57">
        <v>20.431999999999999</v>
      </c>
      <c r="G57" t="s">
        <v>132</v>
      </c>
      <c r="H57" s="3" t="str">
        <f>IF(Qn-(F57-Ta)&gt;2*ENT,"Fara E","Ok")</f>
        <v>Ok</v>
      </c>
      <c r="I57" s="64">
        <f>E652</f>
        <v>640</v>
      </c>
      <c r="J57" s="7">
        <f>F652-Ta</f>
        <v>20.02</v>
      </c>
      <c r="K57" s="3" t="str">
        <f>IF(J57&gt;=CMA,"Ok","Not Ok")</f>
        <v>Ok</v>
      </c>
      <c r="O57" s="64">
        <f>E692</f>
        <v>680</v>
      </c>
      <c r="P57" s="55">
        <f>F692-Ta</f>
        <v>20</v>
      </c>
      <c r="Q57" s="61">
        <f>P57-Xi</f>
        <v>-8.7999999999972545E-3</v>
      </c>
      <c r="R57" s="54">
        <f>POWER(Q57,2)</f>
        <v>7.7439999999951676E-5</v>
      </c>
    </row>
    <row r="58" spans="5:18" x14ac:dyDescent="0.25">
      <c r="E58">
        <v>46</v>
      </c>
      <c r="F58">
        <v>20.431999999999999</v>
      </c>
      <c r="G58" t="s">
        <v>133</v>
      </c>
      <c r="H58" s="3" t="str">
        <f>IF(Qn-(F58-Ta)&gt;2*ENT,"Fara E","Ok")</f>
        <v>Ok</v>
      </c>
      <c r="I58" s="64">
        <f>E665</f>
        <v>653</v>
      </c>
      <c r="J58" s="7">
        <f>F665-Ta</f>
        <v>20.02</v>
      </c>
      <c r="K58" s="3" t="str">
        <f>IF(J58&gt;=CMA,"Ok","Not Ok")</f>
        <v>Ok</v>
      </c>
      <c r="O58" s="64">
        <f>E704</f>
        <v>692</v>
      </c>
      <c r="P58" s="55">
        <f>F704-Ta</f>
        <v>19.98</v>
      </c>
      <c r="Q58" s="61">
        <f>P58-Xi</f>
        <v>-2.8799999999996828E-2</v>
      </c>
      <c r="R58" s="54">
        <f>POWER(Q58,2)</f>
        <v>8.2943999999981729E-4</v>
      </c>
    </row>
    <row r="59" spans="5:18" x14ac:dyDescent="0.25">
      <c r="E59">
        <v>47</v>
      </c>
      <c r="F59">
        <v>20.451999999999998</v>
      </c>
      <c r="G59" t="s">
        <v>134</v>
      </c>
      <c r="H59" s="3" t="str">
        <f>IF(Qn-(F59-Ta)&gt;2*ENT,"Fara E","Ok")</f>
        <v>Ok</v>
      </c>
      <c r="I59" s="64">
        <f>E701</f>
        <v>689</v>
      </c>
      <c r="J59" s="7">
        <f>F701-Ta</f>
        <v>20</v>
      </c>
      <c r="K59" s="3" t="str">
        <f>IF(J59&gt;=CMA,"Ok","Not Ok")</f>
        <v>Ok</v>
      </c>
      <c r="O59" s="64">
        <f>E712</f>
        <v>700</v>
      </c>
      <c r="P59" s="55">
        <f>F712-Ta</f>
        <v>20.02</v>
      </c>
      <c r="Q59" s="61">
        <f>P59-Xi</f>
        <v>1.1200000000002319E-2</v>
      </c>
      <c r="R59" s="54">
        <f>POWER(Q59,2)</f>
        <v>1.2544000000005195E-4</v>
      </c>
    </row>
    <row r="60" spans="5:18" x14ac:dyDescent="0.25">
      <c r="E60">
        <v>48</v>
      </c>
      <c r="F60">
        <v>20.411999999999999</v>
      </c>
      <c r="G60" t="s">
        <v>135</v>
      </c>
      <c r="H60" s="3" t="str">
        <f>IF(Qn-(F60-Ta)&gt;2*ENT,"Fara E","Ok")</f>
        <v>Ok</v>
      </c>
      <c r="I60" s="64">
        <f>E706</f>
        <v>694</v>
      </c>
      <c r="J60" s="7">
        <f>F706-Ta</f>
        <v>20</v>
      </c>
      <c r="K60" s="3" t="str">
        <f>IF(J60&gt;=CMA,"Ok","Not Ok")</f>
        <v>Ok</v>
      </c>
      <c r="O60" s="64">
        <f>E714</f>
        <v>702</v>
      </c>
      <c r="P60" s="55">
        <f>F714-Ta</f>
        <v>20.02</v>
      </c>
      <c r="Q60" s="61">
        <f>P60-Xi</f>
        <v>1.1200000000002319E-2</v>
      </c>
      <c r="R60" s="54">
        <f>POWER(Q60,2)</f>
        <v>1.2544000000005195E-4</v>
      </c>
    </row>
    <row r="61" spans="5:18" x14ac:dyDescent="0.25">
      <c r="E61">
        <v>49</v>
      </c>
      <c r="F61">
        <v>20.451999999999998</v>
      </c>
      <c r="G61" t="s">
        <v>136</v>
      </c>
      <c r="H61" s="3" t="str">
        <f>IF(Qn-(F61-Ta)&gt;2*ENT,"Fara E","Ok")</f>
        <v>Ok</v>
      </c>
      <c r="I61" s="64">
        <f>E712</f>
        <v>700</v>
      </c>
      <c r="J61" s="7">
        <f>F712-Ta</f>
        <v>20.02</v>
      </c>
      <c r="K61" s="3" t="str">
        <f>IF(J61&gt;=CMA,"Ok","Not Ok")</f>
        <v>Ok</v>
      </c>
      <c r="O61" s="64">
        <f>E717</f>
        <v>705</v>
      </c>
      <c r="P61" s="55">
        <f>F717-Ta</f>
        <v>20</v>
      </c>
      <c r="Q61" s="61">
        <f>P61-Xi</f>
        <v>-8.7999999999972545E-3</v>
      </c>
      <c r="R61" s="54">
        <f>POWER(Q61,2)</f>
        <v>7.7439999999951676E-5</v>
      </c>
    </row>
    <row r="62" spans="5:18" x14ac:dyDescent="0.25">
      <c r="E62">
        <v>50</v>
      </c>
      <c r="F62">
        <v>20.372</v>
      </c>
      <c r="G62" t="s">
        <v>137</v>
      </c>
      <c r="H62" s="3" t="str">
        <f>IF(Qn-(F62-Ta)&gt;2*ENT,"Fara E","Ok")</f>
        <v>Ok</v>
      </c>
      <c r="I62" s="64">
        <f>E732</f>
        <v>720</v>
      </c>
      <c r="J62" s="7">
        <f>F732-Ta</f>
        <v>19.98</v>
      </c>
      <c r="K62" s="3" t="str">
        <f>IF(J62&gt;=CMA,"Ok","Not Ok")</f>
        <v>Ok</v>
      </c>
      <c r="O62" s="64">
        <f>E718</f>
        <v>706</v>
      </c>
      <c r="P62" s="55">
        <f>F718-Ta</f>
        <v>20.04</v>
      </c>
      <c r="Q62" s="61">
        <f>P62-Xi</f>
        <v>3.1200000000001893E-2</v>
      </c>
      <c r="R62" s="54">
        <f>POWER(Q62,2)</f>
        <v>9.7344000000011807E-4</v>
      </c>
    </row>
    <row r="63" spans="5:18" x14ac:dyDescent="0.25">
      <c r="E63">
        <v>51</v>
      </c>
      <c r="F63">
        <v>20.391999999999999</v>
      </c>
      <c r="G63" t="s">
        <v>138</v>
      </c>
      <c r="H63" s="3" t="str">
        <f>IF(Qn-(F63-Ta)&gt;2*ENT,"Fara E","Ok")</f>
        <v>Ok</v>
      </c>
    </row>
    <row r="64" spans="5:18" x14ac:dyDescent="0.25">
      <c r="E64">
        <v>52</v>
      </c>
      <c r="F64">
        <v>20.411999999999999</v>
      </c>
      <c r="G64" t="s">
        <v>139</v>
      </c>
      <c r="H64" s="3" t="str">
        <f>IF(Qn-(F64-Ta)&gt;2*ENT,"Fara E","Ok")</f>
        <v>Ok</v>
      </c>
    </row>
    <row r="65" spans="5:8" x14ac:dyDescent="0.25">
      <c r="E65">
        <v>53</v>
      </c>
      <c r="F65">
        <v>20.372</v>
      </c>
      <c r="G65" t="s">
        <v>140</v>
      </c>
      <c r="H65" s="3" t="str">
        <f>IF(Qn-(F65-Ta)&gt;2*ENT,"Fara E","Ok")</f>
        <v>Ok</v>
      </c>
    </row>
    <row r="66" spans="5:8" x14ac:dyDescent="0.25">
      <c r="E66">
        <v>54</v>
      </c>
      <c r="F66">
        <v>20.372</v>
      </c>
      <c r="G66" t="s">
        <v>141</v>
      </c>
      <c r="H66" s="3" t="str">
        <f>IF(Qn-(F66-Ta)&gt;2*ENT,"Fara E","Ok")</f>
        <v>Ok</v>
      </c>
    </row>
    <row r="67" spans="5:8" x14ac:dyDescent="0.25">
      <c r="E67">
        <v>55</v>
      </c>
      <c r="F67">
        <v>20.391999999999999</v>
      </c>
      <c r="G67" t="s">
        <v>142</v>
      </c>
      <c r="H67" s="3" t="str">
        <f>IF(Qn-(F67-Ta)&gt;2*ENT,"Fara E","Ok")</f>
        <v>Ok</v>
      </c>
    </row>
    <row r="68" spans="5:8" x14ac:dyDescent="0.25">
      <c r="E68">
        <v>56</v>
      </c>
      <c r="F68">
        <v>20.391999999999999</v>
      </c>
      <c r="G68" t="s">
        <v>143</v>
      </c>
      <c r="H68" s="3" t="str">
        <f>IF(Qn-(F68-Ta)&gt;2*ENT,"Fara E","Ok")</f>
        <v>Ok</v>
      </c>
    </row>
    <row r="69" spans="5:8" x14ac:dyDescent="0.25">
      <c r="E69">
        <v>57</v>
      </c>
      <c r="F69">
        <v>20.411999999999999</v>
      </c>
      <c r="G69" t="s">
        <v>144</v>
      </c>
      <c r="H69" s="3" t="str">
        <f>IF(Qn-(F69-Ta)&gt;2*ENT,"Fara E","Ok")</f>
        <v>Ok</v>
      </c>
    </row>
    <row r="70" spans="5:8" x14ac:dyDescent="0.25">
      <c r="E70">
        <v>58</v>
      </c>
      <c r="F70">
        <v>20.411999999999999</v>
      </c>
      <c r="G70" t="s">
        <v>145</v>
      </c>
      <c r="H70" s="3" t="str">
        <f>IF(Qn-(F70-Ta)&gt;2*ENT,"Fara E","Ok")</f>
        <v>Ok</v>
      </c>
    </row>
    <row r="71" spans="5:8" x14ac:dyDescent="0.25">
      <c r="E71">
        <v>59</v>
      </c>
      <c r="F71">
        <v>20.372</v>
      </c>
      <c r="G71" t="s">
        <v>146</v>
      </c>
      <c r="H71" s="3" t="str">
        <f>IF(Qn-(F71-Ta)&gt;2*ENT,"Fara E","Ok")</f>
        <v>Ok</v>
      </c>
    </row>
    <row r="72" spans="5:8" x14ac:dyDescent="0.25">
      <c r="E72">
        <v>60</v>
      </c>
      <c r="F72">
        <v>20.391999999999999</v>
      </c>
      <c r="G72" t="s">
        <v>147</v>
      </c>
      <c r="H72" s="3" t="str">
        <f>IF(Qn-(F72-Ta)&gt;2*ENT,"Fara E","Ok")</f>
        <v>Ok</v>
      </c>
    </row>
    <row r="73" spans="5:8" x14ac:dyDescent="0.25">
      <c r="E73">
        <v>61</v>
      </c>
      <c r="F73">
        <v>20.411999999999999</v>
      </c>
      <c r="G73" t="s">
        <v>148</v>
      </c>
      <c r="H73" s="3" t="str">
        <f>IF(Qn-(F73-Ta)&gt;2*ENT,"Fara E","Ok")</f>
        <v>Ok</v>
      </c>
    </row>
    <row r="74" spans="5:8" x14ac:dyDescent="0.25">
      <c r="E74">
        <v>62</v>
      </c>
      <c r="F74">
        <v>20.372</v>
      </c>
      <c r="G74" t="s">
        <v>149</v>
      </c>
      <c r="H74" s="3" t="str">
        <f>IF(Qn-(F74-Ta)&gt;2*ENT,"Fara E","Ok")</f>
        <v>Ok</v>
      </c>
    </row>
    <row r="75" spans="5:8" x14ac:dyDescent="0.25">
      <c r="E75">
        <v>63</v>
      </c>
      <c r="F75">
        <v>20.411999999999999</v>
      </c>
      <c r="G75" t="s">
        <v>150</v>
      </c>
      <c r="H75" s="3" t="str">
        <f>IF(Qn-(F75-Ta)&gt;2*ENT,"Fara E","Ok")</f>
        <v>Ok</v>
      </c>
    </row>
    <row r="76" spans="5:8" x14ac:dyDescent="0.25">
      <c r="E76">
        <v>64</v>
      </c>
      <c r="F76">
        <v>20.411999999999999</v>
      </c>
      <c r="G76" t="s">
        <v>151</v>
      </c>
      <c r="H76" s="3" t="str">
        <f>IF(Qn-(F76-Ta)&gt;2*ENT,"Fara E","Ok")</f>
        <v>Ok</v>
      </c>
    </row>
    <row r="77" spans="5:8" x14ac:dyDescent="0.25">
      <c r="E77">
        <v>65</v>
      </c>
      <c r="F77">
        <v>20.411999999999999</v>
      </c>
      <c r="G77" t="s">
        <v>152</v>
      </c>
      <c r="H77" s="3" t="str">
        <f>IF(Qn-(F77-Ta)&gt;2*ENT,"Fara E","Ok")</f>
        <v>Ok</v>
      </c>
    </row>
    <row r="78" spans="5:8" x14ac:dyDescent="0.25">
      <c r="E78">
        <v>66</v>
      </c>
      <c r="F78">
        <v>20.391999999999999</v>
      </c>
      <c r="G78" t="s">
        <v>153</v>
      </c>
      <c r="H78" s="3" t="str">
        <f>IF(Qn-(F78-Ta)&gt;2*ENT,"Fara E","Ok")</f>
        <v>Ok</v>
      </c>
    </row>
    <row r="79" spans="5:8" x14ac:dyDescent="0.25">
      <c r="E79">
        <v>67</v>
      </c>
      <c r="F79">
        <v>20.391999999999999</v>
      </c>
      <c r="G79" t="s">
        <v>154</v>
      </c>
      <c r="H79" s="3" t="str">
        <f>IF(Qn-(F79-Ta)&gt;2*ENT,"Fara E","Ok")</f>
        <v>Ok</v>
      </c>
    </row>
    <row r="80" spans="5:8" x14ac:dyDescent="0.25">
      <c r="E80">
        <v>68</v>
      </c>
      <c r="F80">
        <v>20.411999999999999</v>
      </c>
      <c r="G80" t="s">
        <v>155</v>
      </c>
      <c r="H80" s="3" t="str">
        <f>IF(Qn-(F80-Ta)&gt;2*ENT,"Fara E","Ok")</f>
        <v>Ok</v>
      </c>
    </row>
    <row r="81" spans="5:8" x14ac:dyDescent="0.25">
      <c r="E81">
        <v>69</v>
      </c>
      <c r="F81">
        <v>20.391999999999999</v>
      </c>
      <c r="G81" t="s">
        <v>156</v>
      </c>
      <c r="H81" s="3" t="str">
        <f>IF(Qn-(F81-Ta)&gt;2*ENT,"Fara E","Ok")</f>
        <v>Ok</v>
      </c>
    </row>
    <row r="82" spans="5:8" x14ac:dyDescent="0.25">
      <c r="E82">
        <v>70</v>
      </c>
      <c r="F82">
        <v>20.411999999999999</v>
      </c>
      <c r="G82" t="s">
        <v>157</v>
      </c>
      <c r="H82" s="3" t="str">
        <f>IF(Qn-(F82-Ta)&gt;2*ENT,"Fara E","Ok")</f>
        <v>Ok</v>
      </c>
    </row>
    <row r="83" spans="5:8" x14ac:dyDescent="0.25">
      <c r="E83">
        <v>71</v>
      </c>
      <c r="F83">
        <v>20.391999999999999</v>
      </c>
      <c r="G83" t="s">
        <v>158</v>
      </c>
      <c r="H83" s="3" t="str">
        <f>IF(Qn-(F83-Ta)&gt;2*ENT,"Fara E","Ok")</f>
        <v>Ok</v>
      </c>
    </row>
    <row r="84" spans="5:8" x14ac:dyDescent="0.25">
      <c r="E84">
        <v>72</v>
      </c>
      <c r="F84">
        <v>20.391999999999999</v>
      </c>
      <c r="G84" t="s">
        <v>159</v>
      </c>
      <c r="H84" s="3" t="str">
        <f>IF(Qn-(F84-Ta)&gt;2*ENT,"Fara E","Ok")</f>
        <v>Ok</v>
      </c>
    </row>
    <row r="85" spans="5:8" x14ac:dyDescent="0.25">
      <c r="E85">
        <v>73</v>
      </c>
      <c r="F85">
        <v>20.391999999999999</v>
      </c>
      <c r="G85" t="s">
        <v>160</v>
      </c>
      <c r="H85" s="3" t="str">
        <f>IF(Qn-(F85-Ta)&gt;2*ENT,"Fara E","Ok")</f>
        <v>Ok</v>
      </c>
    </row>
    <row r="86" spans="5:8" x14ac:dyDescent="0.25">
      <c r="E86">
        <v>74</v>
      </c>
      <c r="F86">
        <v>20.431999999999999</v>
      </c>
      <c r="G86" t="s">
        <v>161</v>
      </c>
      <c r="H86" s="3" t="str">
        <f>IF(Qn-(F86-Ta)&gt;2*ENT,"Fara E","Ok")</f>
        <v>Ok</v>
      </c>
    </row>
    <row r="87" spans="5:8" x14ac:dyDescent="0.25">
      <c r="E87">
        <v>75</v>
      </c>
      <c r="F87">
        <v>20.411999999999999</v>
      </c>
      <c r="G87" t="s">
        <v>162</v>
      </c>
      <c r="H87" s="3" t="str">
        <f>IF(Qn-(F87-Ta)&gt;2*ENT,"Fara E","Ok")</f>
        <v>Ok</v>
      </c>
    </row>
    <row r="88" spans="5:8" x14ac:dyDescent="0.25">
      <c r="E88">
        <v>76</v>
      </c>
      <c r="F88">
        <v>20.391999999999999</v>
      </c>
      <c r="G88" t="s">
        <v>163</v>
      </c>
      <c r="H88" s="3" t="str">
        <f>IF(Qn-(F88-Ta)&gt;2*ENT,"Fara E","Ok")</f>
        <v>Ok</v>
      </c>
    </row>
    <row r="89" spans="5:8" x14ac:dyDescent="0.25">
      <c r="E89">
        <v>77</v>
      </c>
      <c r="F89">
        <v>20.391999999999999</v>
      </c>
      <c r="G89" t="s">
        <v>164</v>
      </c>
      <c r="H89" s="3" t="str">
        <f>IF(Qn-(F89-Ta)&gt;2*ENT,"Fara E","Ok")</f>
        <v>Ok</v>
      </c>
    </row>
    <row r="90" spans="5:8" x14ac:dyDescent="0.25">
      <c r="E90">
        <v>78</v>
      </c>
      <c r="F90">
        <v>20.391999999999999</v>
      </c>
      <c r="G90" t="s">
        <v>165</v>
      </c>
      <c r="H90" s="3" t="str">
        <f>IF(Qn-(F90-Ta)&gt;2*ENT,"Fara E","Ok")</f>
        <v>Ok</v>
      </c>
    </row>
    <row r="91" spans="5:8" x14ac:dyDescent="0.25">
      <c r="E91">
        <v>79</v>
      </c>
      <c r="F91">
        <v>20.391999999999999</v>
      </c>
      <c r="G91" t="s">
        <v>166</v>
      </c>
      <c r="H91" s="3" t="str">
        <f>IF(Qn-(F91-Ta)&gt;2*ENT,"Fara E","Ok")</f>
        <v>Ok</v>
      </c>
    </row>
    <row r="92" spans="5:8" x14ac:dyDescent="0.25">
      <c r="E92">
        <v>80</v>
      </c>
      <c r="F92">
        <v>20.391999999999999</v>
      </c>
      <c r="G92" t="s">
        <v>167</v>
      </c>
      <c r="H92" s="3" t="str">
        <f>IF(Qn-(F92-Ta)&gt;2*ENT,"Fara E","Ok")</f>
        <v>Ok</v>
      </c>
    </row>
    <row r="93" spans="5:8" x14ac:dyDescent="0.25">
      <c r="E93">
        <v>81</v>
      </c>
      <c r="F93">
        <v>20.391999999999999</v>
      </c>
      <c r="G93" t="s">
        <v>168</v>
      </c>
      <c r="H93" s="3" t="str">
        <f>IF(Qn-(F93-Ta)&gt;2*ENT,"Fara E","Ok")</f>
        <v>Ok</v>
      </c>
    </row>
    <row r="94" spans="5:8" x14ac:dyDescent="0.25">
      <c r="E94">
        <v>82</v>
      </c>
      <c r="F94">
        <v>20.391999999999999</v>
      </c>
      <c r="G94" t="s">
        <v>169</v>
      </c>
      <c r="H94" s="3" t="str">
        <f>IF(Qn-(F94-Ta)&gt;2*ENT,"Fara E","Ok")</f>
        <v>Ok</v>
      </c>
    </row>
    <row r="95" spans="5:8" x14ac:dyDescent="0.25">
      <c r="E95">
        <v>83</v>
      </c>
      <c r="F95">
        <v>20.411999999999999</v>
      </c>
      <c r="G95" t="s">
        <v>170</v>
      </c>
      <c r="H95" s="3" t="str">
        <f>IF(Qn-(F95-Ta)&gt;2*ENT,"Fara E","Ok")</f>
        <v>Ok</v>
      </c>
    </row>
    <row r="96" spans="5:8" x14ac:dyDescent="0.25">
      <c r="E96">
        <v>84</v>
      </c>
      <c r="F96">
        <v>20.411999999999999</v>
      </c>
      <c r="G96" t="s">
        <v>171</v>
      </c>
      <c r="H96" s="3" t="str">
        <f>IF(Qn-(F96-Ta)&gt;2*ENT,"Fara E","Ok")</f>
        <v>Ok</v>
      </c>
    </row>
    <row r="97" spans="5:8" x14ac:dyDescent="0.25">
      <c r="E97">
        <v>85</v>
      </c>
      <c r="F97">
        <v>20.372</v>
      </c>
      <c r="G97" t="s">
        <v>172</v>
      </c>
      <c r="H97" s="3" t="str">
        <f>IF(Qn-(F97-Ta)&gt;2*ENT,"Fara E","Ok")</f>
        <v>Ok</v>
      </c>
    </row>
    <row r="98" spans="5:8" x14ac:dyDescent="0.25">
      <c r="E98">
        <v>86</v>
      </c>
      <c r="F98">
        <v>20.391999999999999</v>
      </c>
      <c r="G98" t="s">
        <v>173</v>
      </c>
      <c r="H98" s="3" t="str">
        <f>IF(Qn-(F98-Ta)&gt;2*ENT,"Fara E","Ok")</f>
        <v>Ok</v>
      </c>
    </row>
    <row r="99" spans="5:8" x14ac:dyDescent="0.25">
      <c r="E99">
        <v>87</v>
      </c>
      <c r="F99">
        <v>20.411999999999999</v>
      </c>
      <c r="G99" t="s">
        <v>174</v>
      </c>
      <c r="H99" s="3" t="str">
        <f>IF(Qn-(F99-Ta)&gt;2*ENT,"Fara E","Ok")</f>
        <v>Ok</v>
      </c>
    </row>
    <row r="100" spans="5:8" x14ac:dyDescent="0.25">
      <c r="E100">
        <v>88</v>
      </c>
      <c r="F100">
        <v>20.431999999999999</v>
      </c>
      <c r="G100" t="s">
        <v>175</v>
      </c>
      <c r="H100" s="3" t="str">
        <f>IF(Qn-(F100-Ta)&gt;2*ENT,"Fara E","Ok")</f>
        <v>Ok</v>
      </c>
    </row>
    <row r="101" spans="5:8" x14ac:dyDescent="0.25">
      <c r="E101">
        <v>89</v>
      </c>
      <c r="F101">
        <v>20.411999999999999</v>
      </c>
      <c r="G101" t="s">
        <v>176</v>
      </c>
      <c r="H101" s="3" t="str">
        <f>IF(Qn-(F101-Ta)&gt;2*ENT,"Fara E","Ok")</f>
        <v>Ok</v>
      </c>
    </row>
    <row r="102" spans="5:8" x14ac:dyDescent="0.25">
      <c r="E102">
        <v>90</v>
      </c>
      <c r="F102">
        <v>20.411999999999999</v>
      </c>
      <c r="G102" t="s">
        <v>177</v>
      </c>
      <c r="H102" s="3" t="str">
        <f>IF(Qn-(F102-Ta)&gt;2*ENT,"Fara E","Ok")</f>
        <v>Ok</v>
      </c>
    </row>
    <row r="103" spans="5:8" x14ac:dyDescent="0.25">
      <c r="E103">
        <v>91</v>
      </c>
      <c r="F103">
        <v>20.391999999999999</v>
      </c>
      <c r="G103" t="s">
        <v>178</v>
      </c>
      <c r="H103" s="3" t="str">
        <f>IF(Qn-(F103-Ta)&gt;2*ENT,"Fara E","Ok")</f>
        <v>Ok</v>
      </c>
    </row>
    <row r="104" spans="5:8" x14ac:dyDescent="0.25">
      <c r="E104">
        <v>92</v>
      </c>
      <c r="F104">
        <v>20.372</v>
      </c>
      <c r="G104" t="s">
        <v>179</v>
      </c>
      <c r="H104" s="3" t="str">
        <f>IF(Qn-(F104-Ta)&gt;2*ENT,"Fara E","Ok")</f>
        <v>Ok</v>
      </c>
    </row>
    <row r="105" spans="5:8" x14ac:dyDescent="0.25">
      <c r="E105">
        <v>93</v>
      </c>
      <c r="F105">
        <v>20.411999999999999</v>
      </c>
      <c r="G105" t="s">
        <v>180</v>
      </c>
      <c r="H105" s="3" t="str">
        <f>IF(Qn-(F105-Ta)&gt;2*ENT,"Fara E","Ok")</f>
        <v>Ok</v>
      </c>
    </row>
    <row r="106" spans="5:8" x14ac:dyDescent="0.25">
      <c r="E106">
        <v>94</v>
      </c>
      <c r="F106">
        <v>20.391999999999999</v>
      </c>
      <c r="G106" t="s">
        <v>181</v>
      </c>
      <c r="H106" s="3" t="str">
        <f>IF(Qn-(F106-Ta)&gt;2*ENT,"Fara E","Ok")</f>
        <v>Ok</v>
      </c>
    </row>
    <row r="107" spans="5:8" x14ac:dyDescent="0.25">
      <c r="E107">
        <v>95</v>
      </c>
      <c r="F107">
        <v>20.411999999999999</v>
      </c>
      <c r="G107" t="s">
        <v>182</v>
      </c>
      <c r="H107" s="3" t="str">
        <f>IF(Qn-(F107-Ta)&gt;2*ENT,"Fara E","Ok")</f>
        <v>Ok</v>
      </c>
    </row>
    <row r="108" spans="5:8" x14ac:dyDescent="0.25">
      <c r="E108">
        <v>96</v>
      </c>
      <c r="F108">
        <v>20.391999999999999</v>
      </c>
      <c r="G108" t="s">
        <v>183</v>
      </c>
      <c r="H108" s="3" t="str">
        <f>IF(Qn-(F108-Ta)&gt;2*ENT,"Fara E","Ok")</f>
        <v>Ok</v>
      </c>
    </row>
    <row r="109" spans="5:8" x14ac:dyDescent="0.25">
      <c r="E109">
        <v>97</v>
      </c>
      <c r="F109">
        <v>20.391999999999999</v>
      </c>
      <c r="G109" t="s">
        <v>184</v>
      </c>
      <c r="H109" s="3" t="str">
        <f>IF(Qn-(F109-Ta)&gt;2*ENT,"Fara E","Ok")</f>
        <v>Ok</v>
      </c>
    </row>
    <row r="110" spans="5:8" x14ac:dyDescent="0.25">
      <c r="E110">
        <v>98</v>
      </c>
      <c r="F110">
        <v>20.411999999999999</v>
      </c>
      <c r="G110" t="s">
        <v>185</v>
      </c>
      <c r="H110" s="3" t="str">
        <f>IF(Qn-(F110-Ta)&gt;2*ENT,"Fara E","Ok")</f>
        <v>Ok</v>
      </c>
    </row>
    <row r="111" spans="5:8" x14ac:dyDescent="0.25">
      <c r="E111">
        <v>99</v>
      </c>
      <c r="F111">
        <v>20.411999999999999</v>
      </c>
      <c r="G111" t="s">
        <v>186</v>
      </c>
      <c r="H111" s="3" t="str">
        <f>IF(Qn-(F111-Ta)&gt;2*ENT,"Fara E","Ok")</f>
        <v>Ok</v>
      </c>
    </row>
    <row r="112" spans="5:8" x14ac:dyDescent="0.25">
      <c r="E112">
        <v>100</v>
      </c>
      <c r="F112">
        <v>20.372</v>
      </c>
      <c r="G112" t="s">
        <v>187</v>
      </c>
      <c r="H112" s="3" t="str">
        <f>IF(Qn-(F112-Ta)&gt;2*ENT,"Fara E","Ok")</f>
        <v>Ok</v>
      </c>
    </row>
    <row r="113" spans="5:8" x14ac:dyDescent="0.25">
      <c r="E113">
        <v>101</v>
      </c>
      <c r="F113">
        <v>20.431999999999999</v>
      </c>
      <c r="G113" t="s">
        <v>188</v>
      </c>
      <c r="H113" s="3" t="str">
        <f>IF(Qn-(F113-Ta)&gt;2*ENT,"Fara E","Ok")</f>
        <v>Ok</v>
      </c>
    </row>
    <row r="114" spans="5:8" x14ac:dyDescent="0.25">
      <c r="E114">
        <v>102</v>
      </c>
      <c r="F114">
        <v>20.391999999999999</v>
      </c>
      <c r="G114" t="s">
        <v>189</v>
      </c>
      <c r="H114" s="3" t="str">
        <f>IF(Qn-(F114-Ta)&gt;2*ENT,"Fara E","Ok")</f>
        <v>Ok</v>
      </c>
    </row>
    <row r="115" spans="5:8" x14ac:dyDescent="0.25">
      <c r="E115">
        <v>103</v>
      </c>
      <c r="F115">
        <v>20.411999999999999</v>
      </c>
      <c r="G115" t="s">
        <v>190</v>
      </c>
      <c r="H115" s="3" t="str">
        <f>IF(Qn-(F115-Ta)&gt;2*ENT,"Fara E","Ok")</f>
        <v>Ok</v>
      </c>
    </row>
    <row r="116" spans="5:8" x14ac:dyDescent="0.25">
      <c r="E116">
        <v>104</v>
      </c>
      <c r="F116">
        <v>20.411999999999999</v>
      </c>
      <c r="G116" t="s">
        <v>191</v>
      </c>
      <c r="H116" s="3" t="str">
        <f>IF(Qn-(F116-Ta)&gt;2*ENT,"Fara E","Ok")</f>
        <v>Ok</v>
      </c>
    </row>
    <row r="117" spans="5:8" x14ac:dyDescent="0.25">
      <c r="E117">
        <v>105</v>
      </c>
      <c r="F117">
        <v>20.391999999999999</v>
      </c>
      <c r="G117" t="s">
        <v>192</v>
      </c>
      <c r="H117" s="3" t="str">
        <f>IF(Qn-(F117-Ta)&gt;2*ENT,"Fara E","Ok")</f>
        <v>Ok</v>
      </c>
    </row>
    <row r="118" spans="5:8" x14ac:dyDescent="0.25">
      <c r="E118">
        <v>106</v>
      </c>
      <c r="F118">
        <v>20.411999999999999</v>
      </c>
      <c r="G118" t="s">
        <v>193</v>
      </c>
      <c r="H118" s="3" t="str">
        <f>IF(Qn-(F118-Ta)&gt;2*ENT,"Fara E","Ok")</f>
        <v>Ok</v>
      </c>
    </row>
    <row r="119" spans="5:8" x14ac:dyDescent="0.25">
      <c r="E119">
        <v>107</v>
      </c>
      <c r="F119">
        <v>20.372</v>
      </c>
      <c r="G119" t="s">
        <v>194</v>
      </c>
      <c r="H119" s="3" t="str">
        <f>IF(Qn-(F119-Ta)&gt;2*ENT,"Fara E","Ok")</f>
        <v>Ok</v>
      </c>
    </row>
    <row r="120" spans="5:8" x14ac:dyDescent="0.25">
      <c r="E120">
        <v>108</v>
      </c>
      <c r="F120">
        <v>20.411999999999999</v>
      </c>
      <c r="G120" t="s">
        <v>195</v>
      </c>
      <c r="H120" s="3" t="str">
        <f>IF(Qn-(F120-Ta)&gt;2*ENT,"Fara E","Ok")</f>
        <v>Ok</v>
      </c>
    </row>
    <row r="121" spans="5:8" x14ac:dyDescent="0.25">
      <c r="E121">
        <v>109</v>
      </c>
      <c r="F121">
        <v>20.372</v>
      </c>
      <c r="G121" t="s">
        <v>196</v>
      </c>
      <c r="H121" s="3" t="str">
        <f>IF(Qn-(F121-Ta)&gt;2*ENT,"Fara E","Ok")</f>
        <v>Ok</v>
      </c>
    </row>
    <row r="122" spans="5:8" x14ac:dyDescent="0.25">
      <c r="E122">
        <v>110</v>
      </c>
      <c r="F122">
        <v>20.391999999999999</v>
      </c>
      <c r="G122" t="s">
        <v>197</v>
      </c>
      <c r="H122" s="3" t="str">
        <f>IF(Qn-(F122-Ta)&gt;2*ENT,"Fara E","Ok")</f>
        <v>Ok</v>
      </c>
    </row>
    <row r="123" spans="5:8" x14ac:dyDescent="0.25">
      <c r="E123">
        <v>111</v>
      </c>
      <c r="F123">
        <v>20.372</v>
      </c>
      <c r="G123" t="s">
        <v>198</v>
      </c>
      <c r="H123" s="3" t="str">
        <f>IF(Qn-(F123-Ta)&gt;2*ENT,"Fara E","Ok")</f>
        <v>Ok</v>
      </c>
    </row>
    <row r="124" spans="5:8" x14ac:dyDescent="0.25">
      <c r="E124">
        <v>112</v>
      </c>
      <c r="F124">
        <v>20.411999999999999</v>
      </c>
      <c r="G124" t="s">
        <v>199</v>
      </c>
      <c r="H124" s="3" t="str">
        <f>IF(Qn-(F124-Ta)&gt;2*ENT,"Fara E","Ok")</f>
        <v>Ok</v>
      </c>
    </row>
    <row r="125" spans="5:8" x14ac:dyDescent="0.25">
      <c r="E125">
        <v>113</v>
      </c>
      <c r="F125">
        <v>20.411999999999999</v>
      </c>
      <c r="G125" t="s">
        <v>200</v>
      </c>
      <c r="H125" s="3" t="str">
        <f>IF(Qn-(F125-Ta)&gt;2*ENT,"Fara E","Ok")</f>
        <v>Ok</v>
      </c>
    </row>
    <row r="126" spans="5:8" x14ac:dyDescent="0.25">
      <c r="E126">
        <v>114</v>
      </c>
      <c r="F126">
        <v>20.391999999999999</v>
      </c>
      <c r="G126" t="s">
        <v>201</v>
      </c>
      <c r="H126" s="3" t="str">
        <f>IF(Qn-(F126-Ta)&gt;2*ENT,"Fara E","Ok")</f>
        <v>Ok</v>
      </c>
    </row>
    <row r="127" spans="5:8" x14ac:dyDescent="0.25">
      <c r="E127">
        <v>115</v>
      </c>
      <c r="F127">
        <v>20.391999999999999</v>
      </c>
      <c r="G127"/>
      <c r="H127" s="3" t="str">
        <f>IF(Qn-(F127-Ta)&gt;2*ENT,"Fara E","Ok")</f>
        <v>Ok</v>
      </c>
    </row>
    <row r="128" spans="5:8" x14ac:dyDescent="0.25">
      <c r="E128">
        <v>116</v>
      </c>
      <c r="F128">
        <v>20.411999999999999</v>
      </c>
      <c r="G128" t="s">
        <v>202</v>
      </c>
      <c r="H128" s="3" t="str">
        <f>IF(Qn-(F128-Ta)&gt;2*ENT,"Fara E","Ok")</f>
        <v>Ok</v>
      </c>
    </row>
    <row r="129" spans="5:8" x14ac:dyDescent="0.25">
      <c r="E129">
        <v>117</v>
      </c>
      <c r="F129">
        <v>20.411999999999999</v>
      </c>
      <c r="G129" t="s">
        <v>203</v>
      </c>
      <c r="H129" s="3" t="str">
        <f>IF(Qn-(F129-Ta)&gt;2*ENT,"Fara E","Ok")</f>
        <v>Ok</v>
      </c>
    </row>
    <row r="130" spans="5:8" x14ac:dyDescent="0.25">
      <c r="E130">
        <v>118</v>
      </c>
      <c r="F130">
        <v>20.391999999999999</v>
      </c>
      <c r="G130" t="s">
        <v>204</v>
      </c>
      <c r="H130" s="3" t="str">
        <f>IF(Qn-(F130-Ta)&gt;2*ENT,"Fara E","Ok")</f>
        <v>Ok</v>
      </c>
    </row>
    <row r="131" spans="5:8" x14ac:dyDescent="0.25">
      <c r="E131">
        <v>119</v>
      </c>
      <c r="F131">
        <v>20.391999999999999</v>
      </c>
      <c r="G131" t="s">
        <v>205</v>
      </c>
      <c r="H131" s="3" t="str">
        <f>IF(Qn-(F131-Ta)&gt;2*ENT,"Fara E","Ok")</f>
        <v>Ok</v>
      </c>
    </row>
    <row r="132" spans="5:8" x14ac:dyDescent="0.25">
      <c r="E132">
        <v>120</v>
      </c>
      <c r="F132">
        <v>20.372</v>
      </c>
      <c r="G132" t="s">
        <v>206</v>
      </c>
      <c r="H132" s="3" t="str">
        <f>IF(Qn-(F132-Ta)&gt;2*ENT,"Fara E","Ok")</f>
        <v>Ok</v>
      </c>
    </row>
    <row r="133" spans="5:8" x14ac:dyDescent="0.25">
      <c r="E133">
        <v>121</v>
      </c>
      <c r="F133">
        <v>20.391999999999999</v>
      </c>
      <c r="G133" t="s">
        <v>207</v>
      </c>
      <c r="H133" s="3" t="str">
        <f>IF(Qn-(F133-Ta)&gt;2*ENT,"Fara E","Ok")</f>
        <v>Ok</v>
      </c>
    </row>
    <row r="134" spans="5:8" x14ac:dyDescent="0.25">
      <c r="E134">
        <v>122</v>
      </c>
      <c r="F134">
        <v>20.411999999999999</v>
      </c>
      <c r="G134" t="s">
        <v>208</v>
      </c>
      <c r="H134" s="3" t="str">
        <f>IF(Qn-(F134-Ta)&gt;2*ENT,"Fara E","Ok")</f>
        <v>Ok</v>
      </c>
    </row>
    <row r="135" spans="5:8" x14ac:dyDescent="0.25">
      <c r="E135">
        <v>123</v>
      </c>
      <c r="F135">
        <v>20.391999999999999</v>
      </c>
      <c r="G135" t="s">
        <v>209</v>
      </c>
      <c r="H135" s="3" t="str">
        <f>IF(Qn-(F135-Ta)&gt;2*ENT,"Fara E","Ok")</f>
        <v>Ok</v>
      </c>
    </row>
    <row r="136" spans="5:8" x14ac:dyDescent="0.25">
      <c r="E136">
        <v>124</v>
      </c>
      <c r="F136">
        <v>20.391999999999999</v>
      </c>
      <c r="G136" t="s">
        <v>210</v>
      </c>
      <c r="H136" s="3" t="str">
        <f>IF(Qn-(F136-Ta)&gt;2*ENT,"Fara E","Ok")</f>
        <v>Ok</v>
      </c>
    </row>
    <row r="137" spans="5:8" x14ac:dyDescent="0.25">
      <c r="E137">
        <v>125</v>
      </c>
      <c r="F137">
        <v>20.372</v>
      </c>
      <c r="G137" t="s">
        <v>211</v>
      </c>
      <c r="H137" s="3" t="str">
        <f>IF(Qn-(F137-Ta)&gt;2*ENT,"Fara E","Ok")</f>
        <v>Ok</v>
      </c>
    </row>
    <row r="138" spans="5:8" x14ac:dyDescent="0.25">
      <c r="E138">
        <v>126</v>
      </c>
      <c r="F138">
        <v>20.411999999999999</v>
      </c>
      <c r="G138" t="s">
        <v>212</v>
      </c>
      <c r="H138" s="3" t="str">
        <f>IF(Qn-(F138-Ta)&gt;2*ENT,"Fara E","Ok")</f>
        <v>Ok</v>
      </c>
    </row>
    <row r="139" spans="5:8" x14ac:dyDescent="0.25">
      <c r="E139">
        <v>127</v>
      </c>
      <c r="F139">
        <v>20.411999999999999</v>
      </c>
      <c r="G139" t="s">
        <v>213</v>
      </c>
      <c r="H139" s="3" t="str">
        <f>IF(Qn-(F139-Ta)&gt;2*ENT,"Fara E","Ok")</f>
        <v>Ok</v>
      </c>
    </row>
    <row r="140" spans="5:8" x14ac:dyDescent="0.25">
      <c r="E140">
        <v>128</v>
      </c>
      <c r="F140">
        <v>20.391999999999999</v>
      </c>
      <c r="G140" t="s">
        <v>214</v>
      </c>
      <c r="H140" s="3" t="str">
        <f>IF(Qn-(F140-Ta)&gt;2*ENT,"Fara E","Ok")</f>
        <v>Ok</v>
      </c>
    </row>
    <row r="141" spans="5:8" x14ac:dyDescent="0.25">
      <c r="E141">
        <v>129</v>
      </c>
      <c r="F141">
        <v>20.411999999999999</v>
      </c>
      <c r="G141" t="s">
        <v>215</v>
      </c>
      <c r="H141" s="3" t="str">
        <f>IF(Qn-(F141-Ta)&gt;2*ENT,"Fara E","Ok")</f>
        <v>Ok</v>
      </c>
    </row>
    <row r="142" spans="5:8" x14ac:dyDescent="0.25">
      <c r="E142">
        <v>130</v>
      </c>
      <c r="F142">
        <v>20.391999999999999</v>
      </c>
      <c r="G142" t="s">
        <v>216</v>
      </c>
      <c r="H142" s="3" t="str">
        <f>IF(Qn-(F142-Ta)&gt;2*ENT,"Fara E","Ok")</f>
        <v>Ok</v>
      </c>
    </row>
    <row r="143" spans="5:8" x14ac:dyDescent="0.25">
      <c r="E143">
        <v>131</v>
      </c>
      <c r="F143">
        <v>20.411999999999999</v>
      </c>
      <c r="G143" t="s">
        <v>217</v>
      </c>
      <c r="H143" s="3" t="str">
        <f>IF(Qn-(F143-Ta)&gt;2*ENT,"Fara E","Ok")</f>
        <v>Ok</v>
      </c>
    </row>
    <row r="144" spans="5:8" x14ac:dyDescent="0.25">
      <c r="E144">
        <v>132</v>
      </c>
      <c r="F144">
        <v>20.411999999999999</v>
      </c>
      <c r="G144" t="s">
        <v>218</v>
      </c>
      <c r="H144" s="3" t="str">
        <f>IF(Qn-(F144-Ta)&gt;2*ENT,"Fara E","Ok")</f>
        <v>Ok</v>
      </c>
    </row>
    <row r="145" spans="5:8" x14ac:dyDescent="0.25">
      <c r="E145">
        <v>133</v>
      </c>
      <c r="F145">
        <v>20.431999999999999</v>
      </c>
      <c r="G145" t="s">
        <v>219</v>
      </c>
      <c r="H145" s="3" t="str">
        <f>IF(Qn-(F145-Ta)&gt;2*ENT,"Fara E","Ok")</f>
        <v>Ok</v>
      </c>
    </row>
    <row r="146" spans="5:8" x14ac:dyDescent="0.25">
      <c r="E146">
        <v>134</v>
      </c>
      <c r="F146">
        <v>20.391999999999999</v>
      </c>
      <c r="G146" t="s">
        <v>220</v>
      </c>
      <c r="H146" s="3" t="str">
        <f>IF(Qn-(F146-Ta)&gt;2*ENT,"Fara E","Ok")</f>
        <v>Ok</v>
      </c>
    </row>
    <row r="147" spans="5:8" x14ac:dyDescent="0.25">
      <c r="E147">
        <v>135</v>
      </c>
      <c r="F147">
        <v>20.411999999999999</v>
      </c>
      <c r="G147" t="s">
        <v>221</v>
      </c>
      <c r="H147" s="3" t="str">
        <f>IF(Qn-(F147-Ta)&gt;2*ENT,"Fara E","Ok")</f>
        <v>Ok</v>
      </c>
    </row>
    <row r="148" spans="5:8" x14ac:dyDescent="0.25">
      <c r="E148">
        <v>136</v>
      </c>
      <c r="F148">
        <v>20.411999999999999</v>
      </c>
      <c r="G148" t="s">
        <v>222</v>
      </c>
      <c r="H148" s="3" t="str">
        <f>IF(Qn-(F148-Ta)&gt;2*ENT,"Fara E","Ok")</f>
        <v>Ok</v>
      </c>
    </row>
    <row r="149" spans="5:8" x14ac:dyDescent="0.25">
      <c r="E149">
        <v>137</v>
      </c>
      <c r="F149">
        <v>20.411999999999999</v>
      </c>
      <c r="G149" t="s">
        <v>223</v>
      </c>
      <c r="H149" s="3" t="str">
        <f>IF(Qn-(F149-Ta)&gt;2*ENT,"Fara E","Ok")</f>
        <v>Ok</v>
      </c>
    </row>
    <row r="150" spans="5:8" x14ac:dyDescent="0.25">
      <c r="E150">
        <v>138</v>
      </c>
      <c r="F150">
        <v>20.391999999999999</v>
      </c>
      <c r="G150"/>
      <c r="H150" s="3" t="str">
        <f>IF(Qn-(F150-Ta)&gt;2*ENT,"Fara E","Ok")</f>
        <v>Ok</v>
      </c>
    </row>
    <row r="151" spans="5:8" x14ac:dyDescent="0.25">
      <c r="E151">
        <v>139</v>
      </c>
      <c r="F151">
        <v>20.391999999999999</v>
      </c>
      <c r="G151" t="s">
        <v>224</v>
      </c>
      <c r="H151" s="3" t="str">
        <f>IF(Qn-(F151-Ta)&gt;2*ENT,"Fara E","Ok")</f>
        <v>Ok</v>
      </c>
    </row>
    <row r="152" spans="5:8" x14ac:dyDescent="0.25">
      <c r="E152">
        <v>140</v>
      </c>
      <c r="F152">
        <v>20.391999999999999</v>
      </c>
      <c r="G152" t="s">
        <v>225</v>
      </c>
      <c r="H152" s="3" t="str">
        <f>IF(Qn-(F152-Ta)&gt;2*ENT,"Fara E","Ok")</f>
        <v>Ok</v>
      </c>
    </row>
    <row r="153" spans="5:8" x14ac:dyDescent="0.25">
      <c r="E153">
        <v>141</v>
      </c>
      <c r="F153">
        <v>20.411999999999999</v>
      </c>
      <c r="G153" t="s">
        <v>226</v>
      </c>
      <c r="H153" s="3" t="str">
        <f>IF(Qn-(F153-Ta)&gt;2*ENT,"Fara E","Ok")</f>
        <v>Ok</v>
      </c>
    </row>
    <row r="154" spans="5:8" x14ac:dyDescent="0.25">
      <c r="E154">
        <v>142</v>
      </c>
      <c r="F154">
        <v>20.431999999999999</v>
      </c>
      <c r="G154" t="s">
        <v>227</v>
      </c>
      <c r="H154" s="3" t="str">
        <f>IF(Qn-(F154-Ta)&gt;2*ENT,"Fara E","Ok")</f>
        <v>Ok</v>
      </c>
    </row>
    <row r="155" spans="5:8" x14ac:dyDescent="0.25">
      <c r="E155">
        <v>143</v>
      </c>
      <c r="F155">
        <v>20.411999999999999</v>
      </c>
      <c r="G155" t="s">
        <v>228</v>
      </c>
      <c r="H155" s="3" t="str">
        <f>IF(Qn-(F155-Ta)&gt;2*ENT,"Fara E","Ok")</f>
        <v>Ok</v>
      </c>
    </row>
    <row r="156" spans="5:8" x14ac:dyDescent="0.25">
      <c r="E156">
        <v>144</v>
      </c>
      <c r="F156">
        <v>20.411999999999999</v>
      </c>
      <c r="G156" t="s">
        <v>229</v>
      </c>
      <c r="H156" s="3" t="str">
        <f>IF(Qn-(F156-Ta)&gt;2*ENT,"Fara E","Ok")</f>
        <v>Ok</v>
      </c>
    </row>
    <row r="157" spans="5:8" x14ac:dyDescent="0.25">
      <c r="E157">
        <v>145</v>
      </c>
      <c r="F157">
        <v>20.372</v>
      </c>
      <c r="G157" t="s">
        <v>230</v>
      </c>
      <c r="H157" s="3" t="str">
        <f>IF(Qn-(F157-Ta)&gt;2*ENT,"Fara E","Ok")</f>
        <v>Ok</v>
      </c>
    </row>
    <row r="158" spans="5:8" x14ac:dyDescent="0.25">
      <c r="E158">
        <v>146</v>
      </c>
      <c r="F158">
        <v>20.391999999999999</v>
      </c>
      <c r="G158" t="s">
        <v>231</v>
      </c>
      <c r="H158" s="3" t="str">
        <f>IF(Qn-(F158-Ta)&gt;2*ENT,"Fara E","Ok")</f>
        <v>Ok</v>
      </c>
    </row>
    <row r="159" spans="5:8" x14ac:dyDescent="0.25">
      <c r="E159">
        <v>147</v>
      </c>
      <c r="F159">
        <v>20.411999999999999</v>
      </c>
      <c r="G159" t="s">
        <v>232</v>
      </c>
      <c r="H159" s="3" t="str">
        <f>IF(Qn-(F159-Ta)&gt;2*ENT,"Fara E","Ok")</f>
        <v>Ok</v>
      </c>
    </row>
    <row r="160" spans="5:8" x14ac:dyDescent="0.25">
      <c r="E160">
        <v>148</v>
      </c>
      <c r="F160">
        <v>20.391999999999999</v>
      </c>
      <c r="G160" t="s">
        <v>233</v>
      </c>
      <c r="H160" s="3" t="str">
        <f>IF(Qn-(F160-Ta)&gt;2*ENT,"Fara E","Ok")</f>
        <v>Ok</v>
      </c>
    </row>
    <row r="161" spans="5:8" x14ac:dyDescent="0.25">
      <c r="E161">
        <v>149</v>
      </c>
      <c r="F161">
        <v>20.411999999999999</v>
      </c>
      <c r="G161" t="s">
        <v>234</v>
      </c>
      <c r="H161" s="3" t="str">
        <f>IF(Qn-(F161-Ta)&gt;2*ENT,"Fara E","Ok")</f>
        <v>Ok</v>
      </c>
    </row>
    <row r="162" spans="5:8" x14ac:dyDescent="0.25">
      <c r="E162">
        <v>150</v>
      </c>
      <c r="F162">
        <v>20.391999999999999</v>
      </c>
      <c r="G162"/>
      <c r="H162" s="3" t="str">
        <f>IF(Qn-(F162-Ta)&gt;2*ENT,"Fara E","Ok")</f>
        <v>Ok</v>
      </c>
    </row>
    <row r="163" spans="5:8" x14ac:dyDescent="0.25">
      <c r="E163">
        <v>151</v>
      </c>
      <c r="F163">
        <v>20.391999999999999</v>
      </c>
      <c r="G163" t="s">
        <v>235</v>
      </c>
      <c r="H163" s="3" t="str">
        <f>IF(Qn-(F163-Ta)&gt;2*ENT,"Fara E","Ok")</f>
        <v>Ok</v>
      </c>
    </row>
    <row r="164" spans="5:8" x14ac:dyDescent="0.25">
      <c r="E164">
        <v>152</v>
      </c>
      <c r="F164">
        <v>20.391999999999999</v>
      </c>
      <c r="G164" t="s">
        <v>236</v>
      </c>
      <c r="H164" s="3" t="str">
        <f>IF(Qn-(F164-Ta)&gt;2*ENT,"Fara E","Ok")</f>
        <v>Ok</v>
      </c>
    </row>
    <row r="165" spans="5:8" x14ac:dyDescent="0.25">
      <c r="E165">
        <v>153</v>
      </c>
      <c r="F165">
        <v>20.411999999999999</v>
      </c>
      <c r="G165" t="s">
        <v>237</v>
      </c>
      <c r="H165" s="3" t="str">
        <f>IF(Qn-(F165-Ta)&gt;2*ENT,"Fara E","Ok")</f>
        <v>Ok</v>
      </c>
    </row>
    <row r="166" spans="5:8" x14ac:dyDescent="0.25">
      <c r="E166">
        <v>154</v>
      </c>
      <c r="F166">
        <v>20.391999999999999</v>
      </c>
      <c r="G166"/>
      <c r="H166" s="3" t="str">
        <f>IF(Qn-(F166-Ta)&gt;2*ENT,"Fara E","Ok")</f>
        <v>Ok</v>
      </c>
    </row>
    <row r="167" spans="5:8" x14ac:dyDescent="0.25">
      <c r="E167">
        <v>155</v>
      </c>
      <c r="F167">
        <v>20.372</v>
      </c>
      <c r="G167" t="s">
        <v>238</v>
      </c>
      <c r="H167" s="3" t="str">
        <f>IF(Qn-(F167-Ta)&gt;2*ENT,"Fara E","Ok")</f>
        <v>Ok</v>
      </c>
    </row>
    <row r="168" spans="5:8" x14ac:dyDescent="0.25">
      <c r="E168">
        <v>156</v>
      </c>
      <c r="F168">
        <v>20.391999999999999</v>
      </c>
      <c r="G168" t="s">
        <v>239</v>
      </c>
      <c r="H168" s="3" t="str">
        <f>IF(Qn-(F168-Ta)&gt;2*ENT,"Fara E","Ok")</f>
        <v>Ok</v>
      </c>
    </row>
    <row r="169" spans="5:8" x14ac:dyDescent="0.25">
      <c r="E169">
        <v>157</v>
      </c>
      <c r="F169">
        <v>20.411999999999999</v>
      </c>
      <c r="G169" t="s">
        <v>240</v>
      </c>
      <c r="H169" s="3" t="str">
        <f>IF(Qn-(F169-Ta)&gt;2*ENT,"Fara E","Ok")</f>
        <v>Ok</v>
      </c>
    </row>
    <row r="170" spans="5:8" x14ac:dyDescent="0.25">
      <c r="E170">
        <v>158</v>
      </c>
      <c r="F170">
        <v>20.411999999999999</v>
      </c>
      <c r="G170" t="s">
        <v>241</v>
      </c>
      <c r="H170" s="3" t="str">
        <f>IF(Qn-(F170-Ta)&gt;2*ENT,"Fara E","Ok")</f>
        <v>Ok</v>
      </c>
    </row>
    <row r="171" spans="5:8" x14ac:dyDescent="0.25">
      <c r="E171">
        <v>159</v>
      </c>
      <c r="F171">
        <v>20.372</v>
      </c>
      <c r="G171" t="s">
        <v>242</v>
      </c>
      <c r="H171" s="3" t="str">
        <f>IF(Qn-(F171-Ta)&gt;2*ENT,"Fara E","Ok")</f>
        <v>Ok</v>
      </c>
    </row>
    <row r="172" spans="5:8" x14ac:dyDescent="0.25">
      <c r="E172">
        <v>160</v>
      </c>
      <c r="F172">
        <v>20.391999999999999</v>
      </c>
      <c r="G172" t="s">
        <v>243</v>
      </c>
      <c r="H172" s="3" t="str">
        <f>IF(Qn-(F172-Ta)&gt;2*ENT,"Fara E","Ok")</f>
        <v>Ok</v>
      </c>
    </row>
    <row r="173" spans="5:8" x14ac:dyDescent="0.25">
      <c r="E173">
        <v>161</v>
      </c>
      <c r="F173">
        <v>20.411999999999999</v>
      </c>
      <c r="G173" t="s">
        <v>244</v>
      </c>
      <c r="H173" s="3" t="str">
        <f>IF(Qn-(F173-Ta)&gt;2*ENT,"Fara E","Ok")</f>
        <v>Ok</v>
      </c>
    </row>
    <row r="174" spans="5:8" x14ac:dyDescent="0.25">
      <c r="E174">
        <v>162</v>
      </c>
      <c r="F174">
        <v>20.411999999999999</v>
      </c>
      <c r="G174" t="s">
        <v>245</v>
      </c>
      <c r="H174" s="3" t="str">
        <f>IF(Qn-(F174-Ta)&gt;2*ENT,"Fara E","Ok")</f>
        <v>Ok</v>
      </c>
    </row>
    <row r="175" spans="5:8" x14ac:dyDescent="0.25">
      <c r="E175">
        <v>163</v>
      </c>
      <c r="F175">
        <v>20.411999999999999</v>
      </c>
      <c r="G175" t="s">
        <v>246</v>
      </c>
      <c r="H175" s="3" t="str">
        <f>IF(Qn-(F175-Ta)&gt;2*ENT,"Fara E","Ok")</f>
        <v>Ok</v>
      </c>
    </row>
    <row r="176" spans="5:8" x14ac:dyDescent="0.25">
      <c r="E176">
        <v>164</v>
      </c>
      <c r="F176">
        <v>20.391999999999999</v>
      </c>
      <c r="G176" t="s">
        <v>247</v>
      </c>
      <c r="H176" s="3" t="str">
        <f>IF(Qn-(F176-Ta)&gt;2*ENT,"Fara E","Ok")</f>
        <v>Ok</v>
      </c>
    </row>
    <row r="177" spans="5:8" x14ac:dyDescent="0.25">
      <c r="E177">
        <v>165</v>
      </c>
      <c r="F177">
        <v>20.391999999999999</v>
      </c>
      <c r="G177" t="s">
        <v>248</v>
      </c>
      <c r="H177" s="3" t="str">
        <f>IF(Qn-(F177-Ta)&gt;2*ENT,"Fara E","Ok")</f>
        <v>Ok</v>
      </c>
    </row>
    <row r="178" spans="5:8" x14ac:dyDescent="0.25">
      <c r="E178">
        <v>166</v>
      </c>
      <c r="F178">
        <v>20.411999999999999</v>
      </c>
      <c r="G178" t="s">
        <v>249</v>
      </c>
      <c r="H178" s="3" t="str">
        <f>IF(Qn-(F178-Ta)&gt;2*ENT,"Fara E","Ok")</f>
        <v>Ok</v>
      </c>
    </row>
    <row r="179" spans="5:8" x14ac:dyDescent="0.25">
      <c r="E179">
        <v>167</v>
      </c>
      <c r="F179">
        <v>20.411999999999999</v>
      </c>
      <c r="G179" t="s">
        <v>250</v>
      </c>
      <c r="H179" s="3" t="str">
        <f>IF(Qn-(F179-Ta)&gt;2*ENT,"Fara E","Ok")</f>
        <v>Ok</v>
      </c>
    </row>
    <row r="180" spans="5:8" x14ac:dyDescent="0.25">
      <c r="E180">
        <v>168</v>
      </c>
      <c r="F180">
        <v>20.411999999999999</v>
      </c>
      <c r="G180" t="s">
        <v>251</v>
      </c>
      <c r="H180" s="3" t="str">
        <f>IF(Qn-(F180-Ta)&gt;2*ENT,"Fara E","Ok")</f>
        <v>Ok</v>
      </c>
    </row>
    <row r="181" spans="5:8" x14ac:dyDescent="0.25">
      <c r="E181">
        <v>169</v>
      </c>
      <c r="F181">
        <v>20.411999999999999</v>
      </c>
      <c r="G181" t="s">
        <v>252</v>
      </c>
      <c r="H181" s="3" t="str">
        <f>IF(Qn-(F181-Ta)&gt;2*ENT,"Fara E","Ok")</f>
        <v>Ok</v>
      </c>
    </row>
    <row r="182" spans="5:8" x14ac:dyDescent="0.25">
      <c r="E182">
        <v>170</v>
      </c>
      <c r="F182">
        <v>20.411999999999999</v>
      </c>
      <c r="G182" t="s">
        <v>253</v>
      </c>
      <c r="H182" s="3" t="str">
        <f>IF(Qn-(F182-Ta)&gt;2*ENT,"Fara E","Ok")</f>
        <v>Ok</v>
      </c>
    </row>
    <row r="183" spans="5:8" x14ac:dyDescent="0.25">
      <c r="E183">
        <v>171</v>
      </c>
      <c r="F183">
        <v>20.411999999999999</v>
      </c>
      <c r="G183" t="s">
        <v>254</v>
      </c>
      <c r="H183" s="3" t="str">
        <f>IF(Qn-(F183-Ta)&gt;2*ENT,"Fara E","Ok")</f>
        <v>Ok</v>
      </c>
    </row>
    <row r="184" spans="5:8" x14ac:dyDescent="0.25">
      <c r="E184">
        <v>172</v>
      </c>
      <c r="F184">
        <v>20.391999999999999</v>
      </c>
      <c r="G184" t="s">
        <v>255</v>
      </c>
      <c r="H184" s="3" t="str">
        <f>IF(Qn-(F184-Ta)&gt;2*ENT,"Fara E","Ok")</f>
        <v>Ok</v>
      </c>
    </row>
    <row r="185" spans="5:8" x14ac:dyDescent="0.25">
      <c r="E185">
        <v>173</v>
      </c>
      <c r="F185">
        <v>20.391999999999999</v>
      </c>
      <c r="G185" t="s">
        <v>256</v>
      </c>
      <c r="H185" s="3" t="str">
        <f>IF(Qn-(F185-Ta)&gt;2*ENT,"Fara E","Ok")</f>
        <v>Ok</v>
      </c>
    </row>
    <row r="186" spans="5:8" x14ac:dyDescent="0.25">
      <c r="E186">
        <v>174</v>
      </c>
      <c r="F186">
        <v>20.431999999999999</v>
      </c>
      <c r="G186" t="s">
        <v>257</v>
      </c>
      <c r="H186" s="3" t="str">
        <f>IF(Qn-(F186-Ta)&gt;2*ENT,"Fara E","Ok")</f>
        <v>Ok</v>
      </c>
    </row>
    <row r="187" spans="5:8" x14ac:dyDescent="0.25">
      <c r="E187">
        <v>175</v>
      </c>
      <c r="F187">
        <v>20.411999999999999</v>
      </c>
      <c r="G187" t="s">
        <v>258</v>
      </c>
      <c r="H187" s="3" t="str">
        <f>IF(Qn-(F187-Ta)&gt;2*ENT,"Fara E","Ok")</f>
        <v>Ok</v>
      </c>
    </row>
    <row r="188" spans="5:8" x14ac:dyDescent="0.25">
      <c r="E188">
        <v>176</v>
      </c>
      <c r="F188">
        <v>20.411999999999999</v>
      </c>
      <c r="G188" t="s">
        <v>259</v>
      </c>
      <c r="H188" s="3" t="str">
        <f>IF(Qn-(F188-Ta)&gt;2*ENT,"Fara E","Ok")</f>
        <v>Ok</v>
      </c>
    </row>
    <row r="189" spans="5:8" x14ac:dyDescent="0.25">
      <c r="E189">
        <v>177</v>
      </c>
      <c r="F189">
        <v>20.391999999999999</v>
      </c>
      <c r="G189"/>
      <c r="H189" s="3" t="str">
        <f>IF(Qn-(F189-Ta)&gt;2*ENT,"Fara E","Ok")</f>
        <v>Ok</v>
      </c>
    </row>
    <row r="190" spans="5:8" x14ac:dyDescent="0.25">
      <c r="E190">
        <v>178</v>
      </c>
      <c r="F190">
        <v>20.411999999999999</v>
      </c>
      <c r="G190" t="s">
        <v>260</v>
      </c>
      <c r="H190" s="3" t="str">
        <f>IF(Qn-(F190-Ta)&gt;2*ENT,"Fara E","Ok")</f>
        <v>Ok</v>
      </c>
    </row>
    <row r="191" spans="5:8" x14ac:dyDescent="0.25">
      <c r="E191">
        <v>179</v>
      </c>
      <c r="F191">
        <v>20.411999999999999</v>
      </c>
      <c r="G191" t="s">
        <v>261</v>
      </c>
      <c r="H191" s="3" t="str">
        <f>IF(Qn-(F191-Ta)&gt;2*ENT,"Fara E","Ok")</f>
        <v>Ok</v>
      </c>
    </row>
    <row r="192" spans="5:8" x14ac:dyDescent="0.25">
      <c r="E192">
        <v>180</v>
      </c>
      <c r="F192">
        <v>20.391999999999999</v>
      </c>
      <c r="G192" t="s">
        <v>262</v>
      </c>
      <c r="H192" s="3" t="str">
        <f>IF(Qn-(F192-Ta)&gt;2*ENT,"Fara E","Ok")</f>
        <v>Ok</v>
      </c>
    </row>
    <row r="193" spans="5:8" x14ac:dyDescent="0.25">
      <c r="E193">
        <v>181</v>
      </c>
      <c r="F193">
        <v>20.411999999999999</v>
      </c>
      <c r="G193" t="s">
        <v>263</v>
      </c>
      <c r="H193" s="3" t="str">
        <f>IF(Qn-(F193-Ta)&gt;2*ENT,"Fara E","Ok")</f>
        <v>Ok</v>
      </c>
    </row>
    <row r="194" spans="5:8" x14ac:dyDescent="0.25">
      <c r="E194">
        <v>182</v>
      </c>
      <c r="F194">
        <v>20.411999999999999</v>
      </c>
      <c r="G194" t="s">
        <v>264</v>
      </c>
      <c r="H194" s="3" t="str">
        <f>IF(Qn-(F194-Ta)&gt;2*ENT,"Fara E","Ok")</f>
        <v>Ok</v>
      </c>
    </row>
    <row r="195" spans="5:8" x14ac:dyDescent="0.25">
      <c r="E195">
        <v>183</v>
      </c>
      <c r="F195">
        <v>20.372</v>
      </c>
      <c r="G195" t="s">
        <v>265</v>
      </c>
      <c r="H195" s="3" t="str">
        <f>IF(Qn-(F195-Ta)&gt;2*ENT,"Fara E","Ok")</f>
        <v>Ok</v>
      </c>
    </row>
    <row r="196" spans="5:8" x14ac:dyDescent="0.25">
      <c r="E196">
        <v>184</v>
      </c>
      <c r="F196">
        <v>20.411999999999999</v>
      </c>
      <c r="G196" t="s">
        <v>266</v>
      </c>
      <c r="H196" s="3" t="str">
        <f>IF(Qn-(F196-Ta)&gt;2*ENT,"Fara E","Ok")</f>
        <v>Ok</v>
      </c>
    </row>
    <row r="197" spans="5:8" x14ac:dyDescent="0.25">
      <c r="E197">
        <v>185</v>
      </c>
      <c r="F197">
        <v>20.411999999999999</v>
      </c>
      <c r="G197" t="s">
        <v>267</v>
      </c>
      <c r="H197" s="3" t="str">
        <f>IF(Qn-(F197-Ta)&gt;2*ENT,"Fara E","Ok")</f>
        <v>Ok</v>
      </c>
    </row>
    <row r="198" spans="5:8" x14ac:dyDescent="0.25">
      <c r="E198">
        <v>186</v>
      </c>
      <c r="F198">
        <v>20.391999999999999</v>
      </c>
      <c r="G198" t="s">
        <v>268</v>
      </c>
      <c r="H198" s="3" t="str">
        <f>IF(Qn-(F198-Ta)&gt;2*ENT,"Fara E","Ok")</f>
        <v>Ok</v>
      </c>
    </row>
    <row r="199" spans="5:8" x14ac:dyDescent="0.25">
      <c r="E199">
        <v>187</v>
      </c>
      <c r="F199">
        <v>20.391999999999999</v>
      </c>
      <c r="G199"/>
      <c r="H199" s="3" t="str">
        <f>IF(Qn-(F199-Ta)&gt;2*ENT,"Fara E","Ok")</f>
        <v>Ok</v>
      </c>
    </row>
    <row r="200" spans="5:8" x14ac:dyDescent="0.25">
      <c r="E200">
        <v>188</v>
      </c>
      <c r="F200">
        <v>20.391999999999999</v>
      </c>
      <c r="G200" t="s">
        <v>269</v>
      </c>
      <c r="H200" s="3" t="str">
        <f>IF(Qn-(F200-Ta)&gt;2*ENT,"Fara E","Ok")</f>
        <v>Ok</v>
      </c>
    </row>
    <row r="201" spans="5:8" x14ac:dyDescent="0.25">
      <c r="E201">
        <v>189</v>
      </c>
      <c r="F201">
        <v>20.372</v>
      </c>
      <c r="G201" t="s">
        <v>270</v>
      </c>
      <c r="H201" s="3" t="str">
        <f>IF(Qn-(F201-Ta)&gt;2*ENT,"Fara E","Ok")</f>
        <v>Ok</v>
      </c>
    </row>
    <row r="202" spans="5:8" x14ac:dyDescent="0.25">
      <c r="E202">
        <v>190</v>
      </c>
      <c r="F202">
        <v>20.372</v>
      </c>
      <c r="G202" t="s">
        <v>271</v>
      </c>
      <c r="H202" s="3" t="str">
        <f>IF(Qn-(F202-Ta)&gt;2*ENT,"Fara E","Ok")</f>
        <v>Ok</v>
      </c>
    </row>
    <row r="203" spans="5:8" x14ac:dyDescent="0.25">
      <c r="E203">
        <v>191</v>
      </c>
      <c r="F203">
        <v>20.391999999999999</v>
      </c>
      <c r="G203" t="s">
        <v>272</v>
      </c>
      <c r="H203" s="3" t="str">
        <f>IF(Qn-(F203-Ta)&gt;2*ENT,"Fara E","Ok")</f>
        <v>Ok</v>
      </c>
    </row>
    <row r="204" spans="5:8" x14ac:dyDescent="0.25">
      <c r="E204">
        <v>192</v>
      </c>
      <c r="F204">
        <v>20.391999999999999</v>
      </c>
      <c r="G204" t="s">
        <v>273</v>
      </c>
      <c r="H204" s="3" t="str">
        <f>IF(Qn-(F204-Ta)&gt;2*ENT,"Fara E","Ok")</f>
        <v>Ok</v>
      </c>
    </row>
    <row r="205" spans="5:8" x14ac:dyDescent="0.25">
      <c r="E205">
        <v>193</v>
      </c>
      <c r="F205">
        <v>20.391999999999999</v>
      </c>
      <c r="G205" t="s">
        <v>274</v>
      </c>
      <c r="H205" s="3" t="str">
        <f>IF(Qn-(F205-Ta)&gt;2*ENT,"Fara E","Ok")</f>
        <v>Ok</v>
      </c>
    </row>
    <row r="206" spans="5:8" x14ac:dyDescent="0.25">
      <c r="E206">
        <v>194</v>
      </c>
      <c r="F206">
        <v>20.411999999999999</v>
      </c>
      <c r="G206" t="s">
        <v>275</v>
      </c>
      <c r="H206" s="3" t="str">
        <f>IF(Qn-(F206-Ta)&gt;2*ENT,"Fara E","Ok")</f>
        <v>Ok</v>
      </c>
    </row>
    <row r="207" spans="5:8" x14ac:dyDescent="0.25">
      <c r="E207">
        <v>195</v>
      </c>
      <c r="F207">
        <v>20.391999999999999</v>
      </c>
      <c r="G207"/>
      <c r="H207" s="3" t="str">
        <f>IF(Qn-(F207-Ta)&gt;2*ENT,"Fara E","Ok")</f>
        <v>Ok</v>
      </c>
    </row>
    <row r="208" spans="5:8" x14ac:dyDescent="0.25">
      <c r="E208">
        <v>196</v>
      </c>
      <c r="F208">
        <v>20.391999999999999</v>
      </c>
      <c r="G208" t="s">
        <v>276</v>
      </c>
      <c r="H208" s="3" t="str">
        <f>IF(Qn-(F208-Ta)&gt;2*ENT,"Fara E","Ok")</f>
        <v>Ok</v>
      </c>
    </row>
    <row r="209" spans="5:8" x14ac:dyDescent="0.25">
      <c r="E209">
        <v>197</v>
      </c>
      <c r="F209">
        <v>20.411999999999999</v>
      </c>
      <c r="G209" t="s">
        <v>277</v>
      </c>
      <c r="H209" s="3" t="str">
        <f>IF(Qn-(F209-Ta)&gt;2*ENT,"Fara E","Ok")</f>
        <v>Ok</v>
      </c>
    </row>
    <row r="210" spans="5:8" x14ac:dyDescent="0.25">
      <c r="E210">
        <v>198</v>
      </c>
      <c r="F210">
        <v>20.391999999999999</v>
      </c>
      <c r="G210" t="s">
        <v>278</v>
      </c>
      <c r="H210" s="3" t="str">
        <f>IF(Qn-(F210-Ta)&gt;2*ENT,"Fara E","Ok")</f>
        <v>Ok</v>
      </c>
    </row>
    <row r="211" spans="5:8" x14ac:dyDescent="0.25">
      <c r="E211">
        <v>199</v>
      </c>
      <c r="F211">
        <v>20.391999999999999</v>
      </c>
      <c r="G211" t="s">
        <v>279</v>
      </c>
      <c r="H211" s="3" t="str">
        <f>IF(Qn-(F211-Ta)&gt;2*ENT,"Fara E","Ok")</f>
        <v>Ok</v>
      </c>
    </row>
    <row r="212" spans="5:8" x14ac:dyDescent="0.25">
      <c r="E212">
        <v>200</v>
      </c>
      <c r="F212">
        <v>20.411999999999999</v>
      </c>
      <c r="G212" t="s">
        <v>280</v>
      </c>
      <c r="H212" s="3" t="str">
        <f>IF(Qn-(F212-Ta)&gt;2*ENT,"Fara E","Ok")</f>
        <v>Ok</v>
      </c>
    </row>
    <row r="213" spans="5:8" x14ac:dyDescent="0.25">
      <c r="E213">
        <v>201</v>
      </c>
      <c r="F213">
        <v>20.411999999999999</v>
      </c>
      <c r="G213" t="s">
        <v>281</v>
      </c>
      <c r="H213" s="3" t="str">
        <f>IF(Qn-(F213-Ta)&gt;2*ENT,"Fara E","Ok")</f>
        <v>Ok</v>
      </c>
    </row>
    <row r="214" spans="5:8" x14ac:dyDescent="0.25">
      <c r="E214">
        <v>202</v>
      </c>
      <c r="F214">
        <v>20.372</v>
      </c>
      <c r="G214" t="s">
        <v>282</v>
      </c>
      <c r="H214" s="3" t="str">
        <f>IF(Qn-(F214-Ta)&gt;2*ENT,"Fara E","Ok")</f>
        <v>Ok</v>
      </c>
    </row>
    <row r="215" spans="5:8" x14ac:dyDescent="0.25">
      <c r="E215">
        <v>203</v>
      </c>
      <c r="F215">
        <v>20.391999999999999</v>
      </c>
      <c r="G215" t="s">
        <v>283</v>
      </c>
      <c r="H215" s="3" t="str">
        <f>IF(Qn-(F215-Ta)&gt;2*ENT,"Fara E","Ok")</f>
        <v>Ok</v>
      </c>
    </row>
    <row r="216" spans="5:8" x14ac:dyDescent="0.25">
      <c r="E216">
        <v>204</v>
      </c>
      <c r="F216">
        <v>20.411999999999999</v>
      </c>
      <c r="G216" t="s">
        <v>284</v>
      </c>
      <c r="H216" s="3" t="str">
        <f>IF(Qn-(F216-Ta)&gt;2*ENT,"Fara E","Ok")</f>
        <v>Ok</v>
      </c>
    </row>
    <row r="217" spans="5:8" x14ac:dyDescent="0.25">
      <c r="E217">
        <v>205</v>
      </c>
      <c r="F217">
        <v>20.411999999999999</v>
      </c>
      <c r="G217" t="s">
        <v>285</v>
      </c>
      <c r="H217" s="3" t="str">
        <f>IF(Qn-(F217-Ta)&gt;2*ENT,"Fara E","Ok")</f>
        <v>Ok</v>
      </c>
    </row>
    <row r="218" spans="5:8" x14ac:dyDescent="0.25">
      <c r="E218">
        <v>206</v>
      </c>
      <c r="F218">
        <v>20.372</v>
      </c>
      <c r="G218" t="s">
        <v>286</v>
      </c>
      <c r="H218" s="3" t="str">
        <f>IF(Qn-(F218-Ta)&gt;2*ENT,"Fara E","Ok")</f>
        <v>Ok</v>
      </c>
    </row>
    <row r="219" spans="5:8" x14ac:dyDescent="0.25">
      <c r="E219">
        <v>207</v>
      </c>
      <c r="F219">
        <v>20.391999999999999</v>
      </c>
      <c r="G219"/>
      <c r="H219" s="3" t="str">
        <f>IF(Qn-(F219-Ta)&gt;2*ENT,"Fara E","Ok")</f>
        <v>Ok</v>
      </c>
    </row>
    <row r="220" spans="5:8" x14ac:dyDescent="0.25">
      <c r="E220">
        <v>208</v>
      </c>
      <c r="F220">
        <v>20.431999999999999</v>
      </c>
      <c r="G220" t="s">
        <v>287</v>
      </c>
      <c r="H220" s="3" t="str">
        <f>IF(Qn-(F220-Ta)&gt;2*ENT,"Fara E","Ok")</f>
        <v>Ok</v>
      </c>
    </row>
    <row r="221" spans="5:8" x14ac:dyDescent="0.25">
      <c r="E221">
        <v>209</v>
      </c>
      <c r="F221">
        <v>20.391999999999999</v>
      </c>
      <c r="G221" t="s">
        <v>288</v>
      </c>
      <c r="H221" s="3" t="str">
        <f>IF(Qn-(F221-Ta)&gt;2*ENT,"Fara E","Ok")</f>
        <v>Ok</v>
      </c>
    </row>
    <row r="222" spans="5:8" x14ac:dyDescent="0.25">
      <c r="E222">
        <v>210</v>
      </c>
      <c r="F222">
        <v>20.372</v>
      </c>
      <c r="G222" t="s">
        <v>289</v>
      </c>
      <c r="H222" s="3" t="str">
        <f>IF(Qn-(F222-Ta)&gt;2*ENT,"Fara E","Ok")</f>
        <v>Ok</v>
      </c>
    </row>
    <row r="223" spans="5:8" x14ac:dyDescent="0.25">
      <c r="E223">
        <v>211</v>
      </c>
      <c r="F223">
        <v>20.411999999999999</v>
      </c>
      <c r="G223" t="s">
        <v>290</v>
      </c>
      <c r="H223" s="3" t="str">
        <f>IF(Qn-(F223-Ta)&gt;2*ENT,"Fara E","Ok")</f>
        <v>Ok</v>
      </c>
    </row>
    <row r="224" spans="5:8" x14ac:dyDescent="0.25">
      <c r="E224">
        <v>212</v>
      </c>
      <c r="F224">
        <v>20.411999999999999</v>
      </c>
      <c r="G224" t="s">
        <v>291</v>
      </c>
      <c r="H224" s="3" t="str">
        <f>IF(Qn-(F224-Ta)&gt;2*ENT,"Fara E","Ok")</f>
        <v>Ok</v>
      </c>
    </row>
    <row r="225" spans="5:8" x14ac:dyDescent="0.25">
      <c r="E225">
        <v>213</v>
      </c>
      <c r="F225">
        <v>20.391999999999999</v>
      </c>
      <c r="G225"/>
      <c r="H225" s="3" t="str">
        <f>IF(Qn-(F225-Ta)&gt;2*ENT,"Fara E","Ok")</f>
        <v>Ok</v>
      </c>
    </row>
    <row r="226" spans="5:8" x14ac:dyDescent="0.25">
      <c r="E226">
        <v>214</v>
      </c>
      <c r="F226">
        <v>20.372</v>
      </c>
      <c r="G226" t="s">
        <v>292</v>
      </c>
      <c r="H226" s="3" t="str">
        <f>IF(Qn-(F226-Ta)&gt;2*ENT,"Fara E","Ok")</f>
        <v>Ok</v>
      </c>
    </row>
    <row r="227" spans="5:8" x14ac:dyDescent="0.25">
      <c r="E227">
        <v>215</v>
      </c>
      <c r="F227">
        <v>20.411999999999999</v>
      </c>
      <c r="G227" t="s">
        <v>293</v>
      </c>
      <c r="H227" s="3" t="str">
        <f>IF(Qn-(F227-Ta)&gt;2*ENT,"Fara E","Ok")</f>
        <v>Ok</v>
      </c>
    </row>
    <row r="228" spans="5:8" x14ac:dyDescent="0.25">
      <c r="E228">
        <v>216</v>
      </c>
      <c r="F228">
        <v>20.411999999999999</v>
      </c>
      <c r="G228" t="s">
        <v>294</v>
      </c>
      <c r="H228" s="3" t="str">
        <f>IF(Qn-(F228-Ta)&gt;2*ENT,"Fara E","Ok")</f>
        <v>Ok</v>
      </c>
    </row>
    <row r="229" spans="5:8" x14ac:dyDescent="0.25">
      <c r="E229">
        <v>217</v>
      </c>
      <c r="F229">
        <v>20.411999999999999</v>
      </c>
      <c r="G229" t="s">
        <v>295</v>
      </c>
      <c r="H229" s="3" t="str">
        <f>IF(Qn-(F229-Ta)&gt;2*ENT,"Fara E","Ok")</f>
        <v>Ok</v>
      </c>
    </row>
    <row r="230" spans="5:8" x14ac:dyDescent="0.25">
      <c r="E230">
        <v>218</v>
      </c>
      <c r="F230">
        <v>20.391999999999999</v>
      </c>
      <c r="G230" t="s">
        <v>296</v>
      </c>
      <c r="H230" s="3" t="str">
        <f>IF(Qn-(F230-Ta)&gt;2*ENT,"Fara E","Ok")</f>
        <v>Ok</v>
      </c>
    </row>
    <row r="231" spans="5:8" x14ac:dyDescent="0.25">
      <c r="E231">
        <v>219</v>
      </c>
      <c r="F231">
        <v>20.391999999999999</v>
      </c>
      <c r="G231" t="s">
        <v>297</v>
      </c>
      <c r="H231" s="3" t="str">
        <f>IF(Qn-(F231-Ta)&gt;2*ENT,"Fara E","Ok")</f>
        <v>Ok</v>
      </c>
    </row>
    <row r="232" spans="5:8" x14ac:dyDescent="0.25">
      <c r="E232">
        <v>220</v>
      </c>
      <c r="F232">
        <v>20.431999999999999</v>
      </c>
      <c r="G232" t="s">
        <v>298</v>
      </c>
      <c r="H232" s="3" t="str">
        <f>IF(Qn-(F232-Ta)&gt;2*ENT,"Fara E","Ok")</f>
        <v>Ok</v>
      </c>
    </row>
    <row r="233" spans="5:8" x14ac:dyDescent="0.25">
      <c r="E233">
        <v>221</v>
      </c>
      <c r="F233">
        <v>20.391999999999999</v>
      </c>
      <c r="G233" t="s">
        <v>299</v>
      </c>
      <c r="H233" s="3" t="str">
        <f>IF(Qn-(F233-Ta)&gt;2*ENT,"Fara E","Ok")</f>
        <v>Ok</v>
      </c>
    </row>
    <row r="234" spans="5:8" x14ac:dyDescent="0.25">
      <c r="E234">
        <v>222</v>
      </c>
      <c r="F234">
        <v>20.411999999999999</v>
      </c>
      <c r="G234" t="s">
        <v>300</v>
      </c>
      <c r="H234" s="3" t="str">
        <f>IF(Qn-(F234-Ta)&gt;2*ENT,"Fara E","Ok")</f>
        <v>Ok</v>
      </c>
    </row>
    <row r="235" spans="5:8" x14ac:dyDescent="0.25">
      <c r="E235">
        <v>223</v>
      </c>
      <c r="F235">
        <v>20.391999999999999</v>
      </c>
      <c r="G235" t="s">
        <v>301</v>
      </c>
      <c r="H235" s="3" t="str">
        <f>IF(Qn-(F235-Ta)&gt;2*ENT,"Fara E","Ok")</f>
        <v>Ok</v>
      </c>
    </row>
    <row r="236" spans="5:8" x14ac:dyDescent="0.25">
      <c r="E236">
        <v>224</v>
      </c>
      <c r="F236">
        <v>20.411999999999999</v>
      </c>
      <c r="G236" t="s">
        <v>302</v>
      </c>
      <c r="H236" s="3" t="str">
        <f>IF(Qn-(F236-Ta)&gt;2*ENT,"Fara E","Ok")</f>
        <v>Ok</v>
      </c>
    </row>
    <row r="237" spans="5:8" x14ac:dyDescent="0.25">
      <c r="E237">
        <v>225</v>
      </c>
      <c r="F237">
        <v>20.391999999999999</v>
      </c>
      <c r="G237" t="s">
        <v>303</v>
      </c>
      <c r="H237" s="3" t="str">
        <f>IF(Qn-(F237-Ta)&gt;2*ENT,"Fara E","Ok")</f>
        <v>Ok</v>
      </c>
    </row>
    <row r="238" spans="5:8" x14ac:dyDescent="0.25">
      <c r="E238">
        <v>226</v>
      </c>
      <c r="F238">
        <v>20.411999999999999</v>
      </c>
      <c r="G238" t="s">
        <v>304</v>
      </c>
      <c r="H238" s="3" t="str">
        <f>IF(Qn-(F238-Ta)&gt;2*ENT,"Fara E","Ok")</f>
        <v>Ok</v>
      </c>
    </row>
    <row r="239" spans="5:8" x14ac:dyDescent="0.25">
      <c r="E239">
        <v>227</v>
      </c>
      <c r="F239">
        <v>20.411999999999999</v>
      </c>
      <c r="G239" t="s">
        <v>305</v>
      </c>
      <c r="H239" s="3" t="str">
        <f>IF(Qn-(F239-Ta)&gt;2*ENT,"Fara E","Ok")</f>
        <v>Ok</v>
      </c>
    </row>
    <row r="240" spans="5:8" x14ac:dyDescent="0.25">
      <c r="E240">
        <v>228</v>
      </c>
      <c r="F240">
        <v>20.391999999999999</v>
      </c>
      <c r="G240"/>
      <c r="H240" s="3" t="str">
        <f>IF(Qn-(F240-Ta)&gt;2*ENT,"Fara E","Ok")</f>
        <v>Ok</v>
      </c>
    </row>
    <row r="241" spans="5:8" x14ac:dyDescent="0.25">
      <c r="E241">
        <v>229</v>
      </c>
      <c r="F241">
        <v>20.411999999999999</v>
      </c>
      <c r="G241" t="s">
        <v>306</v>
      </c>
      <c r="H241" s="3" t="str">
        <f>IF(Qn-(F241-Ta)&gt;2*ENT,"Fara E","Ok")</f>
        <v>Ok</v>
      </c>
    </row>
    <row r="242" spans="5:8" x14ac:dyDescent="0.25">
      <c r="E242">
        <v>230</v>
      </c>
      <c r="F242">
        <v>20.372</v>
      </c>
      <c r="G242" t="s">
        <v>307</v>
      </c>
      <c r="H242" s="3" t="str">
        <f>IF(Qn-(F242-Ta)&gt;2*ENT,"Fara E","Ok")</f>
        <v>Ok</v>
      </c>
    </row>
    <row r="243" spans="5:8" x14ac:dyDescent="0.25">
      <c r="E243">
        <v>231</v>
      </c>
      <c r="F243">
        <v>20.411999999999999</v>
      </c>
      <c r="G243" t="s">
        <v>308</v>
      </c>
      <c r="H243" s="3" t="str">
        <f>IF(Qn-(F243-Ta)&gt;2*ENT,"Fara E","Ok")</f>
        <v>Ok</v>
      </c>
    </row>
    <row r="244" spans="5:8" x14ac:dyDescent="0.25">
      <c r="E244">
        <v>232</v>
      </c>
      <c r="F244">
        <v>20.411999999999999</v>
      </c>
      <c r="G244" t="s">
        <v>309</v>
      </c>
      <c r="H244" s="3" t="str">
        <f>IF(Qn-(F244-Ta)&gt;2*ENT,"Fara E","Ok")</f>
        <v>Ok</v>
      </c>
    </row>
    <row r="245" spans="5:8" x14ac:dyDescent="0.25">
      <c r="E245">
        <v>233</v>
      </c>
      <c r="F245">
        <v>20.391999999999999</v>
      </c>
      <c r="G245" t="s">
        <v>310</v>
      </c>
      <c r="H245" s="3" t="str">
        <f>IF(Qn-(F245-Ta)&gt;2*ENT,"Fara E","Ok")</f>
        <v>Ok</v>
      </c>
    </row>
    <row r="246" spans="5:8" x14ac:dyDescent="0.25">
      <c r="E246">
        <v>234</v>
      </c>
      <c r="F246">
        <v>20.411999999999999</v>
      </c>
      <c r="G246" t="s">
        <v>311</v>
      </c>
      <c r="H246" s="3" t="str">
        <f>IF(Qn-(F246-Ta)&gt;2*ENT,"Fara E","Ok")</f>
        <v>Ok</v>
      </c>
    </row>
    <row r="247" spans="5:8" x14ac:dyDescent="0.25">
      <c r="E247">
        <v>235</v>
      </c>
      <c r="F247">
        <v>20.411999999999999</v>
      </c>
      <c r="G247" t="s">
        <v>312</v>
      </c>
      <c r="H247" s="3" t="str">
        <f>IF(Qn-(F247-Ta)&gt;2*ENT,"Fara E","Ok")</f>
        <v>Ok</v>
      </c>
    </row>
    <row r="248" spans="5:8" x14ac:dyDescent="0.25">
      <c r="E248">
        <v>236</v>
      </c>
      <c r="F248">
        <v>20.411999999999999</v>
      </c>
      <c r="G248" t="s">
        <v>313</v>
      </c>
      <c r="H248" s="3" t="str">
        <f>IF(Qn-(F248-Ta)&gt;2*ENT,"Fara E","Ok")</f>
        <v>Ok</v>
      </c>
    </row>
    <row r="249" spans="5:8" x14ac:dyDescent="0.25">
      <c r="E249">
        <v>237</v>
      </c>
      <c r="F249">
        <v>20.372</v>
      </c>
      <c r="G249" t="s">
        <v>314</v>
      </c>
      <c r="H249" s="3" t="str">
        <f>IF(Qn-(F249-Ta)&gt;2*ENT,"Fara E","Ok")</f>
        <v>Ok</v>
      </c>
    </row>
    <row r="250" spans="5:8" x14ac:dyDescent="0.25">
      <c r="E250">
        <v>238</v>
      </c>
      <c r="F250">
        <v>20.411999999999999</v>
      </c>
      <c r="G250" t="s">
        <v>315</v>
      </c>
      <c r="H250" s="3" t="str">
        <f>IF(Qn-(F250-Ta)&gt;2*ENT,"Fara E","Ok")</f>
        <v>Ok</v>
      </c>
    </row>
    <row r="251" spans="5:8" x14ac:dyDescent="0.25">
      <c r="E251">
        <v>239</v>
      </c>
      <c r="F251">
        <v>20.411999999999999</v>
      </c>
      <c r="G251" t="s">
        <v>316</v>
      </c>
      <c r="H251" s="3" t="str">
        <f>IF(Qn-(F251-Ta)&gt;2*ENT,"Fara E","Ok")</f>
        <v>Ok</v>
      </c>
    </row>
    <row r="252" spans="5:8" x14ac:dyDescent="0.25">
      <c r="E252">
        <v>240</v>
      </c>
      <c r="F252">
        <v>20.411999999999999</v>
      </c>
      <c r="G252" t="s">
        <v>317</v>
      </c>
      <c r="H252" s="3" t="str">
        <f>IF(Qn-(F252-Ta)&gt;2*ENT,"Fara E","Ok")</f>
        <v>Ok</v>
      </c>
    </row>
    <row r="253" spans="5:8" x14ac:dyDescent="0.25">
      <c r="E253">
        <v>241</v>
      </c>
      <c r="F253">
        <v>20.372</v>
      </c>
      <c r="G253" t="s">
        <v>318</v>
      </c>
      <c r="H253" s="3" t="str">
        <f>IF(Qn-(F253-Ta)&gt;2*ENT,"Fara E","Ok")</f>
        <v>Ok</v>
      </c>
    </row>
    <row r="254" spans="5:8" x14ac:dyDescent="0.25">
      <c r="E254">
        <v>242</v>
      </c>
      <c r="F254">
        <v>20.411999999999999</v>
      </c>
      <c r="G254" t="s">
        <v>319</v>
      </c>
      <c r="H254" s="3" t="str">
        <f>IF(Qn-(F254-Ta)&gt;2*ENT,"Fara E","Ok")</f>
        <v>Ok</v>
      </c>
    </row>
    <row r="255" spans="5:8" x14ac:dyDescent="0.25">
      <c r="E255">
        <v>243</v>
      </c>
      <c r="F255">
        <v>20.411999999999999</v>
      </c>
      <c r="G255" t="s">
        <v>320</v>
      </c>
      <c r="H255" s="3" t="str">
        <f>IF(Qn-(F255-Ta)&gt;2*ENT,"Fara E","Ok")</f>
        <v>Ok</v>
      </c>
    </row>
    <row r="256" spans="5:8" x14ac:dyDescent="0.25">
      <c r="E256">
        <v>244</v>
      </c>
      <c r="F256">
        <v>20.411999999999999</v>
      </c>
      <c r="G256" t="s">
        <v>321</v>
      </c>
      <c r="H256" s="3" t="str">
        <f>IF(Qn-(F256-Ta)&gt;2*ENT,"Fara E","Ok")</f>
        <v>Ok</v>
      </c>
    </row>
    <row r="257" spans="5:8" x14ac:dyDescent="0.25">
      <c r="E257">
        <v>245</v>
      </c>
      <c r="F257">
        <v>20.391999999999999</v>
      </c>
      <c r="G257" t="s">
        <v>322</v>
      </c>
      <c r="H257" s="3" t="str">
        <f>IF(Qn-(F257-Ta)&gt;2*ENT,"Fara E","Ok")</f>
        <v>Ok</v>
      </c>
    </row>
    <row r="258" spans="5:8" x14ac:dyDescent="0.25">
      <c r="E258">
        <v>246</v>
      </c>
      <c r="F258">
        <v>20.391999999999999</v>
      </c>
      <c r="G258" t="s">
        <v>323</v>
      </c>
      <c r="H258" s="3" t="str">
        <f>IF(Qn-(F258-Ta)&gt;2*ENT,"Fara E","Ok")</f>
        <v>Ok</v>
      </c>
    </row>
    <row r="259" spans="5:8" x14ac:dyDescent="0.25">
      <c r="E259">
        <v>247</v>
      </c>
      <c r="F259">
        <v>20.411999999999999</v>
      </c>
      <c r="G259" t="s">
        <v>324</v>
      </c>
      <c r="H259" s="3" t="str">
        <f>IF(Qn-(F259-Ta)&gt;2*ENT,"Fara E","Ok")</f>
        <v>Ok</v>
      </c>
    </row>
    <row r="260" spans="5:8" x14ac:dyDescent="0.25">
      <c r="E260">
        <v>248</v>
      </c>
      <c r="F260">
        <v>20.372</v>
      </c>
      <c r="G260" t="s">
        <v>325</v>
      </c>
      <c r="H260" s="3" t="str">
        <f>IF(Qn-(F260-Ta)&gt;2*ENT,"Fara E","Ok")</f>
        <v>Ok</v>
      </c>
    </row>
    <row r="261" spans="5:8" x14ac:dyDescent="0.25">
      <c r="E261">
        <v>249</v>
      </c>
      <c r="F261">
        <v>20.391999999999999</v>
      </c>
      <c r="G261" t="s">
        <v>326</v>
      </c>
      <c r="H261" s="3" t="str">
        <f>IF(Qn-(F261-Ta)&gt;2*ENT,"Fara E","Ok")</f>
        <v>Ok</v>
      </c>
    </row>
    <row r="262" spans="5:8" x14ac:dyDescent="0.25">
      <c r="E262">
        <v>250</v>
      </c>
      <c r="F262">
        <v>20.372</v>
      </c>
      <c r="G262" t="s">
        <v>327</v>
      </c>
      <c r="H262" s="3" t="str">
        <f>IF(Qn-(F262-Ta)&gt;2*ENT,"Fara E","Ok")</f>
        <v>Ok</v>
      </c>
    </row>
    <row r="263" spans="5:8" x14ac:dyDescent="0.25">
      <c r="E263">
        <v>251</v>
      </c>
      <c r="F263">
        <v>20.411999999999999</v>
      </c>
      <c r="G263" t="s">
        <v>328</v>
      </c>
      <c r="H263" s="3" t="str">
        <f>IF(Qn-(F263-Ta)&gt;2*ENT,"Fara E","Ok")</f>
        <v>Ok</v>
      </c>
    </row>
    <row r="264" spans="5:8" x14ac:dyDescent="0.25">
      <c r="E264">
        <v>252</v>
      </c>
      <c r="F264">
        <v>20.391999999999999</v>
      </c>
      <c r="G264" t="s">
        <v>329</v>
      </c>
      <c r="H264" s="3" t="str">
        <f>IF(Qn-(F264-Ta)&gt;2*ENT,"Fara E","Ok")</f>
        <v>Ok</v>
      </c>
    </row>
    <row r="265" spans="5:8" x14ac:dyDescent="0.25">
      <c r="E265">
        <v>253</v>
      </c>
      <c r="F265">
        <v>20.411999999999999</v>
      </c>
      <c r="G265" t="s">
        <v>330</v>
      </c>
      <c r="H265" s="3" t="str">
        <f>IF(Qn-(F265-Ta)&gt;2*ENT,"Fara E","Ok")</f>
        <v>Ok</v>
      </c>
    </row>
    <row r="266" spans="5:8" x14ac:dyDescent="0.25">
      <c r="E266">
        <v>254</v>
      </c>
      <c r="F266">
        <v>20.372</v>
      </c>
      <c r="G266" t="s">
        <v>331</v>
      </c>
      <c r="H266" s="3" t="str">
        <f>IF(Qn-(F266-Ta)&gt;2*ENT,"Fara E","Ok")</f>
        <v>Ok</v>
      </c>
    </row>
    <row r="267" spans="5:8" x14ac:dyDescent="0.25">
      <c r="E267">
        <v>255</v>
      </c>
      <c r="F267">
        <v>20.391999999999999</v>
      </c>
      <c r="G267" t="s">
        <v>332</v>
      </c>
      <c r="H267" s="3" t="str">
        <f>IF(Qn-(F267-Ta)&gt;2*ENT,"Fara E","Ok")</f>
        <v>Ok</v>
      </c>
    </row>
    <row r="268" spans="5:8" x14ac:dyDescent="0.25">
      <c r="E268">
        <v>256</v>
      </c>
      <c r="F268">
        <v>20.431999999999999</v>
      </c>
      <c r="G268" t="s">
        <v>333</v>
      </c>
      <c r="H268" s="3" t="str">
        <f>IF(Qn-(F268-Ta)&gt;2*ENT,"Fara E","Ok")</f>
        <v>Ok</v>
      </c>
    </row>
    <row r="269" spans="5:8" x14ac:dyDescent="0.25">
      <c r="E269">
        <v>257</v>
      </c>
      <c r="F269">
        <v>20.411999999999999</v>
      </c>
      <c r="G269" t="s">
        <v>334</v>
      </c>
      <c r="H269" s="3" t="str">
        <f>IF(Qn-(F269-Ta)&gt;2*ENT,"Fara E","Ok")</f>
        <v>Ok</v>
      </c>
    </row>
    <row r="270" spans="5:8" x14ac:dyDescent="0.25">
      <c r="E270">
        <v>258</v>
      </c>
      <c r="F270">
        <v>20.391999999999999</v>
      </c>
      <c r="G270" t="s">
        <v>335</v>
      </c>
      <c r="H270" s="3" t="str">
        <f>IF(Qn-(F270-Ta)&gt;2*ENT,"Fara E","Ok")</f>
        <v>Ok</v>
      </c>
    </row>
    <row r="271" spans="5:8" x14ac:dyDescent="0.25">
      <c r="E271">
        <v>259</v>
      </c>
      <c r="F271">
        <v>20.411999999999999</v>
      </c>
      <c r="G271" t="s">
        <v>336</v>
      </c>
      <c r="H271" s="3" t="str">
        <f>IF(Qn-(F271-Ta)&gt;2*ENT,"Fara E","Ok")</f>
        <v>Ok</v>
      </c>
    </row>
    <row r="272" spans="5:8" x14ac:dyDescent="0.25">
      <c r="E272">
        <v>260</v>
      </c>
      <c r="F272">
        <v>20.372</v>
      </c>
      <c r="G272" t="s">
        <v>337</v>
      </c>
      <c r="H272" s="3" t="str">
        <f>IF(Qn-(F272-Ta)&gt;2*ENT,"Fara E","Ok")</f>
        <v>Ok</v>
      </c>
    </row>
    <row r="273" spans="5:8" x14ac:dyDescent="0.25">
      <c r="E273">
        <v>261</v>
      </c>
      <c r="F273">
        <v>20.391999999999999</v>
      </c>
      <c r="G273" t="s">
        <v>338</v>
      </c>
      <c r="H273" s="3" t="str">
        <f>IF(Qn-(F273-Ta)&gt;2*ENT,"Fara E","Ok")</f>
        <v>Ok</v>
      </c>
    </row>
    <row r="274" spans="5:8" x14ac:dyDescent="0.25">
      <c r="E274">
        <v>262</v>
      </c>
      <c r="F274">
        <v>20.391999999999999</v>
      </c>
      <c r="G274" t="s">
        <v>339</v>
      </c>
      <c r="H274" s="3" t="str">
        <f>IF(Qn-(F274-Ta)&gt;2*ENT,"Fara E","Ok")</f>
        <v>Ok</v>
      </c>
    </row>
    <row r="275" spans="5:8" x14ac:dyDescent="0.25">
      <c r="E275">
        <v>263</v>
      </c>
      <c r="F275">
        <v>20.411999999999999</v>
      </c>
      <c r="G275" t="s">
        <v>340</v>
      </c>
      <c r="H275" s="3" t="str">
        <f>IF(Qn-(F275-Ta)&gt;2*ENT,"Fara E","Ok")</f>
        <v>Ok</v>
      </c>
    </row>
    <row r="276" spans="5:8" x14ac:dyDescent="0.25">
      <c r="E276">
        <v>264</v>
      </c>
      <c r="F276">
        <v>20.391999999999999</v>
      </c>
      <c r="G276" t="s">
        <v>341</v>
      </c>
      <c r="H276" s="3" t="str">
        <f>IF(Qn-(F276-Ta)&gt;2*ENT,"Fara E","Ok")</f>
        <v>Ok</v>
      </c>
    </row>
    <row r="277" spans="5:8" x14ac:dyDescent="0.25">
      <c r="E277">
        <v>265</v>
      </c>
      <c r="F277">
        <v>20.391999999999999</v>
      </c>
      <c r="G277" t="s">
        <v>342</v>
      </c>
      <c r="H277" s="3" t="str">
        <f>IF(Qn-(F277-Ta)&gt;2*ENT,"Fara E","Ok")</f>
        <v>Ok</v>
      </c>
    </row>
    <row r="278" spans="5:8" x14ac:dyDescent="0.25">
      <c r="E278">
        <v>266</v>
      </c>
      <c r="F278">
        <v>20.391999999999999</v>
      </c>
      <c r="G278" t="s">
        <v>343</v>
      </c>
      <c r="H278" s="3" t="str">
        <f>IF(Qn-(F278-Ta)&gt;2*ENT,"Fara E","Ok")</f>
        <v>Ok</v>
      </c>
    </row>
    <row r="279" spans="5:8" x14ac:dyDescent="0.25">
      <c r="E279">
        <v>267</v>
      </c>
      <c r="F279">
        <v>20.411999999999999</v>
      </c>
      <c r="G279" t="s">
        <v>344</v>
      </c>
      <c r="H279" s="3" t="str">
        <f>IF(Qn-(F279-Ta)&gt;2*ENT,"Fara E","Ok")</f>
        <v>Ok</v>
      </c>
    </row>
    <row r="280" spans="5:8" x14ac:dyDescent="0.25">
      <c r="E280">
        <v>268</v>
      </c>
      <c r="F280">
        <v>20.391999999999999</v>
      </c>
      <c r="G280"/>
      <c r="H280" s="3" t="str">
        <f>IF(Qn-(F280-Ta)&gt;2*ENT,"Fara E","Ok")</f>
        <v>Ok</v>
      </c>
    </row>
    <row r="281" spans="5:8" x14ac:dyDescent="0.25">
      <c r="E281">
        <v>269</v>
      </c>
      <c r="F281">
        <v>20.391999999999999</v>
      </c>
      <c r="G281" t="s">
        <v>345</v>
      </c>
      <c r="H281" s="3" t="str">
        <f>IF(Qn-(F281-Ta)&gt;2*ENT,"Fara E","Ok")</f>
        <v>Ok</v>
      </c>
    </row>
    <row r="282" spans="5:8" x14ac:dyDescent="0.25">
      <c r="E282">
        <v>270</v>
      </c>
      <c r="F282">
        <v>20.372</v>
      </c>
      <c r="G282" t="s">
        <v>346</v>
      </c>
      <c r="H282" s="3" t="str">
        <f>IF(Qn-(F282-Ta)&gt;2*ENT,"Fara E","Ok")</f>
        <v>Ok</v>
      </c>
    </row>
    <row r="283" spans="5:8" x14ac:dyDescent="0.25">
      <c r="E283">
        <v>271</v>
      </c>
      <c r="F283">
        <v>20.391999999999999</v>
      </c>
      <c r="G283" t="s">
        <v>347</v>
      </c>
      <c r="H283" s="3" t="str">
        <f>IF(Qn-(F283-Ta)&gt;2*ENT,"Fara E","Ok")</f>
        <v>Ok</v>
      </c>
    </row>
    <row r="284" spans="5:8" x14ac:dyDescent="0.25">
      <c r="E284">
        <v>272</v>
      </c>
      <c r="F284">
        <v>20.391999999999999</v>
      </c>
      <c r="G284" t="s">
        <v>348</v>
      </c>
      <c r="H284" s="3" t="str">
        <f>IF(Qn-(F284-Ta)&gt;2*ENT,"Fara E","Ok")</f>
        <v>Ok</v>
      </c>
    </row>
    <row r="285" spans="5:8" x14ac:dyDescent="0.25">
      <c r="E285">
        <v>273</v>
      </c>
      <c r="F285">
        <v>20.411999999999999</v>
      </c>
      <c r="G285" t="s">
        <v>349</v>
      </c>
      <c r="H285" s="3" t="str">
        <f>IF(Qn-(F285-Ta)&gt;2*ENT,"Fara E","Ok")</f>
        <v>Ok</v>
      </c>
    </row>
    <row r="286" spans="5:8" x14ac:dyDescent="0.25">
      <c r="E286">
        <v>274</v>
      </c>
      <c r="F286">
        <v>20.411999999999999</v>
      </c>
      <c r="G286" t="s">
        <v>350</v>
      </c>
      <c r="H286" s="3" t="str">
        <f>IF(Qn-(F286-Ta)&gt;2*ENT,"Fara E","Ok")</f>
        <v>Ok</v>
      </c>
    </row>
    <row r="287" spans="5:8" x14ac:dyDescent="0.25">
      <c r="E287">
        <v>275</v>
      </c>
      <c r="F287">
        <v>20.411999999999999</v>
      </c>
      <c r="G287" t="s">
        <v>351</v>
      </c>
      <c r="H287" s="3" t="str">
        <f>IF(Qn-(F287-Ta)&gt;2*ENT,"Fara E","Ok")</f>
        <v>Ok</v>
      </c>
    </row>
    <row r="288" spans="5:8" x14ac:dyDescent="0.25">
      <c r="E288">
        <v>276</v>
      </c>
      <c r="F288">
        <v>20.411999999999999</v>
      </c>
      <c r="G288" t="s">
        <v>352</v>
      </c>
      <c r="H288" s="3" t="str">
        <f>IF(Qn-(F288-Ta)&gt;2*ENT,"Fara E","Ok")</f>
        <v>Ok</v>
      </c>
    </row>
    <row r="289" spans="5:8" x14ac:dyDescent="0.25">
      <c r="E289">
        <v>277</v>
      </c>
      <c r="F289">
        <v>20.391999999999999</v>
      </c>
      <c r="G289" t="s">
        <v>353</v>
      </c>
      <c r="H289" s="3" t="str">
        <f>IF(Qn-(F289-Ta)&gt;2*ENT,"Fara E","Ok")</f>
        <v>Ok</v>
      </c>
    </row>
    <row r="290" spans="5:8" x14ac:dyDescent="0.25">
      <c r="E290">
        <v>278</v>
      </c>
      <c r="F290">
        <v>20.391999999999999</v>
      </c>
      <c r="G290" t="s">
        <v>354</v>
      </c>
      <c r="H290" s="3" t="str">
        <f>IF(Qn-(F290-Ta)&gt;2*ENT,"Fara E","Ok")</f>
        <v>Ok</v>
      </c>
    </row>
    <row r="291" spans="5:8" x14ac:dyDescent="0.25">
      <c r="E291">
        <v>279</v>
      </c>
      <c r="F291">
        <v>20.411999999999999</v>
      </c>
      <c r="G291" t="s">
        <v>355</v>
      </c>
      <c r="H291" s="3" t="str">
        <f>IF(Qn-(F291-Ta)&gt;2*ENT,"Fara E","Ok")</f>
        <v>Ok</v>
      </c>
    </row>
    <row r="292" spans="5:8" x14ac:dyDescent="0.25">
      <c r="E292">
        <v>280</v>
      </c>
      <c r="F292">
        <v>20.391999999999999</v>
      </c>
      <c r="G292" t="s">
        <v>356</v>
      </c>
      <c r="H292" s="3" t="str">
        <f>IF(Qn-(F292-Ta)&gt;2*ENT,"Fara E","Ok")</f>
        <v>Ok</v>
      </c>
    </row>
    <row r="293" spans="5:8" x14ac:dyDescent="0.25">
      <c r="E293">
        <v>281</v>
      </c>
      <c r="F293">
        <v>20.372</v>
      </c>
      <c r="G293" t="s">
        <v>357</v>
      </c>
      <c r="H293" s="3" t="str">
        <f>IF(Qn-(F293-Ta)&gt;2*ENT,"Fara E","Ok")</f>
        <v>Ok</v>
      </c>
    </row>
    <row r="294" spans="5:8" x14ac:dyDescent="0.25">
      <c r="E294">
        <v>282</v>
      </c>
      <c r="F294">
        <v>20.431999999999999</v>
      </c>
      <c r="G294" t="s">
        <v>358</v>
      </c>
      <c r="H294" s="3" t="str">
        <f>IF(Qn-(F294-Ta)&gt;2*ENT,"Fara E","Ok")</f>
        <v>Ok</v>
      </c>
    </row>
    <row r="295" spans="5:8" x14ac:dyDescent="0.25">
      <c r="E295">
        <v>283</v>
      </c>
      <c r="F295">
        <v>20.372</v>
      </c>
      <c r="G295" t="s">
        <v>359</v>
      </c>
      <c r="H295" s="3" t="str">
        <f>IF(Qn-(F295-Ta)&gt;2*ENT,"Fara E","Ok")</f>
        <v>Ok</v>
      </c>
    </row>
    <row r="296" spans="5:8" x14ac:dyDescent="0.25">
      <c r="E296">
        <v>284</v>
      </c>
      <c r="F296">
        <v>20.411999999999999</v>
      </c>
      <c r="G296" t="s">
        <v>360</v>
      </c>
      <c r="H296" s="3" t="str">
        <f>IF(Qn-(F296-Ta)&gt;2*ENT,"Fara E","Ok")</f>
        <v>Ok</v>
      </c>
    </row>
    <row r="297" spans="5:8" x14ac:dyDescent="0.25">
      <c r="E297">
        <v>285</v>
      </c>
      <c r="F297">
        <v>20.411999999999999</v>
      </c>
      <c r="G297" t="s">
        <v>361</v>
      </c>
      <c r="H297" s="3" t="str">
        <f>IF(Qn-(F297-Ta)&gt;2*ENT,"Fara E","Ok")</f>
        <v>Ok</v>
      </c>
    </row>
    <row r="298" spans="5:8" x14ac:dyDescent="0.25">
      <c r="E298">
        <v>286</v>
      </c>
      <c r="F298">
        <v>20.431999999999999</v>
      </c>
      <c r="G298" t="s">
        <v>362</v>
      </c>
      <c r="H298" s="3" t="str">
        <f>IF(Qn-(F298-Ta)&gt;2*ENT,"Fara E","Ok")</f>
        <v>Ok</v>
      </c>
    </row>
    <row r="299" spans="5:8" x14ac:dyDescent="0.25">
      <c r="E299">
        <v>287</v>
      </c>
      <c r="F299">
        <v>20.411999999999999</v>
      </c>
      <c r="G299" t="s">
        <v>363</v>
      </c>
      <c r="H299" s="3" t="str">
        <f>IF(Qn-(F299-Ta)&gt;2*ENT,"Fara E","Ok")</f>
        <v>Ok</v>
      </c>
    </row>
    <row r="300" spans="5:8" x14ac:dyDescent="0.25">
      <c r="E300">
        <v>288</v>
      </c>
      <c r="F300">
        <v>20.411999999999999</v>
      </c>
      <c r="G300" t="s">
        <v>364</v>
      </c>
      <c r="H300" s="3" t="str">
        <f>IF(Qn-(F300-Ta)&gt;2*ENT,"Fara E","Ok")</f>
        <v>Ok</v>
      </c>
    </row>
    <row r="301" spans="5:8" x14ac:dyDescent="0.25">
      <c r="E301">
        <v>289</v>
      </c>
      <c r="F301">
        <v>20.391999999999999</v>
      </c>
      <c r="G301" t="s">
        <v>365</v>
      </c>
      <c r="H301" s="3" t="str">
        <f>IF(Qn-(F301-Ta)&gt;2*ENT,"Fara E","Ok")</f>
        <v>Ok</v>
      </c>
    </row>
    <row r="302" spans="5:8" x14ac:dyDescent="0.25">
      <c r="E302">
        <v>290</v>
      </c>
      <c r="F302">
        <v>20.391999999999999</v>
      </c>
      <c r="G302" t="s">
        <v>366</v>
      </c>
      <c r="H302" s="3" t="str">
        <f>IF(Qn-(F302-Ta)&gt;2*ENT,"Fara E","Ok")</f>
        <v>Ok</v>
      </c>
    </row>
    <row r="303" spans="5:8" x14ac:dyDescent="0.25">
      <c r="E303">
        <v>291</v>
      </c>
      <c r="F303">
        <v>20.411999999999999</v>
      </c>
      <c r="G303" t="s">
        <v>367</v>
      </c>
      <c r="H303" s="3" t="str">
        <f>IF(Qn-(F303-Ta)&gt;2*ENT,"Fara E","Ok")</f>
        <v>Ok</v>
      </c>
    </row>
    <row r="304" spans="5:8" x14ac:dyDescent="0.25">
      <c r="E304">
        <v>292</v>
      </c>
      <c r="F304">
        <v>20.391999999999999</v>
      </c>
      <c r="G304" t="s">
        <v>368</v>
      </c>
      <c r="H304" s="3" t="str">
        <f>IF(Qn-(F304-Ta)&gt;2*ENT,"Fara E","Ok")</f>
        <v>Ok</v>
      </c>
    </row>
    <row r="305" spans="5:8" x14ac:dyDescent="0.25">
      <c r="E305">
        <v>293</v>
      </c>
      <c r="F305">
        <v>20.372</v>
      </c>
      <c r="G305" t="s">
        <v>369</v>
      </c>
      <c r="H305" s="3" t="str">
        <f>IF(Qn-(F305-Ta)&gt;2*ENT,"Fara E","Ok")</f>
        <v>Ok</v>
      </c>
    </row>
    <row r="306" spans="5:8" x14ac:dyDescent="0.25">
      <c r="E306">
        <v>294</v>
      </c>
      <c r="F306">
        <v>20.411999999999999</v>
      </c>
      <c r="G306" t="s">
        <v>370</v>
      </c>
      <c r="H306" s="3" t="str">
        <f>IF(Qn-(F306-Ta)&gt;2*ENT,"Fara E","Ok")</f>
        <v>Ok</v>
      </c>
    </row>
    <row r="307" spans="5:8" x14ac:dyDescent="0.25">
      <c r="E307">
        <v>295</v>
      </c>
      <c r="F307">
        <v>20.372</v>
      </c>
      <c r="G307" t="s">
        <v>371</v>
      </c>
      <c r="H307" s="3" t="str">
        <f>IF(Qn-(F307-Ta)&gt;2*ENT,"Fara E","Ok")</f>
        <v>Ok</v>
      </c>
    </row>
    <row r="308" spans="5:8" x14ac:dyDescent="0.25">
      <c r="E308">
        <v>296</v>
      </c>
      <c r="F308">
        <v>20.372</v>
      </c>
      <c r="G308" t="s">
        <v>372</v>
      </c>
      <c r="H308" s="3" t="str">
        <f>IF(Qn-(F308-Ta)&gt;2*ENT,"Fara E","Ok")</f>
        <v>Ok</v>
      </c>
    </row>
    <row r="309" spans="5:8" x14ac:dyDescent="0.25">
      <c r="E309">
        <v>297</v>
      </c>
      <c r="F309">
        <v>20.391999999999999</v>
      </c>
      <c r="G309" t="s">
        <v>373</v>
      </c>
      <c r="H309" s="3" t="str">
        <f>IF(Qn-(F309-Ta)&gt;2*ENT,"Fara E","Ok")</f>
        <v>Ok</v>
      </c>
    </row>
    <row r="310" spans="5:8" x14ac:dyDescent="0.25">
      <c r="E310">
        <v>298</v>
      </c>
      <c r="F310">
        <v>20.391999999999999</v>
      </c>
      <c r="G310" t="s">
        <v>374</v>
      </c>
      <c r="H310" s="3" t="str">
        <f>IF(Qn-(F310-Ta)&gt;2*ENT,"Fara E","Ok")</f>
        <v>Ok</v>
      </c>
    </row>
    <row r="311" spans="5:8" x14ac:dyDescent="0.25">
      <c r="E311">
        <v>299</v>
      </c>
      <c r="F311">
        <v>20.411999999999999</v>
      </c>
      <c r="G311" t="s">
        <v>375</v>
      </c>
      <c r="H311" s="3" t="str">
        <f>IF(Qn-(F311-Ta)&gt;2*ENT,"Fara E","Ok")</f>
        <v>Ok</v>
      </c>
    </row>
    <row r="312" spans="5:8" x14ac:dyDescent="0.25">
      <c r="E312">
        <v>300</v>
      </c>
      <c r="F312">
        <v>20.411999999999999</v>
      </c>
      <c r="G312" t="s">
        <v>376</v>
      </c>
      <c r="H312" s="3" t="str">
        <f>IF(Qn-(F312-Ta)&gt;2*ENT,"Fara E","Ok")</f>
        <v>Ok</v>
      </c>
    </row>
    <row r="313" spans="5:8" x14ac:dyDescent="0.25">
      <c r="E313">
        <v>301</v>
      </c>
      <c r="F313">
        <v>20.411999999999999</v>
      </c>
      <c r="G313" t="s">
        <v>377</v>
      </c>
      <c r="H313" s="3" t="str">
        <f>IF(Qn-(F313-Ta)&gt;2*ENT,"Fara E","Ok")</f>
        <v>Ok</v>
      </c>
    </row>
    <row r="314" spans="5:8" x14ac:dyDescent="0.25">
      <c r="E314">
        <v>302</v>
      </c>
      <c r="F314">
        <v>20.391999999999999</v>
      </c>
      <c r="G314" t="s">
        <v>378</v>
      </c>
      <c r="H314" s="3" t="str">
        <f>IF(Qn-(F314-Ta)&gt;2*ENT,"Fara E","Ok")</f>
        <v>Ok</v>
      </c>
    </row>
    <row r="315" spans="5:8" x14ac:dyDescent="0.25">
      <c r="E315">
        <v>303</v>
      </c>
      <c r="F315">
        <v>20.431999999999999</v>
      </c>
      <c r="G315" t="s">
        <v>379</v>
      </c>
      <c r="H315" s="3" t="str">
        <f>IF(Qn-(F315-Ta)&gt;2*ENT,"Fara E","Ok")</f>
        <v>Ok</v>
      </c>
    </row>
    <row r="316" spans="5:8" x14ac:dyDescent="0.25">
      <c r="E316">
        <v>304</v>
      </c>
      <c r="F316">
        <v>20.372</v>
      </c>
      <c r="G316" t="s">
        <v>380</v>
      </c>
      <c r="H316" s="3" t="str">
        <f>IF(Qn-(F316-Ta)&gt;2*ENT,"Fara E","Ok")</f>
        <v>Ok</v>
      </c>
    </row>
    <row r="317" spans="5:8" x14ac:dyDescent="0.25">
      <c r="E317">
        <v>305</v>
      </c>
      <c r="F317">
        <v>20.451999999999998</v>
      </c>
      <c r="G317" t="s">
        <v>381</v>
      </c>
      <c r="H317" s="3" t="str">
        <f>IF(Qn-(F317-Ta)&gt;2*ENT,"Fara E","Ok")</f>
        <v>Ok</v>
      </c>
    </row>
    <row r="318" spans="5:8" x14ac:dyDescent="0.25">
      <c r="E318">
        <v>306</v>
      </c>
      <c r="F318">
        <v>20.391999999999999</v>
      </c>
      <c r="G318" t="s">
        <v>382</v>
      </c>
      <c r="H318" s="3" t="str">
        <f>IF(Qn-(F318-Ta)&gt;2*ENT,"Fara E","Ok")</f>
        <v>Ok</v>
      </c>
    </row>
    <row r="319" spans="5:8" x14ac:dyDescent="0.25">
      <c r="E319">
        <v>307</v>
      </c>
      <c r="F319">
        <v>20.391999999999999</v>
      </c>
      <c r="G319" t="s">
        <v>383</v>
      </c>
      <c r="H319" s="3" t="str">
        <f>IF(Qn-(F319-Ta)&gt;2*ENT,"Fara E","Ok")</f>
        <v>Ok</v>
      </c>
    </row>
    <row r="320" spans="5:8" x14ac:dyDescent="0.25">
      <c r="E320">
        <v>308</v>
      </c>
      <c r="F320">
        <v>20.411999999999999</v>
      </c>
      <c r="G320" t="s">
        <v>384</v>
      </c>
      <c r="H320" s="3" t="str">
        <f>IF(Qn-(F320-Ta)&gt;2*ENT,"Fara E","Ok")</f>
        <v>Ok</v>
      </c>
    </row>
    <row r="321" spans="5:8" x14ac:dyDescent="0.25">
      <c r="E321">
        <v>309</v>
      </c>
      <c r="F321">
        <v>20.391999999999999</v>
      </c>
      <c r="G321" t="s">
        <v>385</v>
      </c>
      <c r="H321" s="3" t="str">
        <f>IF(Qn-(F321-Ta)&gt;2*ENT,"Fara E","Ok")</f>
        <v>Ok</v>
      </c>
    </row>
    <row r="322" spans="5:8" x14ac:dyDescent="0.25">
      <c r="E322">
        <v>310</v>
      </c>
      <c r="F322">
        <v>20.431999999999999</v>
      </c>
      <c r="G322" t="s">
        <v>386</v>
      </c>
      <c r="H322" s="3" t="str">
        <f>IF(Qn-(F322-Ta)&gt;2*ENT,"Fara E","Ok")</f>
        <v>Ok</v>
      </c>
    </row>
    <row r="323" spans="5:8" x14ac:dyDescent="0.25">
      <c r="E323">
        <v>311</v>
      </c>
      <c r="F323">
        <v>20.391999999999999</v>
      </c>
      <c r="G323" t="s">
        <v>387</v>
      </c>
      <c r="H323" s="3" t="str">
        <f>IF(Qn-(F323-Ta)&gt;2*ENT,"Fara E","Ok")</f>
        <v>Ok</v>
      </c>
    </row>
    <row r="324" spans="5:8" x14ac:dyDescent="0.25">
      <c r="E324">
        <v>312</v>
      </c>
      <c r="F324">
        <v>20.372</v>
      </c>
      <c r="G324" t="s">
        <v>388</v>
      </c>
      <c r="H324" s="3" t="str">
        <f>IF(Qn-(F324-Ta)&gt;2*ENT,"Fara E","Ok")</f>
        <v>Ok</v>
      </c>
    </row>
    <row r="325" spans="5:8" x14ac:dyDescent="0.25">
      <c r="E325">
        <v>313</v>
      </c>
      <c r="F325">
        <v>20.391999999999999</v>
      </c>
      <c r="G325" t="s">
        <v>389</v>
      </c>
      <c r="H325" s="3" t="str">
        <f>IF(Qn-(F325-Ta)&gt;2*ENT,"Fara E","Ok")</f>
        <v>Ok</v>
      </c>
    </row>
    <row r="326" spans="5:8" x14ac:dyDescent="0.25">
      <c r="E326">
        <v>314</v>
      </c>
      <c r="F326">
        <v>20.411999999999999</v>
      </c>
      <c r="G326" t="s">
        <v>390</v>
      </c>
      <c r="H326" s="3" t="str">
        <f>IF(Qn-(F326-Ta)&gt;2*ENT,"Fara E","Ok")</f>
        <v>Ok</v>
      </c>
    </row>
    <row r="327" spans="5:8" x14ac:dyDescent="0.25">
      <c r="E327">
        <v>315</v>
      </c>
      <c r="F327">
        <v>20.411999999999999</v>
      </c>
      <c r="G327" t="s">
        <v>391</v>
      </c>
      <c r="H327" s="3" t="str">
        <f>IF(Qn-(F327-Ta)&gt;2*ENT,"Fara E","Ok")</f>
        <v>Ok</v>
      </c>
    </row>
    <row r="328" spans="5:8" x14ac:dyDescent="0.25">
      <c r="E328">
        <v>316</v>
      </c>
      <c r="F328">
        <v>20.391999999999999</v>
      </c>
      <c r="G328" t="s">
        <v>392</v>
      </c>
      <c r="H328" s="3" t="str">
        <f>IF(Qn-(F328-Ta)&gt;2*ENT,"Fara E","Ok")</f>
        <v>Ok</v>
      </c>
    </row>
    <row r="329" spans="5:8" x14ac:dyDescent="0.25">
      <c r="E329">
        <v>317</v>
      </c>
      <c r="F329">
        <v>20.391999999999999</v>
      </c>
      <c r="G329" t="s">
        <v>393</v>
      </c>
      <c r="H329" s="3" t="str">
        <f>IF(Qn-(F329-Ta)&gt;2*ENT,"Fara E","Ok")</f>
        <v>Ok</v>
      </c>
    </row>
    <row r="330" spans="5:8" x14ac:dyDescent="0.25">
      <c r="E330">
        <v>318</v>
      </c>
      <c r="F330">
        <v>20.431999999999999</v>
      </c>
      <c r="G330" t="s">
        <v>394</v>
      </c>
      <c r="H330" s="3" t="str">
        <f>IF(Qn-(F330-Ta)&gt;2*ENT,"Fara E","Ok")</f>
        <v>Ok</v>
      </c>
    </row>
    <row r="331" spans="5:8" x14ac:dyDescent="0.25">
      <c r="E331">
        <v>319</v>
      </c>
      <c r="F331">
        <v>20.372</v>
      </c>
      <c r="G331" t="s">
        <v>395</v>
      </c>
      <c r="H331" s="3" t="str">
        <f>IF(Qn-(F331-Ta)&gt;2*ENT,"Fara E","Ok")</f>
        <v>Ok</v>
      </c>
    </row>
    <row r="332" spans="5:8" x14ac:dyDescent="0.25">
      <c r="E332">
        <v>320</v>
      </c>
      <c r="F332">
        <v>20.431999999999999</v>
      </c>
      <c r="G332" t="s">
        <v>396</v>
      </c>
      <c r="H332" s="3" t="str">
        <f>IF(Qn-(F332-Ta)&gt;2*ENT,"Fara E","Ok")</f>
        <v>Ok</v>
      </c>
    </row>
    <row r="333" spans="5:8" x14ac:dyDescent="0.25">
      <c r="E333">
        <v>321</v>
      </c>
      <c r="F333">
        <v>20.431999999999999</v>
      </c>
      <c r="G333" t="s">
        <v>397</v>
      </c>
      <c r="H333" s="3" t="str">
        <f>IF(Qn-(F333-Ta)&gt;2*ENT,"Fara E","Ok")</f>
        <v>Ok</v>
      </c>
    </row>
    <row r="334" spans="5:8" x14ac:dyDescent="0.25">
      <c r="E334">
        <v>322</v>
      </c>
      <c r="F334">
        <v>20.372</v>
      </c>
      <c r="G334" t="s">
        <v>398</v>
      </c>
      <c r="H334" s="3" t="str">
        <f>IF(Qn-(F334-Ta)&gt;2*ENT,"Fara E","Ok")</f>
        <v>Ok</v>
      </c>
    </row>
    <row r="335" spans="5:8" x14ac:dyDescent="0.25">
      <c r="E335">
        <v>323</v>
      </c>
      <c r="F335">
        <v>20.411999999999999</v>
      </c>
      <c r="G335" t="s">
        <v>399</v>
      </c>
      <c r="H335" s="3" t="str">
        <f>IF(Qn-(F335-Ta)&gt;2*ENT,"Fara E","Ok")</f>
        <v>Ok</v>
      </c>
    </row>
    <row r="336" spans="5:8" x14ac:dyDescent="0.25">
      <c r="E336">
        <v>324</v>
      </c>
      <c r="F336">
        <v>20.411999999999999</v>
      </c>
      <c r="G336" t="s">
        <v>400</v>
      </c>
      <c r="H336" s="3" t="str">
        <f>IF(Qn-(F336-Ta)&gt;2*ENT,"Fara E","Ok")</f>
        <v>Ok</v>
      </c>
    </row>
    <row r="337" spans="5:8" x14ac:dyDescent="0.25">
      <c r="E337">
        <v>325</v>
      </c>
      <c r="F337">
        <v>20.411999999999999</v>
      </c>
      <c r="G337" t="s">
        <v>401</v>
      </c>
      <c r="H337" s="3" t="str">
        <f>IF(Qn-(F337-Ta)&gt;2*ENT,"Fara E","Ok")</f>
        <v>Ok</v>
      </c>
    </row>
    <row r="338" spans="5:8" x14ac:dyDescent="0.25">
      <c r="E338">
        <v>326</v>
      </c>
      <c r="F338">
        <v>20.411999999999999</v>
      </c>
      <c r="G338" t="s">
        <v>402</v>
      </c>
      <c r="H338" s="3" t="str">
        <f>IF(Qn-(F338-Ta)&gt;2*ENT,"Fara E","Ok")</f>
        <v>Ok</v>
      </c>
    </row>
    <row r="339" spans="5:8" x14ac:dyDescent="0.25">
      <c r="E339">
        <v>327</v>
      </c>
      <c r="F339">
        <v>20.391999999999999</v>
      </c>
      <c r="G339" t="s">
        <v>403</v>
      </c>
      <c r="H339" s="3" t="str">
        <f>IF(Qn-(F339-Ta)&gt;2*ENT,"Fara E","Ok")</f>
        <v>Ok</v>
      </c>
    </row>
    <row r="340" spans="5:8" x14ac:dyDescent="0.25">
      <c r="E340">
        <v>328</v>
      </c>
      <c r="F340">
        <v>20.391999999999999</v>
      </c>
      <c r="G340" t="s">
        <v>404</v>
      </c>
      <c r="H340" s="3" t="str">
        <f>IF(Qn-(F340-Ta)&gt;2*ENT,"Fara E","Ok")</f>
        <v>Ok</v>
      </c>
    </row>
    <row r="341" spans="5:8" x14ac:dyDescent="0.25">
      <c r="E341">
        <v>329</v>
      </c>
      <c r="F341">
        <v>20.372</v>
      </c>
      <c r="G341" t="s">
        <v>405</v>
      </c>
      <c r="H341" s="3" t="str">
        <f>IF(Qn-(F341-Ta)&gt;2*ENT,"Fara E","Ok")</f>
        <v>Ok</v>
      </c>
    </row>
    <row r="342" spans="5:8" x14ac:dyDescent="0.25">
      <c r="E342">
        <v>330</v>
      </c>
      <c r="F342">
        <v>20.372</v>
      </c>
      <c r="G342" t="s">
        <v>406</v>
      </c>
      <c r="H342" s="3" t="str">
        <f>IF(Qn-(F342-Ta)&gt;2*ENT,"Fara E","Ok")</f>
        <v>Ok</v>
      </c>
    </row>
    <row r="343" spans="5:8" x14ac:dyDescent="0.25">
      <c r="E343">
        <v>331</v>
      </c>
      <c r="F343">
        <v>20.372</v>
      </c>
      <c r="G343" t="s">
        <v>407</v>
      </c>
      <c r="H343" s="3" t="str">
        <f>IF(Qn-(F343-Ta)&gt;2*ENT,"Fara E","Ok")</f>
        <v>Ok</v>
      </c>
    </row>
    <row r="344" spans="5:8" x14ac:dyDescent="0.25">
      <c r="E344">
        <v>332</v>
      </c>
      <c r="F344">
        <v>20.431999999999999</v>
      </c>
      <c r="G344" t="s">
        <v>408</v>
      </c>
      <c r="H344" s="3" t="str">
        <f>IF(Qn-(F344-Ta)&gt;2*ENT,"Fara E","Ok")</f>
        <v>Ok</v>
      </c>
    </row>
    <row r="345" spans="5:8" x14ac:dyDescent="0.25">
      <c r="E345">
        <v>333</v>
      </c>
      <c r="F345">
        <v>20.391999999999999</v>
      </c>
      <c r="G345" t="s">
        <v>409</v>
      </c>
      <c r="H345" s="3" t="str">
        <f>IF(Qn-(F345-Ta)&gt;2*ENT,"Fara E","Ok")</f>
        <v>Ok</v>
      </c>
    </row>
    <row r="346" spans="5:8" x14ac:dyDescent="0.25">
      <c r="E346">
        <v>334</v>
      </c>
      <c r="F346">
        <v>20.411999999999999</v>
      </c>
      <c r="G346" t="s">
        <v>410</v>
      </c>
      <c r="H346" s="3" t="str">
        <f>IF(Qn-(F346-Ta)&gt;2*ENT,"Fara E","Ok")</f>
        <v>Ok</v>
      </c>
    </row>
    <row r="347" spans="5:8" x14ac:dyDescent="0.25">
      <c r="E347">
        <v>335</v>
      </c>
      <c r="F347">
        <v>20.391999999999999</v>
      </c>
      <c r="G347" t="s">
        <v>411</v>
      </c>
      <c r="H347" s="3" t="str">
        <f>IF(Qn-(F347-Ta)&gt;2*ENT,"Fara E","Ok")</f>
        <v>Ok</v>
      </c>
    </row>
    <row r="348" spans="5:8" x14ac:dyDescent="0.25">
      <c r="E348">
        <v>336</v>
      </c>
      <c r="F348">
        <v>20.411999999999999</v>
      </c>
      <c r="G348" t="s">
        <v>412</v>
      </c>
      <c r="H348" s="3" t="str">
        <f>IF(Qn-(F348-Ta)&gt;2*ENT,"Fara E","Ok")</f>
        <v>Ok</v>
      </c>
    </row>
    <row r="349" spans="5:8" x14ac:dyDescent="0.25">
      <c r="E349">
        <v>337</v>
      </c>
      <c r="F349">
        <v>20.391999999999999</v>
      </c>
      <c r="G349" t="s">
        <v>413</v>
      </c>
      <c r="H349" s="3" t="str">
        <f>IF(Qn-(F349-Ta)&gt;2*ENT,"Fara E","Ok")</f>
        <v>Ok</v>
      </c>
    </row>
    <row r="350" spans="5:8" x14ac:dyDescent="0.25">
      <c r="E350">
        <v>338</v>
      </c>
      <c r="F350">
        <v>20.391999999999999</v>
      </c>
      <c r="G350" t="s">
        <v>414</v>
      </c>
      <c r="H350" s="3" t="str">
        <f>IF(Qn-(F350-Ta)&gt;2*ENT,"Fara E","Ok")</f>
        <v>Ok</v>
      </c>
    </row>
    <row r="351" spans="5:8" x14ac:dyDescent="0.25">
      <c r="E351">
        <v>339</v>
      </c>
      <c r="F351">
        <v>20.431999999999999</v>
      </c>
      <c r="G351" t="s">
        <v>415</v>
      </c>
      <c r="H351" s="3" t="str">
        <f>IF(Qn-(F351-Ta)&gt;2*ENT,"Fara E","Ok")</f>
        <v>Ok</v>
      </c>
    </row>
    <row r="352" spans="5:8" x14ac:dyDescent="0.25">
      <c r="E352">
        <v>340</v>
      </c>
      <c r="F352">
        <v>20.391999999999999</v>
      </c>
      <c r="G352" t="s">
        <v>416</v>
      </c>
      <c r="H352" s="3" t="str">
        <f>IF(Qn-(F352-Ta)&gt;2*ENT,"Fara E","Ok")</f>
        <v>Ok</v>
      </c>
    </row>
    <row r="353" spans="5:8" x14ac:dyDescent="0.25">
      <c r="E353">
        <v>341</v>
      </c>
      <c r="F353">
        <v>20.411999999999999</v>
      </c>
      <c r="G353" t="s">
        <v>417</v>
      </c>
      <c r="H353" s="3" t="str">
        <f>IF(Qn-(F353-Ta)&gt;2*ENT,"Fara E","Ok")</f>
        <v>Ok</v>
      </c>
    </row>
    <row r="354" spans="5:8" x14ac:dyDescent="0.25">
      <c r="E354">
        <v>342</v>
      </c>
      <c r="F354">
        <v>20.411999999999999</v>
      </c>
      <c r="G354" t="s">
        <v>418</v>
      </c>
      <c r="H354" s="3" t="str">
        <f>IF(Qn-(F354-Ta)&gt;2*ENT,"Fara E","Ok")</f>
        <v>Ok</v>
      </c>
    </row>
    <row r="355" spans="5:8" x14ac:dyDescent="0.25">
      <c r="E355">
        <v>343</v>
      </c>
      <c r="F355">
        <v>20.391999999999999</v>
      </c>
      <c r="G355" t="s">
        <v>419</v>
      </c>
      <c r="H355" s="3" t="str">
        <f>IF(Qn-(F355-Ta)&gt;2*ENT,"Fara E","Ok")</f>
        <v>Ok</v>
      </c>
    </row>
    <row r="356" spans="5:8" x14ac:dyDescent="0.25">
      <c r="E356">
        <v>344</v>
      </c>
      <c r="F356">
        <v>20.391999999999999</v>
      </c>
      <c r="G356" t="s">
        <v>420</v>
      </c>
      <c r="H356" s="3" t="str">
        <f>IF(Qn-(F356-Ta)&gt;2*ENT,"Fara E","Ok")</f>
        <v>Ok</v>
      </c>
    </row>
    <row r="357" spans="5:8" x14ac:dyDescent="0.25">
      <c r="E357">
        <v>345</v>
      </c>
      <c r="F357">
        <v>20.411999999999999</v>
      </c>
      <c r="G357" t="s">
        <v>421</v>
      </c>
      <c r="H357" s="3" t="str">
        <f>IF(Qn-(F357-Ta)&gt;2*ENT,"Fara E","Ok")</f>
        <v>Ok</v>
      </c>
    </row>
    <row r="358" spans="5:8" x14ac:dyDescent="0.25">
      <c r="E358">
        <v>346</v>
      </c>
      <c r="F358">
        <v>20.391999999999999</v>
      </c>
      <c r="G358" t="s">
        <v>422</v>
      </c>
      <c r="H358" s="3" t="str">
        <f>IF(Qn-(F358-Ta)&gt;2*ENT,"Fara E","Ok")</f>
        <v>Ok</v>
      </c>
    </row>
    <row r="359" spans="5:8" x14ac:dyDescent="0.25">
      <c r="E359">
        <v>347</v>
      </c>
      <c r="F359">
        <v>20.391999999999999</v>
      </c>
      <c r="G359"/>
      <c r="H359" s="3" t="str">
        <f>IF(Qn-(F359-Ta)&gt;2*ENT,"Fara E","Ok")</f>
        <v>Ok</v>
      </c>
    </row>
    <row r="360" spans="5:8" x14ac:dyDescent="0.25">
      <c r="E360">
        <v>348</v>
      </c>
      <c r="F360">
        <v>20.391999999999999</v>
      </c>
      <c r="G360" t="s">
        <v>423</v>
      </c>
      <c r="H360" s="3" t="str">
        <f>IF(Qn-(F360-Ta)&gt;2*ENT,"Fara E","Ok")</f>
        <v>Ok</v>
      </c>
    </row>
    <row r="361" spans="5:8" x14ac:dyDescent="0.25">
      <c r="E361">
        <v>349</v>
      </c>
      <c r="F361">
        <v>20.411999999999999</v>
      </c>
      <c r="G361" t="s">
        <v>424</v>
      </c>
      <c r="H361" s="3" t="str">
        <f>IF(Qn-(F361-Ta)&gt;2*ENT,"Fara E","Ok")</f>
        <v>Ok</v>
      </c>
    </row>
    <row r="362" spans="5:8" x14ac:dyDescent="0.25">
      <c r="E362">
        <v>350</v>
      </c>
      <c r="F362">
        <v>20.391999999999999</v>
      </c>
      <c r="G362" t="s">
        <v>425</v>
      </c>
      <c r="H362" s="3" t="str">
        <f>IF(Qn-(F362-Ta)&gt;2*ENT,"Fara E","Ok")</f>
        <v>Ok</v>
      </c>
    </row>
    <row r="363" spans="5:8" x14ac:dyDescent="0.25">
      <c r="E363">
        <v>351</v>
      </c>
      <c r="F363">
        <v>20.411999999999999</v>
      </c>
      <c r="G363" t="s">
        <v>426</v>
      </c>
      <c r="H363" s="3" t="str">
        <f>IF(Qn-(F363-Ta)&gt;2*ENT,"Fara E","Ok")</f>
        <v>Ok</v>
      </c>
    </row>
    <row r="364" spans="5:8" x14ac:dyDescent="0.25">
      <c r="E364">
        <v>352</v>
      </c>
      <c r="F364">
        <v>20.391999999999999</v>
      </c>
      <c r="G364" t="s">
        <v>427</v>
      </c>
      <c r="H364" s="3" t="str">
        <f>IF(Qn-(F364-Ta)&gt;2*ENT,"Fara E","Ok")</f>
        <v>Ok</v>
      </c>
    </row>
    <row r="365" spans="5:8" x14ac:dyDescent="0.25">
      <c r="E365">
        <v>353</v>
      </c>
      <c r="F365">
        <v>20.411999999999999</v>
      </c>
      <c r="G365" t="s">
        <v>428</v>
      </c>
      <c r="H365" s="3" t="str">
        <f>IF(Qn-(F365-Ta)&gt;2*ENT,"Fara E","Ok")</f>
        <v>Ok</v>
      </c>
    </row>
    <row r="366" spans="5:8" x14ac:dyDescent="0.25">
      <c r="E366">
        <v>354</v>
      </c>
      <c r="F366">
        <v>20.391999999999999</v>
      </c>
      <c r="G366" t="s">
        <v>429</v>
      </c>
      <c r="H366" s="3" t="str">
        <f>IF(Qn-(F366-Ta)&gt;2*ENT,"Fara E","Ok")</f>
        <v>Ok</v>
      </c>
    </row>
    <row r="367" spans="5:8" x14ac:dyDescent="0.25">
      <c r="E367">
        <v>355</v>
      </c>
      <c r="F367">
        <v>20.391999999999999</v>
      </c>
      <c r="G367" t="s">
        <v>430</v>
      </c>
      <c r="H367" s="3" t="str">
        <f>IF(Qn-(F367-Ta)&gt;2*ENT,"Fara E","Ok")</f>
        <v>Ok</v>
      </c>
    </row>
    <row r="368" spans="5:8" x14ac:dyDescent="0.25">
      <c r="E368">
        <v>356</v>
      </c>
      <c r="F368">
        <v>20.411999999999999</v>
      </c>
      <c r="G368" t="s">
        <v>431</v>
      </c>
      <c r="H368" s="3" t="str">
        <f>IF(Qn-(F368-Ta)&gt;2*ENT,"Fara E","Ok")</f>
        <v>Ok</v>
      </c>
    </row>
    <row r="369" spans="5:8" x14ac:dyDescent="0.25">
      <c r="E369">
        <v>357</v>
      </c>
      <c r="F369">
        <v>20.411999999999999</v>
      </c>
      <c r="G369" t="s">
        <v>432</v>
      </c>
      <c r="H369" s="3" t="str">
        <f>IF(Qn-(F369-Ta)&gt;2*ENT,"Fara E","Ok")</f>
        <v>Ok</v>
      </c>
    </row>
    <row r="370" spans="5:8" x14ac:dyDescent="0.25">
      <c r="E370">
        <v>358</v>
      </c>
      <c r="F370">
        <v>20.391999999999999</v>
      </c>
      <c r="G370"/>
      <c r="H370" s="3" t="str">
        <f>IF(Qn-(F370-Ta)&gt;2*ENT,"Fara E","Ok")</f>
        <v>Ok</v>
      </c>
    </row>
    <row r="371" spans="5:8" x14ac:dyDescent="0.25">
      <c r="E371">
        <v>359</v>
      </c>
      <c r="F371">
        <v>20.411999999999999</v>
      </c>
      <c r="G371" t="s">
        <v>433</v>
      </c>
      <c r="H371" s="3" t="str">
        <f>IF(Qn-(F371-Ta)&gt;2*ENT,"Fara E","Ok")</f>
        <v>Ok</v>
      </c>
    </row>
    <row r="372" spans="5:8" x14ac:dyDescent="0.25">
      <c r="E372">
        <v>360</v>
      </c>
      <c r="F372">
        <v>20.391999999999999</v>
      </c>
      <c r="G372" t="s">
        <v>434</v>
      </c>
      <c r="H372" s="3" t="str">
        <f>IF(Qn-(F372-Ta)&gt;2*ENT,"Fara E","Ok")</f>
        <v>Ok</v>
      </c>
    </row>
    <row r="373" spans="5:8" x14ac:dyDescent="0.25">
      <c r="E373">
        <v>361</v>
      </c>
      <c r="F373">
        <v>20.372</v>
      </c>
      <c r="G373" t="s">
        <v>435</v>
      </c>
      <c r="H373" s="3" t="str">
        <f>IF(Qn-(F373-Ta)&gt;2*ENT,"Fara E","Ok")</f>
        <v>Ok</v>
      </c>
    </row>
    <row r="374" spans="5:8" x14ac:dyDescent="0.25">
      <c r="E374">
        <v>362</v>
      </c>
      <c r="F374">
        <v>20.411999999999999</v>
      </c>
      <c r="G374" t="s">
        <v>436</v>
      </c>
      <c r="H374" s="3" t="str">
        <f>IF(Qn-(F374-Ta)&gt;2*ENT,"Fara E","Ok")</f>
        <v>Ok</v>
      </c>
    </row>
    <row r="375" spans="5:8" x14ac:dyDescent="0.25">
      <c r="E375">
        <v>363</v>
      </c>
      <c r="F375">
        <v>20.372</v>
      </c>
      <c r="G375" t="s">
        <v>437</v>
      </c>
      <c r="H375" s="3" t="str">
        <f>IF(Qn-(F375-Ta)&gt;2*ENT,"Fara E","Ok")</f>
        <v>Ok</v>
      </c>
    </row>
    <row r="376" spans="5:8" x14ac:dyDescent="0.25">
      <c r="E376">
        <v>364</v>
      </c>
      <c r="F376">
        <v>20.391999999999999</v>
      </c>
      <c r="G376" t="s">
        <v>438</v>
      </c>
      <c r="H376" s="3" t="str">
        <f>IF(Qn-(F376-Ta)&gt;2*ENT,"Fara E","Ok")</f>
        <v>Ok</v>
      </c>
    </row>
    <row r="377" spans="5:8" x14ac:dyDescent="0.25">
      <c r="E377">
        <v>365</v>
      </c>
      <c r="F377">
        <v>20.411999999999999</v>
      </c>
      <c r="G377" t="s">
        <v>439</v>
      </c>
      <c r="H377" s="3" t="str">
        <f>IF(Qn-(F377-Ta)&gt;2*ENT,"Fara E","Ok")</f>
        <v>Ok</v>
      </c>
    </row>
    <row r="378" spans="5:8" x14ac:dyDescent="0.25">
      <c r="E378">
        <v>366</v>
      </c>
      <c r="F378">
        <v>20.391999999999999</v>
      </c>
      <c r="G378"/>
      <c r="H378" s="3" t="str">
        <f>IF(Qn-(F378-Ta)&gt;2*ENT,"Fara E","Ok")</f>
        <v>Ok</v>
      </c>
    </row>
    <row r="379" spans="5:8" x14ac:dyDescent="0.25">
      <c r="E379">
        <v>367</v>
      </c>
      <c r="F379">
        <v>20.391999999999999</v>
      </c>
      <c r="G379" t="s">
        <v>440</v>
      </c>
      <c r="H379" s="3" t="str">
        <f>IF(Qn-(F379-Ta)&gt;2*ENT,"Fara E","Ok")</f>
        <v>Ok</v>
      </c>
    </row>
    <row r="380" spans="5:8" x14ac:dyDescent="0.25">
      <c r="E380">
        <v>368</v>
      </c>
      <c r="F380">
        <v>20.391999999999999</v>
      </c>
      <c r="G380" t="s">
        <v>441</v>
      </c>
      <c r="H380" s="3" t="str">
        <f>IF(Qn-(F380-Ta)&gt;2*ENT,"Fara E","Ok")</f>
        <v>Ok</v>
      </c>
    </row>
    <row r="381" spans="5:8" x14ac:dyDescent="0.25">
      <c r="E381">
        <v>369</v>
      </c>
      <c r="F381">
        <v>20.411999999999999</v>
      </c>
      <c r="G381" t="s">
        <v>442</v>
      </c>
      <c r="H381" s="3" t="str">
        <f>IF(Qn-(F381-Ta)&gt;2*ENT,"Fara E","Ok")</f>
        <v>Ok</v>
      </c>
    </row>
    <row r="382" spans="5:8" x14ac:dyDescent="0.25">
      <c r="E382">
        <v>370</v>
      </c>
      <c r="F382">
        <v>20.391999999999999</v>
      </c>
      <c r="G382" t="s">
        <v>443</v>
      </c>
      <c r="H382" s="3" t="str">
        <f>IF(Qn-(F382-Ta)&gt;2*ENT,"Fara E","Ok")</f>
        <v>Ok</v>
      </c>
    </row>
    <row r="383" spans="5:8" x14ac:dyDescent="0.25">
      <c r="E383">
        <v>371</v>
      </c>
      <c r="F383">
        <v>20.391999999999999</v>
      </c>
      <c r="G383" t="s">
        <v>444</v>
      </c>
      <c r="H383" s="3" t="str">
        <f>IF(Qn-(F383-Ta)&gt;2*ENT,"Fara E","Ok")</f>
        <v>Ok</v>
      </c>
    </row>
    <row r="384" spans="5:8" x14ac:dyDescent="0.25">
      <c r="E384">
        <v>372</v>
      </c>
      <c r="F384">
        <v>20.391999999999999</v>
      </c>
      <c r="G384" t="s">
        <v>445</v>
      </c>
      <c r="H384" s="3" t="str">
        <f>IF(Qn-(F384-Ta)&gt;2*ENT,"Fara E","Ok")</f>
        <v>Ok</v>
      </c>
    </row>
    <row r="385" spans="5:8" x14ac:dyDescent="0.25">
      <c r="E385">
        <v>373</v>
      </c>
      <c r="F385">
        <v>20.411999999999999</v>
      </c>
      <c r="G385" t="s">
        <v>446</v>
      </c>
      <c r="H385" s="3" t="str">
        <f>IF(Qn-(F385-Ta)&gt;2*ENT,"Fara E","Ok")</f>
        <v>Ok</v>
      </c>
    </row>
    <row r="386" spans="5:8" x14ac:dyDescent="0.25">
      <c r="E386">
        <v>374</v>
      </c>
      <c r="F386">
        <v>20.372</v>
      </c>
      <c r="G386" t="s">
        <v>447</v>
      </c>
      <c r="H386" s="3" t="str">
        <f>IF(Qn-(F386-Ta)&gt;2*ENT,"Fara E","Ok")</f>
        <v>Ok</v>
      </c>
    </row>
    <row r="387" spans="5:8" x14ac:dyDescent="0.25">
      <c r="E387">
        <v>375</v>
      </c>
      <c r="F387">
        <v>20.372</v>
      </c>
      <c r="G387" t="s">
        <v>448</v>
      </c>
      <c r="H387" s="3" t="str">
        <f>IF(Qn-(F387-Ta)&gt;2*ENT,"Fara E","Ok")</f>
        <v>Ok</v>
      </c>
    </row>
    <row r="388" spans="5:8" x14ac:dyDescent="0.25">
      <c r="E388">
        <v>376</v>
      </c>
      <c r="F388">
        <v>20.411999999999999</v>
      </c>
      <c r="G388" t="s">
        <v>449</v>
      </c>
      <c r="H388" s="3" t="str">
        <f>IF(Qn-(F388-Ta)&gt;2*ENT,"Fara E","Ok")</f>
        <v>Ok</v>
      </c>
    </row>
    <row r="389" spans="5:8" x14ac:dyDescent="0.25">
      <c r="E389">
        <v>377</v>
      </c>
      <c r="F389">
        <v>20.411999999999999</v>
      </c>
      <c r="G389" t="s">
        <v>450</v>
      </c>
      <c r="H389" s="3" t="str">
        <f>IF(Qn-(F389-Ta)&gt;2*ENT,"Fara E","Ok")</f>
        <v>Ok</v>
      </c>
    </row>
    <row r="390" spans="5:8" x14ac:dyDescent="0.25">
      <c r="E390">
        <v>378</v>
      </c>
      <c r="F390">
        <v>20.372</v>
      </c>
      <c r="G390" t="s">
        <v>451</v>
      </c>
      <c r="H390" s="3" t="str">
        <f>IF(Qn-(F390-Ta)&gt;2*ENT,"Fara E","Ok")</f>
        <v>Ok</v>
      </c>
    </row>
    <row r="391" spans="5:8" x14ac:dyDescent="0.25">
      <c r="E391">
        <v>379</v>
      </c>
      <c r="F391">
        <v>20.391999999999999</v>
      </c>
      <c r="G391" t="s">
        <v>452</v>
      </c>
      <c r="H391" s="3" t="str">
        <f>IF(Qn-(F391-Ta)&gt;2*ENT,"Fara E","Ok")</f>
        <v>Ok</v>
      </c>
    </row>
    <row r="392" spans="5:8" x14ac:dyDescent="0.25">
      <c r="E392">
        <v>380</v>
      </c>
      <c r="F392">
        <v>20.391999999999999</v>
      </c>
      <c r="G392" t="s">
        <v>453</v>
      </c>
      <c r="H392" s="3" t="str">
        <f>IF(Qn-(F392-Ta)&gt;2*ENT,"Fara E","Ok")</f>
        <v>Ok</v>
      </c>
    </row>
    <row r="393" spans="5:8" x14ac:dyDescent="0.25">
      <c r="E393">
        <v>381</v>
      </c>
      <c r="F393">
        <v>20.391999999999999</v>
      </c>
      <c r="G393" t="s">
        <v>454</v>
      </c>
      <c r="H393" s="3" t="str">
        <f>IF(Qn-(F393-Ta)&gt;2*ENT,"Fara E","Ok")</f>
        <v>Ok</v>
      </c>
    </row>
    <row r="394" spans="5:8" x14ac:dyDescent="0.25">
      <c r="E394">
        <v>382</v>
      </c>
      <c r="F394">
        <v>20.391999999999999</v>
      </c>
      <c r="G394" t="s">
        <v>455</v>
      </c>
      <c r="H394" s="3" t="str">
        <f>IF(Qn-(F394-Ta)&gt;2*ENT,"Fara E","Ok")</f>
        <v>Ok</v>
      </c>
    </row>
    <row r="395" spans="5:8" x14ac:dyDescent="0.25">
      <c r="E395">
        <v>383</v>
      </c>
      <c r="F395">
        <v>20.391999999999999</v>
      </c>
      <c r="G395" t="s">
        <v>456</v>
      </c>
      <c r="H395" s="3" t="str">
        <f>IF(Qn-(F395-Ta)&gt;2*ENT,"Fara E","Ok")</f>
        <v>Ok</v>
      </c>
    </row>
    <row r="396" spans="5:8" x14ac:dyDescent="0.25">
      <c r="E396">
        <v>384</v>
      </c>
      <c r="F396">
        <v>20.391999999999999</v>
      </c>
      <c r="G396" t="s">
        <v>457</v>
      </c>
      <c r="H396" s="3" t="str">
        <f>IF(Qn-(F396-Ta)&gt;2*ENT,"Fara E","Ok")</f>
        <v>Ok</v>
      </c>
    </row>
    <row r="397" spans="5:8" x14ac:dyDescent="0.25">
      <c r="E397">
        <v>385</v>
      </c>
      <c r="F397">
        <v>20.391999999999999</v>
      </c>
      <c r="G397" t="s">
        <v>458</v>
      </c>
      <c r="H397" s="3" t="str">
        <f>IF(Qn-(F397-Ta)&gt;2*ENT,"Fara E","Ok")</f>
        <v>Ok</v>
      </c>
    </row>
    <row r="398" spans="5:8" x14ac:dyDescent="0.25">
      <c r="E398">
        <v>386</v>
      </c>
      <c r="F398">
        <v>20.391999999999999</v>
      </c>
      <c r="G398" t="s">
        <v>459</v>
      </c>
      <c r="H398" s="3" t="str">
        <f>IF(Qn-(F398-Ta)&gt;2*ENT,"Fara E","Ok")</f>
        <v>Ok</v>
      </c>
    </row>
    <row r="399" spans="5:8" x14ac:dyDescent="0.25">
      <c r="E399">
        <v>387</v>
      </c>
      <c r="F399">
        <v>20.411999999999999</v>
      </c>
      <c r="G399" t="s">
        <v>460</v>
      </c>
      <c r="H399" s="3" t="str">
        <f>IF(Qn-(F399-Ta)&gt;2*ENT,"Fara E","Ok")</f>
        <v>Ok</v>
      </c>
    </row>
    <row r="400" spans="5:8" x14ac:dyDescent="0.25">
      <c r="E400">
        <v>388</v>
      </c>
      <c r="F400">
        <v>20.372</v>
      </c>
      <c r="G400" t="s">
        <v>461</v>
      </c>
      <c r="H400" s="3" t="str">
        <f>IF(Qn-(F400-Ta)&gt;2*ENT,"Fara E","Ok")</f>
        <v>Ok</v>
      </c>
    </row>
    <row r="401" spans="5:8" x14ac:dyDescent="0.25">
      <c r="E401">
        <v>389</v>
      </c>
      <c r="F401">
        <v>20.372</v>
      </c>
      <c r="G401" t="s">
        <v>462</v>
      </c>
      <c r="H401" s="3" t="str">
        <f>IF(Qn-(F401-Ta)&gt;2*ENT,"Fara E","Ok")</f>
        <v>Ok</v>
      </c>
    </row>
    <row r="402" spans="5:8" x14ac:dyDescent="0.25">
      <c r="E402">
        <v>390</v>
      </c>
      <c r="F402">
        <v>20.391999999999999</v>
      </c>
      <c r="G402" t="s">
        <v>463</v>
      </c>
      <c r="H402" s="3" t="str">
        <f>IF(Qn-(F402-Ta)&gt;2*ENT,"Fara E","Ok")</f>
        <v>Ok</v>
      </c>
    </row>
    <row r="403" spans="5:8" x14ac:dyDescent="0.25">
      <c r="E403">
        <v>391</v>
      </c>
      <c r="F403">
        <v>20.372</v>
      </c>
      <c r="G403" t="s">
        <v>464</v>
      </c>
      <c r="H403" s="3" t="str">
        <f>IF(Qn-(F403-Ta)&gt;2*ENT,"Fara E","Ok")</f>
        <v>Ok</v>
      </c>
    </row>
    <row r="404" spans="5:8" x14ac:dyDescent="0.25">
      <c r="E404">
        <v>392</v>
      </c>
      <c r="F404">
        <v>20.411999999999999</v>
      </c>
      <c r="G404" t="s">
        <v>465</v>
      </c>
      <c r="H404" s="3" t="str">
        <f>IF(Qn-(F404-Ta)&gt;2*ENT,"Fara E","Ok")</f>
        <v>Ok</v>
      </c>
    </row>
    <row r="405" spans="5:8" x14ac:dyDescent="0.25">
      <c r="E405">
        <v>393</v>
      </c>
      <c r="F405">
        <v>20.391999999999999</v>
      </c>
      <c r="G405" t="s">
        <v>466</v>
      </c>
      <c r="H405" s="3" t="str">
        <f>IF(Qn-(F405-Ta)&gt;2*ENT,"Fara E","Ok")</f>
        <v>Ok</v>
      </c>
    </row>
    <row r="406" spans="5:8" x14ac:dyDescent="0.25">
      <c r="E406">
        <v>394</v>
      </c>
      <c r="F406">
        <v>20.411999999999999</v>
      </c>
      <c r="G406" t="s">
        <v>467</v>
      </c>
      <c r="H406" s="3" t="str">
        <f>IF(Qn-(F406-Ta)&gt;2*ENT,"Fara E","Ok")</f>
        <v>Ok</v>
      </c>
    </row>
    <row r="407" spans="5:8" x14ac:dyDescent="0.25">
      <c r="E407">
        <v>395</v>
      </c>
      <c r="F407">
        <v>20.411999999999999</v>
      </c>
      <c r="G407" t="s">
        <v>468</v>
      </c>
      <c r="H407" s="3" t="str">
        <f>IF(Qn-(F407-Ta)&gt;2*ENT,"Fara E","Ok")</f>
        <v>Ok</v>
      </c>
    </row>
    <row r="408" spans="5:8" x14ac:dyDescent="0.25">
      <c r="E408">
        <v>396</v>
      </c>
      <c r="F408">
        <v>20.391999999999999</v>
      </c>
      <c r="G408" t="s">
        <v>469</v>
      </c>
      <c r="H408" s="3" t="str">
        <f>IF(Qn-(F408-Ta)&gt;2*ENT,"Fara E","Ok")</f>
        <v>Ok</v>
      </c>
    </row>
    <row r="409" spans="5:8" x14ac:dyDescent="0.25">
      <c r="E409">
        <v>397</v>
      </c>
      <c r="F409">
        <v>20.391999999999999</v>
      </c>
      <c r="G409" t="s">
        <v>470</v>
      </c>
      <c r="H409" s="3" t="str">
        <f>IF(Qn-(F409-Ta)&gt;2*ENT,"Fara E","Ok")</f>
        <v>Ok</v>
      </c>
    </row>
    <row r="410" spans="5:8" x14ac:dyDescent="0.25">
      <c r="E410">
        <v>398</v>
      </c>
      <c r="F410">
        <v>20.391999999999999</v>
      </c>
      <c r="G410" t="s">
        <v>471</v>
      </c>
      <c r="H410" s="3" t="str">
        <f>IF(Qn-(F410-Ta)&gt;2*ENT,"Fara E","Ok")</f>
        <v>Ok</v>
      </c>
    </row>
    <row r="411" spans="5:8" x14ac:dyDescent="0.25">
      <c r="E411">
        <v>399</v>
      </c>
      <c r="F411">
        <v>20.391999999999999</v>
      </c>
      <c r="G411" t="s">
        <v>472</v>
      </c>
      <c r="H411" s="3" t="str">
        <f>IF(Qn-(F411-Ta)&gt;2*ENT,"Fara E","Ok")</f>
        <v>Ok</v>
      </c>
    </row>
    <row r="412" spans="5:8" x14ac:dyDescent="0.25">
      <c r="E412">
        <v>400</v>
      </c>
      <c r="F412">
        <v>20.411999999999999</v>
      </c>
      <c r="G412" t="s">
        <v>473</v>
      </c>
      <c r="H412" s="3" t="str">
        <f>IF(Qn-(F412-Ta)&gt;2*ENT,"Fara E","Ok")</f>
        <v>Ok</v>
      </c>
    </row>
    <row r="413" spans="5:8" x14ac:dyDescent="0.25">
      <c r="E413">
        <v>401</v>
      </c>
      <c r="F413">
        <v>20.411999999999999</v>
      </c>
      <c r="G413" t="s">
        <v>474</v>
      </c>
      <c r="H413" s="3" t="str">
        <f>IF(Qn-(F413-Ta)&gt;2*ENT,"Fara E","Ok")</f>
        <v>Ok</v>
      </c>
    </row>
    <row r="414" spans="5:8" x14ac:dyDescent="0.25">
      <c r="E414">
        <v>402</v>
      </c>
      <c r="F414">
        <v>20.372</v>
      </c>
      <c r="G414" t="s">
        <v>475</v>
      </c>
      <c r="H414" s="3" t="str">
        <f>IF(Qn-(F414-Ta)&gt;2*ENT,"Fara E","Ok")</f>
        <v>Ok</v>
      </c>
    </row>
    <row r="415" spans="5:8" x14ac:dyDescent="0.25">
      <c r="E415">
        <v>403</v>
      </c>
      <c r="F415">
        <v>20.411999999999999</v>
      </c>
      <c r="G415" t="s">
        <v>476</v>
      </c>
      <c r="H415" s="3" t="str">
        <f>IF(Qn-(F415-Ta)&gt;2*ENT,"Fara E","Ok")</f>
        <v>Ok</v>
      </c>
    </row>
    <row r="416" spans="5:8" x14ac:dyDescent="0.25">
      <c r="E416">
        <v>404</v>
      </c>
      <c r="F416">
        <v>20.372</v>
      </c>
      <c r="G416" t="s">
        <v>477</v>
      </c>
      <c r="H416" s="3" t="str">
        <f>IF(Qn-(F416-Ta)&gt;2*ENT,"Fara E","Ok")</f>
        <v>Ok</v>
      </c>
    </row>
    <row r="417" spans="5:8" x14ac:dyDescent="0.25">
      <c r="E417">
        <v>405</v>
      </c>
      <c r="F417">
        <v>20.411999999999999</v>
      </c>
      <c r="G417" t="s">
        <v>478</v>
      </c>
      <c r="H417" s="3" t="str">
        <f>IF(Qn-(F417-Ta)&gt;2*ENT,"Fara E","Ok")</f>
        <v>Ok</v>
      </c>
    </row>
    <row r="418" spans="5:8" x14ac:dyDescent="0.25">
      <c r="E418">
        <v>406</v>
      </c>
      <c r="F418">
        <v>20.372</v>
      </c>
      <c r="G418" t="s">
        <v>479</v>
      </c>
      <c r="H418" s="3" t="str">
        <f>IF(Qn-(F418-Ta)&gt;2*ENT,"Fara E","Ok")</f>
        <v>Ok</v>
      </c>
    </row>
    <row r="419" spans="5:8" x14ac:dyDescent="0.25">
      <c r="E419">
        <v>407</v>
      </c>
      <c r="F419">
        <v>20.391999999999999</v>
      </c>
      <c r="G419" t="s">
        <v>480</v>
      </c>
      <c r="H419" s="3" t="str">
        <f>IF(Qn-(F419-Ta)&gt;2*ENT,"Fara E","Ok")</f>
        <v>Ok</v>
      </c>
    </row>
    <row r="420" spans="5:8" x14ac:dyDescent="0.25">
      <c r="E420">
        <v>408</v>
      </c>
      <c r="F420">
        <v>20.372</v>
      </c>
      <c r="G420" t="s">
        <v>481</v>
      </c>
      <c r="H420" s="3" t="str">
        <f>IF(Qn-(F420-Ta)&gt;2*ENT,"Fara E","Ok")</f>
        <v>Ok</v>
      </c>
    </row>
    <row r="421" spans="5:8" x14ac:dyDescent="0.25">
      <c r="E421">
        <v>409</v>
      </c>
      <c r="F421">
        <v>20.391999999999999</v>
      </c>
      <c r="G421" t="s">
        <v>482</v>
      </c>
      <c r="H421" s="3" t="str">
        <f>IF(Qn-(F421-Ta)&gt;2*ENT,"Fara E","Ok")</f>
        <v>Ok</v>
      </c>
    </row>
    <row r="422" spans="5:8" x14ac:dyDescent="0.25">
      <c r="E422">
        <v>410</v>
      </c>
      <c r="F422">
        <v>20.372</v>
      </c>
      <c r="G422" t="s">
        <v>483</v>
      </c>
      <c r="H422" s="3" t="str">
        <f>IF(Qn-(F422-Ta)&gt;2*ENT,"Fara E","Ok")</f>
        <v>Ok</v>
      </c>
    </row>
    <row r="423" spans="5:8" x14ac:dyDescent="0.25">
      <c r="E423">
        <v>411</v>
      </c>
      <c r="F423">
        <v>20.391999999999999</v>
      </c>
      <c r="G423" t="s">
        <v>484</v>
      </c>
      <c r="H423" s="3" t="str">
        <f>IF(Qn-(F423-Ta)&gt;2*ENT,"Fara E","Ok")</f>
        <v>Ok</v>
      </c>
    </row>
    <row r="424" spans="5:8" x14ac:dyDescent="0.25">
      <c r="E424">
        <v>412</v>
      </c>
      <c r="F424">
        <v>20.391999999999999</v>
      </c>
      <c r="G424" t="s">
        <v>485</v>
      </c>
      <c r="H424" s="3" t="str">
        <f>IF(Qn-(F424-Ta)&gt;2*ENT,"Fara E","Ok")</f>
        <v>Ok</v>
      </c>
    </row>
    <row r="425" spans="5:8" x14ac:dyDescent="0.25">
      <c r="E425">
        <v>413</v>
      </c>
      <c r="F425">
        <v>20.411999999999999</v>
      </c>
      <c r="G425" t="s">
        <v>486</v>
      </c>
      <c r="H425" s="3" t="str">
        <f>IF(Qn-(F425-Ta)&gt;2*ENT,"Fara E","Ok")</f>
        <v>Ok</v>
      </c>
    </row>
    <row r="426" spans="5:8" x14ac:dyDescent="0.25">
      <c r="E426">
        <v>414</v>
      </c>
      <c r="F426">
        <v>20.391999999999999</v>
      </c>
      <c r="G426" t="s">
        <v>487</v>
      </c>
      <c r="H426" s="3" t="str">
        <f>IF(Qn-(F426-Ta)&gt;2*ENT,"Fara E","Ok")</f>
        <v>Ok</v>
      </c>
    </row>
    <row r="427" spans="5:8" x14ac:dyDescent="0.25">
      <c r="E427">
        <v>415</v>
      </c>
      <c r="F427">
        <v>20.391999999999999</v>
      </c>
      <c r="G427"/>
      <c r="H427" s="3" t="str">
        <f>IF(Qn-(F427-Ta)&gt;2*ENT,"Fara E","Ok")</f>
        <v>Ok</v>
      </c>
    </row>
    <row r="428" spans="5:8" x14ac:dyDescent="0.25">
      <c r="E428">
        <v>416</v>
      </c>
      <c r="F428">
        <v>20.372</v>
      </c>
      <c r="G428" t="s">
        <v>488</v>
      </c>
      <c r="H428" s="3" t="str">
        <f>IF(Qn-(F428-Ta)&gt;2*ENT,"Fara E","Ok")</f>
        <v>Ok</v>
      </c>
    </row>
    <row r="429" spans="5:8" x14ac:dyDescent="0.25">
      <c r="E429">
        <v>417</v>
      </c>
      <c r="F429">
        <v>20.411999999999999</v>
      </c>
      <c r="G429" t="s">
        <v>489</v>
      </c>
      <c r="H429" s="3" t="str">
        <f>IF(Qn-(F429-Ta)&gt;2*ENT,"Fara E","Ok")</f>
        <v>Ok</v>
      </c>
    </row>
    <row r="430" spans="5:8" x14ac:dyDescent="0.25">
      <c r="E430">
        <v>418</v>
      </c>
      <c r="F430">
        <v>20.391999999999999</v>
      </c>
      <c r="G430" t="s">
        <v>490</v>
      </c>
      <c r="H430" s="3" t="str">
        <f>IF(Qn-(F430-Ta)&gt;2*ENT,"Fara E","Ok")</f>
        <v>Ok</v>
      </c>
    </row>
    <row r="431" spans="5:8" x14ac:dyDescent="0.25">
      <c r="E431">
        <v>419</v>
      </c>
      <c r="F431">
        <v>20.431999999999999</v>
      </c>
      <c r="G431" t="s">
        <v>491</v>
      </c>
      <c r="H431" s="3" t="str">
        <f>IF(Qn-(F431-Ta)&gt;2*ENT,"Fara E","Ok")</f>
        <v>Ok</v>
      </c>
    </row>
    <row r="432" spans="5:8" x14ac:dyDescent="0.25">
      <c r="E432">
        <v>420</v>
      </c>
      <c r="F432">
        <v>20.391999999999999</v>
      </c>
      <c r="G432" t="s">
        <v>492</v>
      </c>
      <c r="H432" s="3" t="str">
        <f>IF(Qn-(F432-Ta)&gt;2*ENT,"Fara E","Ok")</f>
        <v>Ok</v>
      </c>
    </row>
    <row r="433" spans="5:8" x14ac:dyDescent="0.25">
      <c r="E433">
        <v>421</v>
      </c>
      <c r="F433">
        <v>20.391999999999999</v>
      </c>
      <c r="G433" t="s">
        <v>493</v>
      </c>
      <c r="H433" s="3" t="str">
        <f>IF(Qn-(F433-Ta)&gt;2*ENT,"Fara E","Ok")</f>
        <v>Ok</v>
      </c>
    </row>
    <row r="434" spans="5:8" x14ac:dyDescent="0.25">
      <c r="E434">
        <v>422</v>
      </c>
      <c r="F434">
        <v>20.391999999999999</v>
      </c>
      <c r="G434" t="s">
        <v>494</v>
      </c>
      <c r="H434" s="3" t="str">
        <f>IF(Qn-(F434-Ta)&gt;2*ENT,"Fara E","Ok")</f>
        <v>Ok</v>
      </c>
    </row>
    <row r="435" spans="5:8" x14ac:dyDescent="0.25">
      <c r="E435">
        <v>423</v>
      </c>
      <c r="F435">
        <v>20.411999999999999</v>
      </c>
      <c r="G435" t="s">
        <v>495</v>
      </c>
      <c r="H435" s="3" t="str">
        <f>IF(Qn-(F435-Ta)&gt;2*ENT,"Fara E","Ok")</f>
        <v>Ok</v>
      </c>
    </row>
    <row r="436" spans="5:8" x14ac:dyDescent="0.25">
      <c r="E436">
        <v>424</v>
      </c>
      <c r="F436">
        <v>20.391999999999999</v>
      </c>
      <c r="G436" t="s">
        <v>496</v>
      </c>
      <c r="H436" s="3" t="str">
        <f>IF(Qn-(F436-Ta)&gt;2*ENT,"Fara E","Ok")</f>
        <v>Ok</v>
      </c>
    </row>
    <row r="437" spans="5:8" x14ac:dyDescent="0.25">
      <c r="E437">
        <v>425</v>
      </c>
      <c r="F437">
        <v>20.411999999999999</v>
      </c>
      <c r="G437" t="s">
        <v>497</v>
      </c>
      <c r="H437" s="3" t="str">
        <f>IF(Qn-(F437-Ta)&gt;2*ENT,"Fara E","Ok")</f>
        <v>Ok</v>
      </c>
    </row>
    <row r="438" spans="5:8" x14ac:dyDescent="0.25">
      <c r="E438">
        <v>426</v>
      </c>
      <c r="F438">
        <v>20.372</v>
      </c>
      <c r="G438" t="s">
        <v>498</v>
      </c>
      <c r="H438" s="3" t="str">
        <f>IF(Qn-(F438-Ta)&gt;2*ENT,"Fara E","Ok")</f>
        <v>Ok</v>
      </c>
    </row>
    <row r="439" spans="5:8" x14ac:dyDescent="0.25">
      <c r="E439">
        <v>427</v>
      </c>
      <c r="F439">
        <v>20.431999999999999</v>
      </c>
      <c r="G439" t="s">
        <v>499</v>
      </c>
      <c r="H439" s="3" t="str">
        <f>IF(Qn-(F439-Ta)&gt;2*ENT,"Fara E","Ok")</f>
        <v>Ok</v>
      </c>
    </row>
    <row r="440" spans="5:8" x14ac:dyDescent="0.25">
      <c r="E440">
        <v>428</v>
      </c>
      <c r="F440">
        <v>20.431999999999999</v>
      </c>
      <c r="G440" t="s">
        <v>500</v>
      </c>
      <c r="H440" s="3" t="str">
        <f>IF(Qn-(F440-Ta)&gt;2*ENT,"Fara E","Ok")</f>
        <v>Ok</v>
      </c>
    </row>
    <row r="441" spans="5:8" x14ac:dyDescent="0.25">
      <c r="E441">
        <v>429</v>
      </c>
      <c r="F441">
        <v>20.431999999999999</v>
      </c>
      <c r="G441" t="s">
        <v>501</v>
      </c>
      <c r="H441" s="3" t="str">
        <f>IF(Qn-(F441-Ta)&gt;2*ENT,"Fara E","Ok")</f>
        <v>Ok</v>
      </c>
    </row>
    <row r="442" spans="5:8" x14ac:dyDescent="0.25">
      <c r="E442">
        <v>430</v>
      </c>
      <c r="F442">
        <v>20.391999999999999</v>
      </c>
      <c r="G442" t="s">
        <v>502</v>
      </c>
      <c r="H442" s="3" t="str">
        <f>IF(Qn-(F442-Ta)&gt;2*ENT,"Fara E","Ok")</f>
        <v>Ok</v>
      </c>
    </row>
    <row r="443" spans="5:8" x14ac:dyDescent="0.25">
      <c r="E443">
        <v>431</v>
      </c>
      <c r="F443">
        <v>20.431999999999999</v>
      </c>
      <c r="G443" t="s">
        <v>503</v>
      </c>
      <c r="H443" s="3" t="str">
        <f>IF(Qn-(F443-Ta)&gt;2*ENT,"Fara E","Ok")</f>
        <v>Ok</v>
      </c>
    </row>
    <row r="444" spans="5:8" x14ac:dyDescent="0.25">
      <c r="E444">
        <v>432</v>
      </c>
      <c r="F444">
        <v>20.372</v>
      </c>
      <c r="G444" t="s">
        <v>504</v>
      </c>
      <c r="H444" s="3" t="str">
        <f>IF(Qn-(F444-Ta)&gt;2*ENT,"Fara E","Ok")</f>
        <v>Ok</v>
      </c>
    </row>
    <row r="445" spans="5:8" x14ac:dyDescent="0.25">
      <c r="E445">
        <v>433</v>
      </c>
      <c r="F445">
        <v>20.431999999999999</v>
      </c>
      <c r="G445" t="s">
        <v>505</v>
      </c>
      <c r="H445" s="3" t="str">
        <f>IF(Qn-(F445-Ta)&gt;2*ENT,"Fara E","Ok")</f>
        <v>Ok</v>
      </c>
    </row>
    <row r="446" spans="5:8" x14ac:dyDescent="0.25">
      <c r="E446">
        <v>434</v>
      </c>
      <c r="F446">
        <v>20.391999999999999</v>
      </c>
      <c r="G446" t="s">
        <v>506</v>
      </c>
      <c r="H446" s="3" t="str">
        <f>IF(Qn-(F446-Ta)&gt;2*ENT,"Fara E","Ok")</f>
        <v>Ok</v>
      </c>
    </row>
    <row r="447" spans="5:8" x14ac:dyDescent="0.25">
      <c r="E447">
        <v>435</v>
      </c>
      <c r="F447">
        <v>20.411999999999999</v>
      </c>
      <c r="G447" t="s">
        <v>507</v>
      </c>
      <c r="H447" s="3" t="str">
        <f>IF(Qn-(F447-Ta)&gt;2*ENT,"Fara E","Ok")</f>
        <v>Ok</v>
      </c>
    </row>
    <row r="448" spans="5:8" x14ac:dyDescent="0.25">
      <c r="E448">
        <v>436</v>
      </c>
      <c r="F448">
        <v>20.391999999999999</v>
      </c>
      <c r="G448" t="s">
        <v>508</v>
      </c>
      <c r="H448" s="3" t="str">
        <f>IF(Qn-(F448-Ta)&gt;2*ENT,"Fara E","Ok")</f>
        <v>Ok</v>
      </c>
    </row>
    <row r="449" spans="5:8" x14ac:dyDescent="0.25">
      <c r="E449">
        <v>437</v>
      </c>
      <c r="F449">
        <v>20.411999999999999</v>
      </c>
      <c r="G449" t="s">
        <v>509</v>
      </c>
      <c r="H449" s="3" t="str">
        <f>IF(Qn-(F449-Ta)&gt;2*ENT,"Fara E","Ok")</f>
        <v>Ok</v>
      </c>
    </row>
    <row r="450" spans="5:8" x14ac:dyDescent="0.25">
      <c r="E450">
        <v>438</v>
      </c>
      <c r="F450">
        <v>20.411999999999999</v>
      </c>
      <c r="G450" t="s">
        <v>510</v>
      </c>
      <c r="H450" s="3" t="str">
        <f>IF(Qn-(F450-Ta)&gt;2*ENT,"Fara E","Ok")</f>
        <v>Ok</v>
      </c>
    </row>
    <row r="451" spans="5:8" x14ac:dyDescent="0.25">
      <c r="E451">
        <v>439</v>
      </c>
      <c r="F451">
        <v>20.391999999999999</v>
      </c>
      <c r="G451" t="s">
        <v>511</v>
      </c>
      <c r="H451" s="3" t="str">
        <f>IF(Qn-(F451-Ta)&gt;2*ENT,"Fara E","Ok")</f>
        <v>Ok</v>
      </c>
    </row>
    <row r="452" spans="5:8" x14ac:dyDescent="0.25">
      <c r="E452">
        <v>440</v>
      </c>
      <c r="F452">
        <v>20.411999999999999</v>
      </c>
      <c r="G452" t="s">
        <v>512</v>
      </c>
      <c r="H452" s="3" t="str">
        <f>IF(Qn-(F452-Ta)&gt;2*ENT,"Fara E","Ok")</f>
        <v>Ok</v>
      </c>
    </row>
    <row r="453" spans="5:8" x14ac:dyDescent="0.25">
      <c r="E453">
        <v>441</v>
      </c>
      <c r="F453">
        <v>20.431999999999999</v>
      </c>
      <c r="G453" t="s">
        <v>513</v>
      </c>
      <c r="H453" s="3" t="str">
        <f>IF(Qn-(F453-Ta)&gt;2*ENT,"Fara E","Ok")</f>
        <v>Ok</v>
      </c>
    </row>
    <row r="454" spans="5:8" x14ac:dyDescent="0.25">
      <c r="E454">
        <v>442</v>
      </c>
      <c r="F454">
        <v>20.411999999999999</v>
      </c>
      <c r="G454" t="s">
        <v>514</v>
      </c>
      <c r="H454" s="3" t="str">
        <f>IF(Qn-(F454-Ta)&gt;2*ENT,"Fara E","Ok")</f>
        <v>Ok</v>
      </c>
    </row>
    <row r="455" spans="5:8" x14ac:dyDescent="0.25">
      <c r="E455">
        <v>443</v>
      </c>
      <c r="F455">
        <v>20.391999999999999</v>
      </c>
      <c r="G455" t="s">
        <v>515</v>
      </c>
      <c r="H455" s="3" t="str">
        <f>IF(Qn-(F455-Ta)&gt;2*ENT,"Fara E","Ok")</f>
        <v>Ok</v>
      </c>
    </row>
    <row r="456" spans="5:8" x14ac:dyDescent="0.25">
      <c r="E456">
        <v>444</v>
      </c>
      <c r="F456">
        <v>20.391999999999999</v>
      </c>
      <c r="G456" t="s">
        <v>516</v>
      </c>
      <c r="H456" s="3" t="str">
        <f>IF(Qn-(F456-Ta)&gt;2*ENT,"Fara E","Ok")</f>
        <v>Ok</v>
      </c>
    </row>
    <row r="457" spans="5:8" x14ac:dyDescent="0.25">
      <c r="E457">
        <v>445</v>
      </c>
      <c r="F457">
        <v>20.411999999999999</v>
      </c>
      <c r="G457" t="s">
        <v>517</v>
      </c>
      <c r="H457" s="3" t="str">
        <f>IF(Qn-(F457-Ta)&gt;2*ENT,"Fara E","Ok")</f>
        <v>Ok</v>
      </c>
    </row>
    <row r="458" spans="5:8" x14ac:dyDescent="0.25">
      <c r="E458">
        <v>446</v>
      </c>
      <c r="F458">
        <v>20.411999999999999</v>
      </c>
      <c r="G458" t="s">
        <v>518</v>
      </c>
      <c r="H458" s="3" t="str">
        <f>IF(Qn-(F458-Ta)&gt;2*ENT,"Fara E","Ok")</f>
        <v>Ok</v>
      </c>
    </row>
    <row r="459" spans="5:8" x14ac:dyDescent="0.25">
      <c r="E459">
        <v>447</v>
      </c>
      <c r="F459">
        <v>20.391999999999999</v>
      </c>
      <c r="G459" t="s">
        <v>519</v>
      </c>
      <c r="H459" s="3" t="str">
        <f>IF(Qn-(F459-Ta)&gt;2*ENT,"Fara E","Ok")</f>
        <v>Ok</v>
      </c>
    </row>
    <row r="460" spans="5:8" x14ac:dyDescent="0.25">
      <c r="E460">
        <v>448</v>
      </c>
      <c r="F460">
        <v>20.372</v>
      </c>
      <c r="G460" t="s">
        <v>520</v>
      </c>
      <c r="H460" s="3" t="str">
        <f>IF(Qn-(F460-Ta)&gt;2*ENT,"Fara E","Ok")</f>
        <v>Ok</v>
      </c>
    </row>
    <row r="461" spans="5:8" x14ac:dyDescent="0.25">
      <c r="E461">
        <v>449</v>
      </c>
      <c r="F461">
        <v>20.391999999999999</v>
      </c>
      <c r="G461" t="s">
        <v>521</v>
      </c>
      <c r="H461" s="3" t="str">
        <f>IF(Qn-(F461-Ta)&gt;2*ENT,"Fara E","Ok")</f>
        <v>Ok</v>
      </c>
    </row>
    <row r="462" spans="5:8" x14ac:dyDescent="0.25">
      <c r="E462">
        <v>450</v>
      </c>
      <c r="F462">
        <v>20.411999999999999</v>
      </c>
      <c r="G462" t="s">
        <v>522</v>
      </c>
      <c r="H462" s="3" t="str">
        <f>IF(Qn-(F462-Ta)&gt;2*ENT,"Fara E","Ok")</f>
        <v>Ok</v>
      </c>
    </row>
    <row r="463" spans="5:8" x14ac:dyDescent="0.25">
      <c r="E463">
        <v>451</v>
      </c>
      <c r="F463">
        <v>20.411999999999999</v>
      </c>
      <c r="G463" t="s">
        <v>523</v>
      </c>
      <c r="H463" s="3" t="str">
        <f>IF(Qn-(F463-Ta)&gt;2*ENT,"Fara E","Ok")</f>
        <v>Ok</v>
      </c>
    </row>
    <row r="464" spans="5:8" x14ac:dyDescent="0.25">
      <c r="E464">
        <v>452</v>
      </c>
      <c r="F464">
        <v>20.411999999999999</v>
      </c>
      <c r="G464" t="s">
        <v>524</v>
      </c>
      <c r="H464" s="3" t="str">
        <f>IF(Qn-(F464-Ta)&gt;2*ENT,"Fara E","Ok")</f>
        <v>Ok</v>
      </c>
    </row>
    <row r="465" spans="5:8" x14ac:dyDescent="0.25">
      <c r="E465">
        <v>453</v>
      </c>
      <c r="F465">
        <v>20.411999999999999</v>
      </c>
      <c r="G465" t="s">
        <v>525</v>
      </c>
      <c r="H465" s="3" t="str">
        <f>IF(Qn-(F465-Ta)&gt;2*ENT,"Fara E","Ok")</f>
        <v>Ok</v>
      </c>
    </row>
    <row r="466" spans="5:8" x14ac:dyDescent="0.25">
      <c r="E466">
        <v>454</v>
      </c>
      <c r="F466">
        <v>20.391999999999999</v>
      </c>
      <c r="G466"/>
      <c r="H466" s="3" t="str">
        <f>IF(Qn-(F466-Ta)&gt;2*ENT,"Fara E","Ok")</f>
        <v>Ok</v>
      </c>
    </row>
    <row r="467" spans="5:8" x14ac:dyDescent="0.25">
      <c r="E467">
        <v>455</v>
      </c>
      <c r="F467">
        <v>20.391999999999999</v>
      </c>
      <c r="G467"/>
      <c r="H467" s="3" t="str">
        <f>IF(Qn-(F467-Ta)&gt;2*ENT,"Fara E","Ok")</f>
        <v>Ok</v>
      </c>
    </row>
    <row r="468" spans="5:8" x14ac:dyDescent="0.25">
      <c r="E468">
        <v>456</v>
      </c>
      <c r="F468">
        <v>20.411999999999999</v>
      </c>
      <c r="G468" t="s">
        <v>526</v>
      </c>
      <c r="H468" s="3" t="str">
        <f>IF(Qn-(F468-Ta)&gt;2*ENT,"Fara E","Ok")</f>
        <v>Ok</v>
      </c>
    </row>
    <row r="469" spans="5:8" x14ac:dyDescent="0.25">
      <c r="E469">
        <v>457</v>
      </c>
      <c r="F469">
        <v>20.411999999999999</v>
      </c>
      <c r="G469" t="s">
        <v>527</v>
      </c>
      <c r="H469" s="3" t="str">
        <f>IF(Qn-(F469-Ta)&gt;2*ENT,"Fara E","Ok")</f>
        <v>Ok</v>
      </c>
    </row>
    <row r="470" spans="5:8" x14ac:dyDescent="0.25">
      <c r="E470">
        <v>458</v>
      </c>
      <c r="F470">
        <v>20.411999999999999</v>
      </c>
      <c r="G470" t="s">
        <v>528</v>
      </c>
      <c r="H470" s="3" t="str">
        <f>IF(Qn-(F470-Ta)&gt;2*ENT,"Fara E","Ok")</f>
        <v>Ok</v>
      </c>
    </row>
    <row r="471" spans="5:8" x14ac:dyDescent="0.25">
      <c r="E471">
        <v>459</v>
      </c>
      <c r="F471">
        <v>20.391999999999999</v>
      </c>
      <c r="G471" t="s">
        <v>529</v>
      </c>
      <c r="H471" s="3" t="str">
        <f>IF(Qn-(F471-Ta)&gt;2*ENT,"Fara E","Ok")</f>
        <v>Ok</v>
      </c>
    </row>
    <row r="472" spans="5:8" x14ac:dyDescent="0.25">
      <c r="E472">
        <v>460</v>
      </c>
      <c r="F472">
        <v>20.411999999999999</v>
      </c>
      <c r="G472" t="s">
        <v>530</v>
      </c>
      <c r="H472" s="3" t="str">
        <f>IF(Qn-(F472-Ta)&gt;2*ENT,"Fara E","Ok")</f>
        <v>Ok</v>
      </c>
    </row>
    <row r="473" spans="5:8" x14ac:dyDescent="0.25">
      <c r="E473">
        <v>461</v>
      </c>
      <c r="F473">
        <v>20.391999999999999</v>
      </c>
      <c r="G473" t="s">
        <v>531</v>
      </c>
      <c r="H473" s="3" t="str">
        <f>IF(Qn-(F473-Ta)&gt;2*ENT,"Fara E","Ok")</f>
        <v>Ok</v>
      </c>
    </row>
    <row r="474" spans="5:8" x14ac:dyDescent="0.25">
      <c r="E474">
        <v>462</v>
      </c>
      <c r="F474">
        <v>20.411999999999999</v>
      </c>
      <c r="G474" t="s">
        <v>532</v>
      </c>
      <c r="H474" s="3" t="str">
        <f>IF(Qn-(F474-Ta)&gt;2*ENT,"Fara E","Ok")</f>
        <v>Ok</v>
      </c>
    </row>
    <row r="475" spans="5:8" x14ac:dyDescent="0.25">
      <c r="E475">
        <v>463</v>
      </c>
      <c r="F475">
        <v>20.431999999999999</v>
      </c>
      <c r="G475" t="s">
        <v>533</v>
      </c>
      <c r="H475" s="3" t="str">
        <f>IF(Qn-(F475-Ta)&gt;2*ENT,"Fara E","Ok")</f>
        <v>Ok</v>
      </c>
    </row>
    <row r="476" spans="5:8" x14ac:dyDescent="0.25">
      <c r="E476">
        <v>464</v>
      </c>
      <c r="F476">
        <v>20.411999999999999</v>
      </c>
      <c r="G476" t="s">
        <v>534</v>
      </c>
      <c r="H476" s="3" t="str">
        <f>IF(Qn-(F476-Ta)&gt;2*ENT,"Fara E","Ok")</f>
        <v>Ok</v>
      </c>
    </row>
    <row r="477" spans="5:8" x14ac:dyDescent="0.25">
      <c r="E477">
        <v>465</v>
      </c>
      <c r="F477">
        <v>20.352</v>
      </c>
      <c r="G477" t="s">
        <v>535</v>
      </c>
      <c r="H477" s="3" t="str">
        <f>IF(Qn-(F477-Ta)&gt;2*ENT,"Fara E","Ok")</f>
        <v>Ok</v>
      </c>
    </row>
    <row r="478" spans="5:8" x14ac:dyDescent="0.25">
      <c r="E478">
        <v>466</v>
      </c>
      <c r="F478">
        <v>20.391999999999999</v>
      </c>
      <c r="G478"/>
      <c r="H478" s="3" t="str">
        <f>IF(Qn-(F478-Ta)&gt;2*ENT,"Fara E","Ok")</f>
        <v>Ok</v>
      </c>
    </row>
    <row r="479" spans="5:8" x14ac:dyDescent="0.25">
      <c r="E479">
        <v>467</v>
      </c>
      <c r="F479">
        <v>20.411999999999999</v>
      </c>
      <c r="G479" t="s">
        <v>536</v>
      </c>
      <c r="H479" s="3" t="str">
        <f>IF(Qn-(F479-Ta)&gt;2*ENT,"Fara E","Ok")</f>
        <v>Ok</v>
      </c>
    </row>
    <row r="480" spans="5:8" x14ac:dyDescent="0.25">
      <c r="E480">
        <v>468</v>
      </c>
      <c r="F480">
        <v>20.391999999999999</v>
      </c>
      <c r="G480" t="s">
        <v>537</v>
      </c>
      <c r="H480" s="3" t="str">
        <f>IF(Qn-(F480-Ta)&gt;2*ENT,"Fara E","Ok")</f>
        <v>Ok</v>
      </c>
    </row>
    <row r="481" spans="5:8" x14ac:dyDescent="0.25">
      <c r="E481">
        <v>469</v>
      </c>
      <c r="F481">
        <v>20.391999999999999</v>
      </c>
      <c r="G481" t="s">
        <v>538</v>
      </c>
      <c r="H481" s="3" t="str">
        <f>IF(Qn-(F481-Ta)&gt;2*ENT,"Fara E","Ok")</f>
        <v>Ok</v>
      </c>
    </row>
    <row r="482" spans="5:8" x14ac:dyDescent="0.25">
      <c r="E482">
        <v>470</v>
      </c>
      <c r="F482">
        <v>20.372</v>
      </c>
      <c r="G482" t="s">
        <v>539</v>
      </c>
      <c r="H482" s="3" t="str">
        <f>IF(Qn-(F482-Ta)&gt;2*ENT,"Fara E","Ok")</f>
        <v>Ok</v>
      </c>
    </row>
    <row r="483" spans="5:8" x14ac:dyDescent="0.25">
      <c r="E483">
        <v>471</v>
      </c>
      <c r="F483">
        <v>20.391999999999999</v>
      </c>
      <c r="G483" t="s">
        <v>540</v>
      </c>
      <c r="H483" s="3" t="str">
        <f>IF(Qn-(F483-Ta)&gt;2*ENT,"Fara E","Ok")</f>
        <v>Ok</v>
      </c>
    </row>
    <row r="484" spans="5:8" x14ac:dyDescent="0.25">
      <c r="E484">
        <v>472</v>
      </c>
      <c r="F484">
        <v>20.372</v>
      </c>
      <c r="G484" t="s">
        <v>541</v>
      </c>
      <c r="H484" s="3" t="str">
        <f>IF(Qn-(F484-Ta)&gt;2*ENT,"Fara E","Ok")</f>
        <v>Ok</v>
      </c>
    </row>
    <row r="485" spans="5:8" x14ac:dyDescent="0.25">
      <c r="E485">
        <v>473</v>
      </c>
      <c r="F485">
        <v>20.372</v>
      </c>
      <c r="G485" t="s">
        <v>542</v>
      </c>
      <c r="H485" s="3" t="str">
        <f>IF(Qn-(F485-Ta)&gt;2*ENT,"Fara E","Ok")</f>
        <v>Ok</v>
      </c>
    </row>
    <row r="486" spans="5:8" x14ac:dyDescent="0.25">
      <c r="E486">
        <v>474</v>
      </c>
      <c r="F486">
        <v>20.391999999999999</v>
      </c>
      <c r="G486" t="s">
        <v>543</v>
      </c>
      <c r="H486" s="3" t="str">
        <f>IF(Qn-(F486-Ta)&gt;2*ENT,"Fara E","Ok")</f>
        <v>Ok</v>
      </c>
    </row>
    <row r="487" spans="5:8" x14ac:dyDescent="0.25">
      <c r="E487">
        <v>475</v>
      </c>
      <c r="F487">
        <v>20.372</v>
      </c>
      <c r="G487" t="s">
        <v>544</v>
      </c>
      <c r="H487" s="3" t="str">
        <f>IF(Qn-(F487-Ta)&gt;2*ENT,"Fara E","Ok")</f>
        <v>Ok</v>
      </c>
    </row>
    <row r="488" spans="5:8" x14ac:dyDescent="0.25">
      <c r="E488">
        <v>476</v>
      </c>
      <c r="F488">
        <v>20.391999999999999</v>
      </c>
      <c r="G488" t="s">
        <v>545</v>
      </c>
      <c r="H488" s="3" t="str">
        <f>IF(Qn-(F488-Ta)&gt;2*ENT,"Fara E","Ok")</f>
        <v>Ok</v>
      </c>
    </row>
    <row r="489" spans="5:8" x14ac:dyDescent="0.25">
      <c r="E489">
        <v>477</v>
      </c>
      <c r="F489">
        <v>20.411999999999999</v>
      </c>
      <c r="G489" t="s">
        <v>546</v>
      </c>
      <c r="H489" s="3" t="str">
        <f>IF(Qn-(F489-Ta)&gt;2*ENT,"Fara E","Ok")</f>
        <v>Ok</v>
      </c>
    </row>
    <row r="490" spans="5:8" x14ac:dyDescent="0.25">
      <c r="E490">
        <v>478</v>
      </c>
      <c r="F490">
        <v>20.391999999999999</v>
      </c>
      <c r="G490" t="s">
        <v>547</v>
      </c>
      <c r="H490" s="3" t="str">
        <f>IF(Qn-(F490-Ta)&gt;2*ENT,"Fara E","Ok")</f>
        <v>Ok</v>
      </c>
    </row>
    <row r="491" spans="5:8" x14ac:dyDescent="0.25">
      <c r="E491">
        <v>479</v>
      </c>
      <c r="F491">
        <v>20.372</v>
      </c>
      <c r="G491" t="s">
        <v>548</v>
      </c>
      <c r="H491" s="3" t="str">
        <f>IF(Qn-(F491-Ta)&gt;2*ENT,"Fara E","Ok")</f>
        <v>Ok</v>
      </c>
    </row>
    <row r="492" spans="5:8" x14ac:dyDescent="0.25">
      <c r="E492">
        <v>480</v>
      </c>
      <c r="F492">
        <v>20.391999999999999</v>
      </c>
      <c r="G492" t="s">
        <v>549</v>
      </c>
      <c r="H492" s="3" t="str">
        <f>IF(Qn-(F492-Ta)&gt;2*ENT,"Fara E","Ok")</f>
        <v>Ok</v>
      </c>
    </row>
    <row r="493" spans="5:8" x14ac:dyDescent="0.25">
      <c r="E493">
        <v>481</v>
      </c>
      <c r="F493">
        <v>20.391999999999999</v>
      </c>
      <c r="G493" t="s">
        <v>550</v>
      </c>
      <c r="H493" s="3" t="str">
        <f>IF(Qn-(F493-Ta)&gt;2*ENT,"Fara E","Ok")</f>
        <v>Ok</v>
      </c>
    </row>
    <row r="494" spans="5:8" x14ac:dyDescent="0.25">
      <c r="E494">
        <v>482</v>
      </c>
      <c r="F494">
        <v>20.431999999999999</v>
      </c>
      <c r="G494" t="s">
        <v>551</v>
      </c>
      <c r="H494" s="3" t="str">
        <f>IF(Qn-(F494-Ta)&gt;2*ENT,"Fara E","Ok")</f>
        <v>Ok</v>
      </c>
    </row>
    <row r="495" spans="5:8" x14ac:dyDescent="0.25">
      <c r="E495">
        <v>483</v>
      </c>
      <c r="F495">
        <v>20.411999999999999</v>
      </c>
      <c r="G495" t="s">
        <v>552</v>
      </c>
      <c r="H495" s="3" t="str">
        <f>IF(Qn-(F495-Ta)&gt;2*ENT,"Fara E","Ok")</f>
        <v>Ok</v>
      </c>
    </row>
    <row r="496" spans="5:8" x14ac:dyDescent="0.25">
      <c r="E496">
        <v>484</v>
      </c>
      <c r="F496">
        <v>20.372</v>
      </c>
      <c r="G496" t="s">
        <v>553</v>
      </c>
      <c r="H496" s="3" t="str">
        <f>IF(Qn-(F496-Ta)&gt;2*ENT,"Fara E","Ok")</f>
        <v>Ok</v>
      </c>
    </row>
    <row r="497" spans="5:8" x14ac:dyDescent="0.25">
      <c r="E497">
        <v>485</v>
      </c>
      <c r="F497">
        <v>20.391999999999999</v>
      </c>
      <c r="G497"/>
      <c r="H497" s="3" t="str">
        <f>IF(Qn-(F497-Ta)&gt;2*ENT,"Fara E","Ok")</f>
        <v>Ok</v>
      </c>
    </row>
    <row r="498" spans="5:8" x14ac:dyDescent="0.25">
      <c r="E498">
        <v>486</v>
      </c>
      <c r="F498">
        <v>20.431999999999999</v>
      </c>
      <c r="G498" t="s">
        <v>554</v>
      </c>
      <c r="H498" s="3" t="str">
        <f>IF(Qn-(F498-Ta)&gt;2*ENT,"Fara E","Ok")</f>
        <v>Ok</v>
      </c>
    </row>
    <row r="499" spans="5:8" x14ac:dyDescent="0.25">
      <c r="E499">
        <v>487</v>
      </c>
      <c r="F499">
        <v>20.411999999999999</v>
      </c>
      <c r="G499" t="s">
        <v>555</v>
      </c>
      <c r="H499" s="3" t="str">
        <f>IF(Qn-(F499-Ta)&gt;2*ENT,"Fara E","Ok")</f>
        <v>Ok</v>
      </c>
    </row>
    <row r="500" spans="5:8" x14ac:dyDescent="0.25">
      <c r="E500">
        <v>488</v>
      </c>
      <c r="F500">
        <v>20.391999999999999</v>
      </c>
      <c r="G500" t="s">
        <v>556</v>
      </c>
      <c r="H500" s="3" t="str">
        <f>IF(Qn-(F500-Ta)&gt;2*ENT,"Fara E","Ok")</f>
        <v>Ok</v>
      </c>
    </row>
    <row r="501" spans="5:8" x14ac:dyDescent="0.25">
      <c r="E501">
        <v>489</v>
      </c>
      <c r="F501">
        <v>20.391999999999999</v>
      </c>
      <c r="G501" t="s">
        <v>557</v>
      </c>
      <c r="H501" s="3" t="str">
        <f>IF(Qn-(F501-Ta)&gt;2*ENT,"Fara E","Ok")</f>
        <v>Ok</v>
      </c>
    </row>
    <row r="502" spans="5:8" x14ac:dyDescent="0.25">
      <c r="E502">
        <v>490</v>
      </c>
      <c r="F502">
        <v>20.411999999999999</v>
      </c>
      <c r="G502" t="s">
        <v>558</v>
      </c>
      <c r="H502" s="3" t="str">
        <f>IF(Qn-(F502-Ta)&gt;2*ENT,"Fara E","Ok")</f>
        <v>Ok</v>
      </c>
    </row>
    <row r="503" spans="5:8" x14ac:dyDescent="0.25">
      <c r="E503">
        <v>491</v>
      </c>
      <c r="F503">
        <v>20.411999999999999</v>
      </c>
      <c r="G503" t="s">
        <v>559</v>
      </c>
      <c r="H503" s="3" t="str">
        <f>IF(Qn-(F503-Ta)&gt;2*ENT,"Fara E","Ok")</f>
        <v>Ok</v>
      </c>
    </row>
    <row r="504" spans="5:8" x14ac:dyDescent="0.25">
      <c r="E504">
        <v>492</v>
      </c>
      <c r="F504">
        <v>20.411999999999999</v>
      </c>
      <c r="G504" t="s">
        <v>560</v>
      </c>
      <c r="H504" s="3" t="str">
        <f>IF(Qn-(F504-Ta)&gt;2*ENT,"Fara E","Ok")</f>
        <v>Ok</v>
      </c>
    </row>
    <row r="505" spans="5:8" x14ac:dyDescent="0.25">
      <c r="E505">
        <v>493</v>
      </c>
      <c r="F505">
        <v>20.411999999999999</v>
      </c>
      <c r="G505" t="s">
        <v>561</v>
      </c>
      <c r="H505" s="3" t="str">
        <f>IF(Qn-(F505-Ta)&gt;2*ENT,"Fara E","Ok")</f>
        <v>Ok</v>
      </c>
    </row>
    <row r="506" spans="5:8" x14ac:dyDescent="0.25">
      <c r="E506">
        <v>494</v>
      </c>
      <c r="F506">
        <v>20.391999999999999</v>
      </c>
      <c r="G506" t="s">
        <v>562</v>
      </c>
      <c r="H506" s="3" t="str">
        <f>IF(Qn-(F506-Ta)&gt;2*ENT,"Fara E","Ok")</f>
        <v>Ok</v>
      </c>
    </row>
    <row r="507" spans="5:8" x14ac:dyDescent="0.25">
      <c r="E507">
        <v>495</v>
      </c>
      <c r="F507">
        <v>20.391999999999999</v>
      </c>
      <c r="G507"/>
      <c r="H507" s="3" t="str">
        <f>IF(Qn-(F507-Ta)&gt;2*ENT,"Fara E","Ok")</f>
        <v>Ok</v>
      </c>
    </row>
    <row r="508" spans="5:8" x14ac:dyDescent="0.25">
      <c r="E508">
        <v>496</v>
      </c>
      <c r="F508">
        <v>20.391999999999999</v>
      </c>
      <c r="G508" t="s">
        <v>563</v>
      </c>
      <c r="H508" s="3" t="str">
        <f>IF(Qn-(F508-Ta)&gt;2*ENT,"Fara E","Ok")</f>
        <v>Ok</v>
      </c>
    </row>
    <row r="509" spans="5:8" x14ac:dyDescent="0.25">
      <c r="E509">
        <v>497</v>
      </c>
      <c r="F509">
        <v>20.411999999999999</v>
      </c>
      <c r="G509" t="s">
        <v>564</v>
      </c>
      <c r="H509" s="3" t="str">
        <f>IF(Qn-(F509-Ta)&gt;2*ENT,"Fara E","Ok")</f>
        <v>Ok</v>
      </c>
    </row>
    <row r="510" spans="5:8" x14ac:dyDescent="0.25">
      <c r="E510">
        <v>498</v>
      </c>
      <c r="F510">
        <v>20.372</v>
      </c>
      <c r="G510" t="s">
        <v>565</v>
      </c>
      <c r="H510" s="3" t="str">
        <f>IF(Qn-(F510-Ta)&gt;2*ENT,"Fara E","Ok")</f>
        <v>Ok</v>
      </c>
    </row>
    <row r="511" spans="5:8" x14ac:dyDescent="0.25">
      <c r="E511">
        <v>499</v>
      </c>
      <c r="F511">
        <v>20.411999999999999</v>
      </c>
      <c r="G511" t="s">
        <v>566</v>
      </c>
      <c r="H511" s="3" t="str">
        <f>IF(Qn-(F511-Ta)&gt;2*ENT,"Fara E","Ok")</f>
        <v>Ok</v>
      </c>
    </row>
    <row r="512" spans="5:8" x14ac:dyDescent="0.25">
      <c r="E512">
        <v>500</v>
      </c>
      <c r="F512">
        <v>20.391999999999999</v>
      </c>
      <c r="G512" t="s">
        <v>567</v>
      </c>
      <c r="H512" s="3" t="str">
        <f>IF(Qn-(F512-Ta)&gt;2*ENT,"Fara E","Ok")</f>
        <v>Ok</v>
      </c>
    </row>
    <row r="513" spans="5:8" x14ac:dyDescent="0.25">
      <c r="E513">
        <v>501</v>
      </c>
      <c r="F513">
        <v>20.391999999999999</v>
      </c>
      <c r="G513" t="s">
        <v>568</v>
      </c>
      <c r="H513" s="3" t="str">
        <f>IF(Qn-(F513-Ta)&gt;2*ENT,"Fara E","Ok")</f>
        <v>Ok</v>
      </c>
    </row>
    <row r="514" spans="5:8" x14ac:dyDescent="0.25">
      <c r="E514">
        <v>502</v>
      </c>
      <c r="F514">
        <v>20.372</v>
      </c>
      <c r="G514" t="s">
        <v>569</v>
      </c>
      <c r="H514" s="3" t="str">
        <f>IF(Qn-(F514-Ta)&gt;2*ENT,"Fara E","Ok")</f>
        <v>Ok</v>
      </c>
    </row>
    <row r="515" spans="5:8" x14ac:dyDescent="0.25">
      <c r="E515">
        <v>503</v>
      </c>
      <c r="F515">
        <v>20.411999999999999</v>
      </c>
      <c r="G515" t="s">
        <v>570</v>
      </c>
      <c r="H515" s="3" t="str">
        <f>IF(Qn-(F515-Ta)&gt;2*ENT,"Fara E","Ok")</f>
        <v>Ok</v>
      </c>
    </row>
    <row r="516" spans="5:8" x14ac:dyDescent="0.25">
      <c r="E516">
        <v>504</v>
      </c>
      <c r="F516">
        <v>20.411999999999999</v>
      </c>
      <c r="G516" t="s">
        <v>571</v>
      </c>
      <c r="H516" s="3" t="str">
        <f>IF(Qn-(F516-Ta)&gt;2*ENT,"Fara E","Ok")</f>
        <v>Ok</v>
      </c>
    </row>
    <row r="517" spans="5:8" x14ac:dyDescent="0.25">
      <c r="E517">
        <v>505</v>
      </c>
      <c r="F517">
        <v>20.411999999999999</v>
      </c>
      <c r="G517" t="s">
        <v>572</v>
      </c>
      <c r="H517" s="3" t="str">
        <f>IF(Qn-(F517-Ta)&gt;2*ENT,"Fara E","Ok")</f>
        <v>Ok</v>
      </c>
    </row>
    <row r="518" spans="5:8" x14ac:dyDescent="0.25">
      <c r="E518">
        <v>506</v>
      </c>
      <c r="F518">
        <v>20.391999999999999</v>
      </c>
      <c r="G518" t="s">
        <v>573</v>
      </c>
      <c r="H518" s="3" t="str">
        <f>IF(Qn-(F518-Ta)&gt;2*ENT,"Fara E","Ok")</f>
        <v>Ok</v>
      </c>
    </row>
    <row r="519" spans="5:8" x14ac:dyDescent="0.25">
      <c r="E519">
        <v>507</v>
      </c>
      <c r="F519">
        <v>20.391999999999999</v>
      </c>
      <c r="G519" t="s">
        <v>574</v>
      </c>
      <c r="H519" s="3" t="str">
        <f>IF(Qn-(F519-Ta)&gt;2*ENT,"Fara E","Ok")</f>
        <v>Ok</v>
      </c>
    </row>
    <row r="520" spans="5:8" x14ac:dyDescent="0.25">
      <c r="E520">
        <v>508</v>
      </c>
      <c r="F520">
        <v>20.391999999999999</v>
      </c>
      <c r="G520" t="s">
        <v>575</v>
      </c>
      <c r="H520" s="3" t="str">
        <f>IF(Qn-(F520-Ta)&gt;2*ENT,"Fara E","Ok")</f>
        <v>Ok</v>
      </c>
    </row>
    <row r="521" spans="5:8" x14ac:dyDescent="0.25">
      <c r="E521">
        <v>509</v>
      </c>
      <c r="F521">
        <v>20.391999999999999</v>
      </c>
      <c r="G521" t="s">
        <v>576</v>
      </c>
      <c r="H521" s="3" t="str">
        <f>IF(Qn-(F521-Ta)&gt;2*ENT,"Fara E","Ok")</f>
        <v>Ok</v>
      </c>
    </row>
    <row r="522" spans="5:8" x14ac:dyDescent="0.25">
      <c r="E522">
        <v>510</v>
      </c>
      <c r="F522">
        <v>20.411999999999999</v>
      </c>
      <c r="G522" t="s">
        <v>577</v>
      </c>
      <c r="H522" s="3" t="str">
        <f>IF(Qn-(F522-Ta)&gt;2*ENT,"Fara E","Ok")</f>
        <v>Ok</v>
      </c>
    </row>
    <row r="523" spans="5:8" x14ac:dyDescent="0.25">
      <c r="E523">
        <v>511</v>
      </c>
      <c r="F523">
        <v>20.391999999999999</v>
      </c>
      <c r="G523" t="s">
        <v>578</v>
      </c>
      <c r="H523" s="3" t="str">
        <f>IF(Qn-(F523-Ta)&gt;2*ENT,"Fara E","Ok")</f>
        <v>Ok</v>
      </c>
    </row>
    <row r="524" spans="5:8" x14ac:dyDescent="0.25">
      <c r="E524">
        <v>512</v>
      </c>
      <c r="F524">
        <v>20.372</v>
      </c>
      <c r="G524" t="s">
        <v>579</v>
      </c>
      <c r="H524" s="3" t="str">
        <f>IF(Qn-(F524-Ta)&gt;2*ENT,"Fara E","Ok")</f>
        <v>Ok</v>
      </c>
    </row>
    <row r="525" spans="5:8" x14ac:dyDescent="0.25">
      <c r="E525">
        <v>513</v>
      </c>
      <c r="F525">
        <v>20.431999999999999</v>
      </c>
      <c r="G525" t="s">
        <v>580</v>
      </c>
      <c r="H525" s="3" t="str">
        <f>IF(Qn-(F525-Ta)&gt;2*ENT,"Fara E","Ok")</f>
        <v>Ok</v>
      </c>
    </row>
    <row r="526" spans="5:8" x14ac:dyDescent="0.25">
      <c r="E526">
        <v>514</v>
      </c>
      <c r="F526">
        <v>20.431999999999999</v>
      </c>
      <c r="G526" t="s">
        <v>581</v>
      </c>
      <c r="H526" s="3" t="str">
        <f>IF(Qn-(F526-Ta)&gt;2*ENT,"Fara E","Ok")</f>
        <v>Ok</v>
      </c>
    </row>
    <row r="527" spans="5:8" x14ac:dyDescent="0.25">
      <c r="E527">
        <v>515</v>
      </c>
      <c r="F527">
        <v>20.411999999999999</v>
      </c>
      <c r="G527" t="s">
        <v>582</v>
      </c>
      <c r="H527" s="3" t="str">
        <f>IF(Qn-(F527-Ta)&gt;2*ENT,"Fara E","Ok")</f>
        <v>Ok</v>
      </c>
    </row>
    <row r="528" spans="5:8" x14ac:dyDescent="0.25">
      <c r="E528">
        <v>516</v>
      </c>
      <c r="F528">
        <v>20.411999999999999</v>
      </c>
      <c r="G528" t="s">
        <v>583</v>
      </c>
      <c r="H528" s="3" t="str">
        <f>IF(Qn-(F528-Ta)&gt;2*ENT,"Fara E","Ok")</f>
        <v>Ok</v>
      </c>
    </row>
    <row r="529" spans="5:8" x14ac:dyDescent="0.25">
      <c r="E529">
        <v>517</v>
      </c>
      <c r="F529">
        <v>20.411999999999999</v>
      </c>
      <c r="G529" t="s">
        <v>584</v>
      </c>
      <c r="H529" s="3" t="str">
        <f>IF(Qn-(F529-Ta)&gt;2*ENT,"Fara E","Ok")</f>
        <v>Ok</v>
      </c>
    </row>
    <row r="530" spans="5:8" x14ac:dyDescent="0.25">
      <c r="E530">
        <v>518</v>
      </c>
      <c r="F530">
        <v>20.372</v>
      </c>
      <c r="G530" t="s">
        <v>585</v>
      </c>
      <c r="H530" s="3" t="str">
        <f>IF(Qn-(F530-Ta)&gt;2*ENT,"Fara E","Ok")</f>
        <v>Ok</v>
      </c>
    </row>
    <row r="531" spans="5:8" x14ac:dyDescent="0.25">
      <c r="E531">
        <v>519</v>
      </c>
      <c r="F531">
        <v>20.411999999999999</v>
      </c>
      <c r="G531" t="s">
        <v>586</v>
      </c>
      <c r="H531" s="3" t="str">
        <f>IF(Qn-(F531-Ta)&gt;2*ENT,"Fara E","Ok")</f>
        <v>Ok</v>
      </c>
    </row>
    <row r="532" spans="5:8" x14ac:dyDescent="0.25">
      <c r="E532">
        <v>520</v>
      </c>
      <c r="F532">
        <v>20.411999999999999</v>
      </c>
      <c r="G532" t="s">
        <v>587</v>
      </c>
      <c r="H532" s="3" t="str">
        <f>IF(Qn-(F532-Ta)&gt;2*ENT,"Fara E","Ok")</f>
        <v>Ok</v>
      </c>
    </row>
    <row r="533" spans="5:8" x14ac:dyDescent="0.25">
      <c r="E533">
        <v>521</v>
      </c>
      <c r="F533">
        <v>20.372</v>
      </c>
      <c r="G533" t="s">
        <v>588</v>
      </c>
      <c r="H533" s="3" t="str">
        <f>IF(Qn-(F533-Ta)&gt;2*ENT,"Fara E","Ok")</f>
        <v>Ok</v>
      </c>
    </row>
    <row r="534" spans="5:8" x14ac:dyDescent="0.25">
      <c r="E534">
        <v>522</v>
      </c>
      <c r="F534">
        <v>20.431999999999999</v>
      </c>
      <c r="G534" t="s">
        <v>589</v>
      </c>
      <c r="H534" s="3" t="str">
        <f>IF(Qn-(F534-Ta)&gt;2*ENT,"Fara E","Ok")</f>
        <v>Ok</v>
      </c>
    </row>
    <row r="535" spans="5:8" x14ac:dyDescent="0.25">
      <c r="E535">
        <v>523</v>
      </c>
      <c r="F535">
        <v>20.411999999999999</v>
      </c>
      <c r="G535" t="s">
        <v>590</v>
      </c>
      <c r="H535" s="3" t="str">
        <f>IF(Qn-(F535-Ta)&gt;2*ENT,"Fara E","Ok")</f>
        <v>Ok</v>
      </c>
    </row>
    <row r="536" spans="5:8" x14ac:dyDescent="0.25">
      <c r="E536">
        <v>524</v>
      </c>
      <c r="F536">
        <v>20.411999999999999</v>
      </c>
      <c r="G536" t="s">
        <v>591</v>
      </c>
      <c r="H536" s="3" t="str">
        <f>IF(Qn-(F536-Ta)&gt;2*ENT,"Fara E","Ok")</f>
        <v>Ok</v>
      </c>
    </row>
    <row r="537" spans="5:8" x14ac:dyDescent="0.25">
      <c r="E537">
        <v>525</v>
      </c>
      <c r="F537">
        <v>20.411999999999999</v>
      </c>
      <c r="G537" t="s">
        <v>592</v>
      </c>
      <c r="H537" s="3" t="str">
        <f>IF(Qn-(F537-Ta)&gt;2*ENT,"Fara E","Ok")</f>
        <v>Ok</v>
      </c>
    </row>
    <row r="538" spans="5:8" x14ac:dyDescent="0.25">
      <c r="E538">
        <v>526</v>
      </c>
      <c r="F538">
        <v>20.391999999999999</v>
      </c>
      <c r="G538" t="s">
        <v>593</v>
      </c>
      <c r="H538" s="3" t="str">
        <f>IF(Qn-(F538-Ta)&gt;2*ENT,"Fara E","Ok")</f>
        <v>Ok</v>
      </c>
    </row>
    <row r="539" spans="5:8" x14ac:dyDescent="0.25">
      <c r="E539">
        <v>527</v>
      </c>
      <c r="F539">
        <v>20.372</v>
      </c>
      <c r="G539" t="s">
        <v>594</v>
      </c>
      <c r="H539" s="3" t="str">
        <f>IF(Qn-(F539-Ta)&gt;2*ENT,"Fara E","Ok")</f>
        <v>Ok</v>
      </c>
    </row>
    <row r="540" spans="5:8" x14ac:dyDescent="0.25">
      <c r="E540">
        <v>528</v>
      </c>
      <c r="F540">
        <v>20.391999999999999</v>
      </c>
      <c r="G540" t="s">
        <v>595</v>
      </c>
      <c r="H540" s="3" t="str">
        <f>IF(Qn-(F540-Ta)&gt;2*ENT,"Fara E","Ok")</f>
        <v>Ok</v>
      </c>
    </row>
    <row r="541" spans="5:8" x14ac:dyDescent="0.25">
      <c r="E541">
        <v>529</v>
      </c>
      <c r="F541">
        <v>20.411999999999999</v>
      </c>
      <c r="G541" t="s">
        <v>596</v>
      </c>
      <c r="H541" s="3" t="str">
        <f>IF(Qn-(F541-Ta)&gt;2*ENT,"Fara E","Ok")</f>
        <v>Ok</v>
      </c>
    </row>
    <row r="542" spans="5:8" x14ac:dyDescent="0.25">
      <c r="E542">
        <v>530</v>
      </c>
      <c r="F542">
        <v>20.372</v>
      </c>
      <c r="G542" t="s">
        <v>597</v>
      </c>
      <c r="H542" s="3" t="str">
        <f>IF(Qn-(F542-Ta)&gt;2*ENT,"Fara E","Ok")</f>
        <v>Ok</v>
      </c>
    </row>
    <row r="543" spans="5:8" x14ac:dyDescent="0.25">
      <c r="E543">
        <v>531</v>
      </c>
      <c r="F543">
        <v>20.411999999999999</v>
      </c>
      <c r="G543" t="s">
        <v>598</v>
      </c>
      <c r="H543" s="3" t="str">
        <f>IF(Qn-(F543-Ta)&gt;2*ENT,"Fara E","Ok")</f>
        <v>Ok</v>
      </c>
    </row>
    <row r="544" spans="5:8" x14ac:dyDescent="0.25">
      <c r="E544">
        <v>532</v>
      </c>
      <c r="F544">
        <v>20.391999999999999</v>
      </c>
      <c r="G544"/>
      <c r="H544" s="3" t="str">
        <f>IF(Qn-(F544-Ta)&gt;2*ENT,"Fara E","Ok")</f>
        <v>Ok</v>
      </c>
    </row>
    <row r="545" spans="5:8" x14ac:dyDescent="0.25">
      <c r="E545">
        <v>533</v>
      </c>
      <c r="F545">
        <v>20.431999999999999</v>
      </c>
      <c r="G545" t="s">
        <v>599</v>
      </c>
      <c r="H545" s="3" t="str">
        <f>IF(Qn-(F545-Ta)&gt;2*ENT,"Fara E","Ok")</f>
        <v>Ok</v>
      </c>
    </row>
    <row r="546" spans="5:8" x14ac:dyDescent="0.25">
      <c r="E546">
        <v>534</v>
      </c>
      <c r="F546">
        <v>20.391999999999999</v>
      </c>
      <c r="G546"/>
      <c r="H546" s="3" t="str">
        <f>IF(Qn-(F546-Ta)&gt;2*ENT,"Fara E","Ok")</f>
        <v>Ok</v>
      </c>
    </row>
    <row r="547" spans="5:8" x14ac:dyDescent="0.25">
      <c r="E547">
        <v>535</v>
      </c>
      <c r="F547">
        <v>20.411999999999999</v>
      </c>
      <c r="G547" t="s">
        <v>600</v>
      </c>
      <c r="H547" s="3" t="str">
        <f>IF(Qn-(F547-Ta)&gt;2*ENT,"Fara E","Ok")</f>
        <v>Ok</v>
      </c>
    </row>
    <row r="548" spans="5:8" x14ac:dyDescent="0.25">
      <c r="E548">
        <v>536</v>
      </c>
      <c r="F548">
        <v>20.411999999999999</v>
      </c>
      <c r="G548" t="s">
        <v>601</v>
      </c>
      <c r="H548" s="3" t="str">
        <f>IF(Qn-(F548-Ta)&gt;2*ENT,"Fara E","Ok")</f>
        <v>Ok</v>
      </c>
    </row>
    <row r="549" spans="5:8" x14ac:dyDescent="0.25">
      <c r="E549">
        <v>537</v>
      </c>
      <c r="F549">
        <v>20.411999999999999</v>
      </c>
      <c r="G549" t="s">
        <v>602</v>
      </c>
      <c r="H549" s="3" t="str">
        <f>IF(Qn-(F549-Ta)&gt;2*ENT,"Fara E","Ok")</f>
        <v>Ok</v>
      </c>
    </row>
    <row r="550" spans="5:8" x14ac:dyDescent="0.25">
      <c r="E550">
        <v>538</v>
      </c>
      <c r="F550">
        <v>20.431999999999999</v>
      </c>
      <c r="G550" t="s">
        <v>603</v>
      </c>
      <c r="H550" s="3" t="str">
        <f>IF(Qn-(F550-Ta)&gt;2*ENT,"Fara E","Ok")</f>
        <v>Ok</v>
      </c>
    </row>
    <row r="551" spans="5:8" x14ac:dyDescent="0.25">
      <c r="E551">
        <v>539</v>
      </c>
      <c r="F551">
        <v>20.391999999999999</v>
      </c>
      <c r="G551" t="s">
        <v>604</v>
      </c>
      <c r="H551" s="3" t="str">
        <f>IF(Qn-(F551-Ta)&gt;2*ENT,"Fara E","Ok")</f>
        <v>Ok</v>
      </c>
    </row>
    <row r="552" spans="5:8" x14ac:dyDescent="0.25">
      <c r="E552">
        <v>540</v>
      </c>
      <c r="F552">
        <v>20.411999999999999</v>
      </c>
      <c r="G552" t="s">
        <v>605</v>
      </c>
      <c r="H552" s="3" t="str">
        <f>IF(Qn-(F552-Ta)&gt;2*ENT,"Fara E","Ok")</f>
        <v>Ok</v>
      </c>
    </row>
    <row r="553" spans="5:8" x14ac:dyDescent="0.25">
      <c r="E553">
        <v>541</v>
      </c>
      <c r="F553">
        <v>20.372</v>
      </c>
      <c r="G553" t="s">
        <v>606</v>
      </c>
      <c r="H553" s="3" t="str">
        <f>IF(Qn-(F553-Ta)&gt;2*ENT,"Fara E","Ok")</f>
        <v>Ok</v>
      </c>
    </row>
    <row r="554" spans="5:8" x14ac:dyDescent="0.25">
      <c r="E554">
        <v>542</v>
      </c>
      <c r="F554">
        <v>20.372</v>
      </c>
      <c r="G554" t="s">
        <v>607</v>
      </c>
      <c r="H554" s="3" t="str">
        <f>IF(Qn-(F554-Ta)&gt;2*ENT,"Fara E","Ok")</f>
        <v>Ok</v>
      </c>
    </row>
    <row r="555" spans="5:8" x14ac:dyDescent="0.25">
      <c r="E555">
        <v>543</v>
      </c>
      <c r="F555">
        <v>20.372</v>
      </c>
      <c r="G555" t="s">
        <v>608</v>
      </c>
      <c r="H555" s="3" t="str">
        <f>IF(Qn-(F555-Ta)&gt;2*ENT,"Fara E","Ok")</f>
        <v>Ok</v>
      </c>
    </row>
    <row r="556" spans="5:8" x14ac:dyDescent="0.25">
      <c r="E556">
        <v>544</v>
      </c>
      <c r="F556">
        <v>20.451999999999998</v>
      </c>
      <c r="G556" t="s">
        <v>609</v>
      </c>
      <c r="H556" s="3" t="str">
        <f>IF(Qn-(F556-Ta)&gt;2*ENT,"Fara E","Ok")</f>
        <v>Ok</v>
      </c>
    </row>
    <row r="557" spans="5:8" x14ac:dyDescent="0.25">
      <c r="E557">
        <v>545</v>
      </c>
      <c r="F557">
        <v>20.411999999999999</v>
      </c>
      <c r="G557" t="s">
        <v>610</v>
      </c>
      <c r="H557" s="3" t="str">
        <f>IF(Qn-(F557-Ta)&gt;2*ENT,"Fara E","Ok")</f>
        <v>Ok</v>
      </c>
    </row>
    <row r="558" spans="5:8" x14ac:dyDescent="0.25">
      <c r="E558">
        <v>546</v>
      </c>
      <c r="F558">
        <v>20.391999999999999</v>
      </c>
      <c r="G558" t="s">
        <v>611</v>
      </c>
      <c r="H558" s="3" t="str">
        <f>IF(Qn-(F558-Ta)&gt;2*ENT,"Fara E","Ok")</f>
        <v>Ok</v>
      </c>
    </row>
    <row r="559" spans="5:8" x14ac:dyDescent="0.25">
      <c r="E559">
        <v>547</v>
      </c>
      <c r="F559">
        <v>20.391999999999999</v>
      </c>
      <c r="G559" t="s">
        <v>612</v>
      </c>
      <c r="H559" s="3" t="str">
        <f>IF(Qn-(F559-Ta)&gt;2*ENT,"Fara E","Ok")</f>
        <v>Ok</v>
      </c>
    </row>
    <row r="560" spans="5:8" x14ac:dyDescent="0.25">
      <c r="E560">
        <v>548</v>
      </c>
      <c r="F560">
        <v>20.411999999999999</v>
      </c>
      <c r="G560" t="s">
        <v>613</v>
      </c>
      <c r="H560" s="3" t="str">
        <f>IF(Qn-(F560-Ta)&gt;2*ENT,"Fara E","Ok")</f>
        <v>Ok</v>
      </c>
    </row>
    <row r="561" spans="5:8" x14ac:dyDescent="0.25">
      <c r="E561">
        <v>549</v>
      </c>
      <c r="F561">
        <v>20.391999999999999</v>
      </c>
      <c r="G561" t="s">
        <v>614</v>
      </c>
      <c r="H561" s="3" t="str">
        <f>IF(Qn-(F561-Ta)&gt;2*ENT,"Fara E","Ok")</f>
        <v>Ok</v>
      </c>
    </row>
    <row r="562" spans="5:8" x14ac:dyDescent="0.25">
      <c r="E562">
        <v>550</v>
      </c>
      <c r="F562">
        <v>20.431999999999999</v>
      </c>
      <c r="G562" t="s">
        <v>615</v>
      </c>
      <c r="H562" s="3" t="str">
        <f>IF(Qn-(F562-Ta)&gt;2*ENT,"Fara E","Ok")</f>
        <v>Ok</v>
      </c>
    </row>
    <row r="563" spans="5:8" x14ac:dyDescent="0.25">
      <c r="E563">
        <v>551</v>
      </c>
      <c r="F563">
        <v>20.391999999999999</v>
      </c>
      <c r="G563" t="s">
        <v>616</v>
      </c>
      <c r="H563" s="3" t="str">
        <f>IF(Qn-(F563-Ta)&gt;2*ENT,"Fara E","Ok")</f>
        <v>Ok</v>
      </c>
    </row>
    <row r="564" spans="5:8" x14ac:dyDescent="0.25">
      <c r="E564">
        <v>552</v>
      </c>
      <c r="F564">
        <v>20.411999999999999</v>
      </c>
      <c r="G564" t="s">
        <v>617</v>
      </c>
      <c r="H564" s="3" t="str">
        <f>IF(Qn-(F564-Ta)&gt;2*ENT,"Fara E","Ok")</f>
        <v>Ok</v>
      </c>
    </row>
    <row r="565" spans="5:8" x14ac:dyDescent="0.25">
      <c r="E565">
        <v>553</v>
      </c>
      <c r="F565">
        <v>20.391999999999999</v>
      </c>
      <c r="G565"/>
      <c r="H565" s="3" t="str">
        <f>IF(Qn-(F565-Ta)&gt;2*ENT,"Fara E","Ok")</f>
        <v>Ok</v>
      </c>
    </row>
    <row r="566" spans="5:8" x14ac:dyDescent="0.25">
      <c r="E566">
        <v>554</v>
      </c>
      <c r="F566">
        <v>20.411999999999999</v>
      </c>
      <c r="G566" t="s">
        <v>618</v>
      </c>
      <c r="H566" s="3" t="str">
        <f>IF(Qn-(F566-Ta)&gt;2*ENT,"Fara E","Ok")</f>
        <v>Ok</v>
      </c>
    </row>
    <row r="567" spans="5:8" x14ac:dyDescent="0.25">
      <c r="E567">
        <v>555</v>
      </c>
      <c r="F567">
        <v>20.391999999999999</v>
      </c>
      <c r="G567" t="s">
        <v>619</v>
      </c>
      <c r="H567" s="3" t="str">
        <f>IF(Qn-(F567-Ta)&gt;2*ENT,"Fara E","Ok")</f>
        <v>Ok</v>
      </c>
    </row>
    <row r="568" spans="5:8" x14ac:dyDescent="0.25">
      <c r="E568">
        <v>556</v>
      </c>
      <c r="F568">
        <v>20.391999999999999</v>
      </c>
      <c r="G568" t="s">
        <v>620</v>
      </c>
      <c r="H568" s="3" t="str">
        <f>IF(Qn-(F568-Ta)&gt;2*ENT,"Fara E","Ok")</f>
        <v>Ok</v>
      </c>
    </row>
    <row r="569" spans="5:8" x14ac:dyDescent="0.25">
      <c r="E569">
        <v>557</v>
      </c>
      <c r="F569">
        <v>20.391999999999999</v>
      </c>
      <c r="G569" t="s">
        <v>621</v>
      </c>
      <c r="H569" s="3" t="str">
        <f>IF(Qn-(F569-Ta)&gt;2*ENT,"Fara E","Ok")</f>
        <v>Ok</v>
      </c>
    </row>
    <row r="570" spans="5:8" x14ac:dyDescent="0.25">
      <c r="E570">
        <v>558</v>
      </c>
      <c r="F570">
        <v>20.411999999999999</v>
      </c>
      <c r="G570" t="s">
        <v>622</v>
      </c>
      <c r="H570" s="3" t="str">
        <f>IF(Qn-(F570-Ta)&gt;2*ENT,"Fara E","Ok")</f>
        <v>Ok</v>
      </c>
    </row>
    <row r="571" spans="5:8" x14ac:dyDescent="0.25">
      <c r="E571">
        <v>559</v>
      </c>
      <c r="F571">
        <v>20.391999999999999</v>
      </c>
      <c r="G571" t="s">
        <v>623</v>
      </c>
      <c r="H571" s="3" t="str">
        <f>IF(Qn-(F571-Ta)&gt;2*ENT,"Fara E","Ok")</f>
        <v>Ok</v>
      </c>
    </row>
    <row r="572" spans="5:8" x14ac:dyDescent="0.25">
      <c r="E572">
        <v>560</v>
      </c>
      <c r="F572">
        <v>20.372</v>
      </c>
      <c r="G572" t="s">
        <v>624</v>
      </c>
      <c r="H572" s="3" t="str">
        <f>IF(Qn-(F572-Ta)&gt;2*ENT,"Fara E","Ok")</f>
        <v>Ok</v>
      </c>
    </row>
    <row r="573" spans="5:8" x14ac:dyDescent="0.25">
      <c r="E573">
        <v>561</v>
      </c>
      <c r="F573">
        <v>20.391999999999999</v>
      </c>
      <c r="G573" t="s">
        <v>625</v>
      </c>
      <c r="H573" s="3" t="str">
        <f>IF(Qn-(F573-Ta)&gt;2*ENT,"Fara E","Ok")</f>
        <v>Ok</v>
      </c>
    </row>
    <row r="574" spans="5:8" x14ac:dyDescent="0.25">
      <c r="E574">
        <v>562</v>
      </c>
      <c r="F574">
        <v>20.411999999999999</v>
      </c>
      <c r="G574" t="s">
        <v>626</v>
      </c>
      <c r="H574" s="3" t="str">
        <f>IF(Qn-(F574-Ta)&gt;2*ENT,"Fara E","Ok")</f>
        <v>Ok</v>
      </c>
    </row>
    <row r="575" spans="5:8" x14ac:dyDescent="0.25">
      <c r="E575">
        <v>563</v>
      </c>
      <c r="F575">
        <v>20.391999999999999</v>
      </c>
      <c r="G575" t="s">
        <v>627</v>
      </c>
      <c r="H575" s="3" t="str">
        <f>IF(Qn-(F575-Ta)&gt;2*ENT,"Fara E","Ok")</f>
        <v>Ok</v>
      </c>
    </row>
    <row r="576" spans="5:8" x14ac:dyDescent="0.25">
      <c r="E576">
        <v>564</v>
      </c>
      <c r="F576">
        <v>20.372</v>
      </c>
      <c r="G576" t="s">
        <v>628</v>
      </c>
      <c r="H576" s="3" t="str">
        <f>IF(Qn-(F576-Ta)&gt;2*ENT,"Fara E","Ok")</f>
        <v>Ok</v>
      </c>
    </row>
    <row r="577" spans="5:8" x14ac:dyDescent="0.25">
      <c r="E577">
        <v>565</v>
      </c>
      <c r="F577">
        <v>20.391999999999999</v>
      </c>
      <c r="G577" t="s">
        <v>629</v>
      </c>
      <c r="H577" s="3" t="str">
        <f>IF(Qn-(F577-Ta)&gt;2*ENT,"Fara E","Ok")</f>
        <v>Ok</v>
      </c>
    </row>
    <row r="578" spans="5:8" x14ac:dyDescent="0.25">
      <c r="E578">
        <v>566</v>
      </c>
      <c r="F578">
        <v>20.372</v>
      </c>
      <c r="G578" t="s">
        <v>630</v>
      </c>
      <c r="H578" s="3" t="str">
        <f>IF(Qn-(F578-Ta)&gt;2*ENT,"Fara E","Ok")</f>
        <v>Ok</v>
      </c>
    </row>
    <row r="579" spans="5:8" x14ac:dyDescent="0.25">
      <c r="E579">
        <v>567</v>
      </c>
      <c r="F579">
        <v>20.391999999999999</v>
      </c>
      <c r="G579" t="s">
        <v>631</v>
      </c>
      <c r="H579" s="3" t="str">
        <f>IF(Qn-(F579-Ta)&gt;2*ENT,"Fara E","Ok")</f>
        <v>Ok</v>
      </c>
    </row>
    <row r="580" spans="5:8" x14ac:dyDescent="0.25">
      <c r="E580">
        <v>568</v>
      </c>
      <c r="F580">
        <v>20.372</v>
      </c>
      <c r="G580" t="s">
        <v>632</v>
      </c>
      <c r="H580" s="3" t="str">
        <f>IF(Qn-(F580-Ta)&gt;2*ENT,"Fara E","Ok")</f>
        <v>Ok</v>
      </c>
    </row>
    <row r="581" spans="5:8" x14ac:dyDescent="0.25">
      <c r="E581">
        <v>569</v>
      </c>
      <c r="F581">
        <v>20.411999999999999</v>
      </c>
      <c r="G581" t="s">
        <v>633</v>
      </c>
      <c r="H581" s="3" t="str">
        <f>IF(Qn-(F581-Ta)&gt;2*ENT,"Fara E","Ok")</f>
        <v>Ok</v>
      </c>
    </row>
    <row r="582" spans="5:8" x14ac:dyDescent="0.25">
      <c r="E582">
        <v>570</v>
      </c>
      <c r="F582">
        <v>20.391999999999999</v>
      </c>
      <c r="G582" t="s">
        <v>634</v>
      </c>
      <c r="H582" s="3" t="str">
        <f>IF(Qn-(F582-Ta)&gt;2*ENT,"Fara E","Ok")</f>
        <v>Ok</v>
      </c>
    </row>
    <row r="583" spans="5:8" x14ac:dyDescent="0.25">
      <c r="E583">
        <v>571</v>
      </c>
      <c r="F583">
        <v>20.411999999999999</v>
      </c>
      <c r="G583" t="s">
        <v>635</v>
      </c>
      <c r="H583" s="3" t="str">
        <f>IF(Qn-(F583-Ta)&gt;2*ENT,"Fara E","Ok")</f>
        <v>Ok</v>
      </c>
    </row>
    <row r="584" spans="5:8" x14ac:dyDescent="0.25">
      <c r="E584">
        <v>572</v>
      </c>
      <c r="F584">
        <v>20.391999999999999</v>
      </c>
      <c r="G584" t="s">
        <v>636</v>
      </c>
      <c r="H584" s="3" t="str">
        <f>IF(Qn-(F584-Ta)&gt;2*ENT,"Fara E","Ok")</f>
        <v>Ok</v>
      </c>
    </row>
    <row r="585" spans="5:8" x14ac:dyDescent="0.25">
      <c r="E585">
        <v>573</v>
      </c>
      <c r="F585">
        <v>20.411999999999999</v>
      </c>
      <c r="G585" t="s">
        <v>637</v>
      </c>
      <c r="H585" s="3" t="str">
        <f>IF(Qn-(F585-Ta)&gt;2*ENT,"Fara E","Ok")</f>
        <v>Ok</v>
      </c>
    </row>
    <row r="586" spans="5:8" x14ac:dyDescent="0.25">
      <c r="E586">
        <v>574</v>
      </c>
      <c r="F586">
        <v>20.391999999999999</v>
      </c>
      <c r="G586"/>
      <c r="H586" s="3" t="str">
        <f>IF(Qn-(F586-Ta)&gt;2*ENT,"Fara E","Ok")</f>
        <v>Ok</v>
      </c>
    </row>
    <row r="587" spans="5:8" x14ac:dyDescent="0.25">
      <c r="E587">
        <v>575</v>
      </c>
      <c r="F587">
        <v>20.372</v>
      </c>
      <c r="G587" t="s">
        <v>638</v>
      </c>
      <c r="H587" s="3" t="str">
        <f>IF(Qn-(F587-Ta)&gt;2*ENT,"Fara E","Ok")</f>
        <v>Ok</v>
      </c>
    </row>
    <row r="588" spans="5:8" x14ac:dyDescent="0.25">
      <c r="E588">
        <v>576</v>
      </c>
      <c r="F588">
        <v>20.431999999999999</v>
      </c>
      <c r="G588" t="s">
        <v>639</v>
      </c>
      <c r="H588" s="3" t="str">
        <f>IF(Qn-(F588-Ta)&gt;2*ENT,"Fara E","Ok")</f>
        <v>Ok</v>
      </c>
    </row>
    <row r="589" spans="5:8" x14ac:dyDescent="0.25">
      <c r="E589">
        <v>577</v>
      </c>
      <c r="F589">
        <v>20.391999999999999</v>
      </c>
      <c r="G589" t="s">
        <v>640</v>
      </c>
      <c r="H589" s="3" t="str">
        <f>IF(Qn-(F589-Ta)&gt;2*ENT,"Fara E","Ok")</f>
        <v>Ok</v>
      </c>
    </row>
    <row r="590" spans="5:8" x14ac:dyDescent="0.25">
      <c r="E590">
        <v>578</v>
      </c>
      <c r="F590">
        <v>20.391999999999999</v>
      </c>
      <c r="G590" t="s">
        <v>641</v>
      </c>
      <c r="H590" s="3" t="str">
        <f>IF(Qn-(F590-Ta)&gt;2*ENT,"Fara E","Ok")</f>
        <v>Ok</v>
      </c>
    </row>
    <row r="591" spans="5:8" x14ac:dyDescent="0.25">
      <c r="E591">
        <v>579</v>
      </c>
      <c r="F591">
        <v>20.372</v>
      </c>
      <c r="G591" t="s">
        <v>642</v>
      </c>
      <c r="H591" s="3" t="str">
        <f>IF(Qn-(F591-Ta)&gt;2*ENT,"Fara E","Ok")</f>
        <v>Ok</v>
      </c>
    </row>
    <row r="592" spans="5:8" x14ac:dyDescent="0.25">
      <c r="E592">
        <v>580</v>
      </c>
      <c r="F592">
        <v>20.391999999999999</v>
      </c>
      <c r="G592" t="s">
        <v>643</v>
      </c>
      <c r="H592" s="3" t="str">
        <f>IF(Qn-(F592-Ta)&gt;2*ENT,"Fara E","Ok")</f>
        <v>Ok</v>
      </c>
    </row>
    <row r="593" spans="5:8" x14ac:dyDescent="0.25">
      <c r="E593">
        <v>581</v>
      </c>
      <c r="F593">
        <v>20.372</v>
      </c>
      <c r="G593" t="s">
        <v>644</v>
      </c>
      <c r="H593" s="3" t="str">
        <f>IF(Qn-(F593-Ta)&gt;2*ENT,"Fara E","Ok")</f>
        <v>Ok</v>
      </c>
    </row>
    <row r="594" spans="5:8" x14ac:dyDescent="0.25">
      <c r="E594">
        <v>582</v>
      </c>
      <c r="F594">
        <v>20.431999999999999</v>
      </c>
      <c r="G594" t="s">
        <v>645</v>
      </c>
      <c r="H594" s="3" t="str">
        <f>IF(Qn-(F594-Ta)&gt;2*ENT,"Fara E","Ok")</f>
        <v>Ok</v>
      </c>
    </row>
    <row r="595" spans="5:8" x14ac:dyDescent="0.25">
      <c r="E595">
        <v>583</v>
      </c>
      <c r="F595">
        <v>20.411999999999999</v>
      </c>
      <c r="G595" t="s">
        <v>646</v>
      </c>
      <c r="H595" s="3" t="str">
        <f>IF(Qn-(F595-Ta)&gt;2*ENT,"Fara E","Ok")</f>
        <v>Ok</v>
      </c>
    </row>
    <row r="596" spans="5:8" x14ac:dyDescent="0.25">
      <c r="E596">
        <v>584</v>
      </c>
      <c r="F596">
        <v>20.372</v>
      </c>
      <c r="G596" t="s">
        <v>647</v>
      </c>
      <c r="H596" s="3" t="str">
        <f>IF(Qn-(F596-Ta)&gt;2*ENT,"Fara E","Ok")</f>
        <v>Ok</v>
      </c>
    </row>
    <row r="597" spans="5:8" x14ac:dyDescent="0.25">
      <c r="E597">
        <v>585</v>
      </c>
      <c r="F597">
        <v>20.391999999999999</v>
      </c>
      <c r="G597" t="s">
        <v>648</v>
      </c>
      <c r="H597" s="3" t="str">
        <f>IF(Qn-(F597-Ta)&gt;2*ENT,"Fara E","Ok")</f>
        <v>Ok</v>
      </c>
    </row>
    <row r="598" spans="5:8" x14ac:dyDescent="0.25">
      <c r="E598">
        <v>586</v>
      </c>
      <c r="F598">
        <v>20.391999999999999</v>
      </c>
      <c r="G598" t="s">
        <v>649</v>
      </c>
      <c r="H598" s="3" t="str">
        <f>IF(Qn-(F598-Ta)&gt;2*ENT,"Fara E","Ok")</f>
        <v>Ok</v>
      </c>
    </row>
    <row r="599" spans="5:8" x14ac:dyDescent="0.25">
      <c r="E599">
        <v>587</v>
      </c>
      <c r="F599">
        <v>20.391999999999999</v>
      </c>
      <c r="G599" t="s">
        <v>650</v>
      </c>
      <c r="H599" s="3" t="str">
        <f>IF(Qn-(F599-Ta)&gt;2*ENT,"Fara E","Ok")</f>
        <v>Ok</v>
      </c>
    </row>
    <row r="600" spans="5:8" x14ac:dyDescent="0.25">
      <c r="E600">
        <v>588</v>
      </c>
      <c r="F600">
        <v>20.391999999999999</v>
      </c>
      <c r="G600" t="s">
        <v>651</v>
      </c>
      <c r="H600" s="3" t="str">
        <f>IF(Qn-(F600-Ta)&gt;2*ENT,"Fara E","Ok")</f>
        <v>Ok</v>
      </c>
    </row>
    <row r="601" spans="5:8" x14ac:dyDescent="0.25">
      <c r="E601">
        <v>589</v>
      </c>
      <c r="F601">
        <v>20.411999999999999</v>
      </c>
      <c r="G601" t="s">
        <v>652</v>
      </c>
      <c r="H601" s="3" t="str">
        <f>IF(Qn-(F601-Ta)&gt;2*ENT,"Fara E","Ok")</f>
        <v>Ok</v>
      </c>
    </row>
    <row r="602" spans="5:8" x14ac:dyDescent="0.25">
      <c r="E602">
        <v>590</v>
      </c>
      <c r="F602">
        <v>20.391999999999999</v>
      </c>
      <c r="G602"/>
      <c r="H602" s="3" t="str">
        <f>IF(Qn-(F602-Ta)&gt;2*ENT,"Fara E","Ok")</f>
        <v>Ok</v>
      </c>
    </row>
    <row r="603" spans="5:8" x14ac:dyDescent="0.25">
      <c r="E603">
        <v>591</v>
      </c>
      <c r="F603">
        <v>20.391999999999999</v>
      </c>
      <c r="G603" t="s">
        <v>653</v>
      </c>
      <c r="H603" s="3" t="str">
        <f>IF(Qn-(F603-Ta)&gt;2*ENT,"Fara E","Ok")</f>
        <v>Ok</v>
      </c>
    </row>
    <row r="604" spans="5:8" x14ac:dyDescent="0.25">
      <c r="E604">
        <v>592</v>
      </c>
      <c r="F604">
        <v>20.411999999999999</v>
      </c>
      <c r="G604" t="s">
        <v>654</v>
      </c>
      <c r="H604" s="3" t="str">
        <f>IF(Qn-(F604-Ta)&gt;2*ENT,"Fara E","Ok")</f>
        <v>Ok</v>
      </c>
    </row>
    <row r="605" spans="5:8" x14ac:dyDescent="0.25">
      <c r="E605">
        <v>593</v>
      </c>
      <c r="F605">
        <v>20.411999999999999</v>
      </c>
      <c r="G605" t="s">
        <v>655</v>
      </c>
      <c r="H605" s="3" t="str">
        <f>IF(Qn-(F605-Ta)&gt;2*ENT,"Fara E","Ok")</f>
        <v>Ok</v>
      </c>
    </row>
    <row r="606" spans="5:8" x14ac:dyDescent="0.25">
      <c r="E606">
        <v>594</v>
      </c>
      <c r="F606">
        <v>20.391999999999999</v>
      </c>
      <c r="G606" t="s">
        <v>656</v>
      </c>
      <c r="H606" s="3" t="str">
        <f>IF(Qn-(F606-Ta)&gt;2*ENT,"Fara E","Ok")</f>
        <v>Ok</v>
      </c>
    </row>
    <row r="607" spans="5:8" x14ac:dyDescent="0.25">
      <c r="E607">
        <v>595</v>
      </c>
      <c r="F607">
        <v>20.391999999999999</v>
      </c>
      <c r="G607" t="s">
        <v>657</v>
      </c>
      <c r="H607" s="3" t="str">
        <f>IF(Qn-(F607-Ta)&gt;2*ENT,"Fara E","Ok")</f>
        <v>Ok</v>
      </c>
    </row>
    <row r="608" spans="5:8" x14ac:dyDescent="0.25">
      <c r="E608">
        <v>596</v>
      </c>
      <c r="F608">
        <v>20.372</v>
      </c>
      <c r="G608" t="s">
        <v>658</v>
      </c>
      <c r="H608" s="3" t="str">
        <f>IF(Qn-(F608-Ta)&gt;2*ENT,"Fara E","Ok")</f>
        <v>Ok</v>
      </c>
    </row>
    <row r="609" spans="5:8" x14ac:dyDescent="0.25">
      <c r="E609">
        <v>597</v>
      </c>
      <c r="F609">
        <v>20.411999999999999</v>
      </c>
      <c r="G609" t="s">
        <v>659</v>
      </c>
      <c r="H609" s="3" t="str">
        <f>IF(Qn-(F609-Ta)&gt;2*ENT,"Fara E","Ok")</f>
        <v>Ok</v>
      </c>
    </row>
    <row r="610" spans="5:8" x14ac:dyDescent="0.25">
      <c r="E610">
        <v>598</v>
      </c>
      <c r="F610">
        <v>20.391999999999999</v>
      </c>
      <c r="G610" t="s">
        <v>660</v>
      </c>
      <c r="H610" s="3" t="str">
        <f>IF(Qn-(F610-Ta)&gt;2*ENT,"Fara E","Ok")</f>
        <v>Ok</v>
      </c>
    </row>
    <row r="611" spans="5:8" x14ac:dyDescent="0.25">
      <c r="E611">
        <v>599</v>
      </c>
      <c r="F611">
        <v>20.391999999999999</v>
      </c>
      <c r="G611" t="s">
        <v>661</v>
      </c>
      <c r="H611" s="3" t="str">
        <f>IF(Qn-(F611-Ta)&gt;2*ENT,"Fara E","Ok")</f>
        <v>Ok</v>
      </c>
    </row>
    <row r="612" spans="5:8" x14ac:dyDescent="0.25">
      <c r="E612">
        <v>600</v>
      </c>
      <c r="F612">
        <v>20.411999999999999</v>
      </c>
      <c r="G612" t="s">
        <v>662</v>
      </c>
      <c r="H612" s="3" t="str">
        <f>IF(Qn-(F612-Ta)&gt;2*ENT,"Fara E","Ok")</f>
        <v>Ok</v>
      </c>
    </row>
    <row r="613" spans="5:8" x14ac:dyDescent="0.25">
      <c r="E613">
        <v>601</v>
      </c>
      <c r="F613">
        <v>20.431999999999999</v>
      </c>
      <c r="G613" t="s">
        <v>663</v>
      </c>
      <c r="H613" s="3" t="str">
        <f>IF(Qn-(F613-Ta)&gt;2*ENT,"Fara E","Ok")</f>
        <v>Ok</v>
      </c>
    </row>
    <row r="614" spans="5:8" x14ac:dyDescent="0.25">
      <c r="E614">
        <v>602</v>
      </c>
      <c r="F614">
        <v>20.411999999999999</v>
      </c>
      <c r="G614" t="s">
        <v>664</v>
      </c>
      <c r="H614" s="3" t="str">
        <f>IF(Qn-(F614-Ta)&gt;2*ENT,"Fara E","Ok")</f>
        <v>Ok</v>
      </c>
    </row>
    <row r="615" spans="5:8" x14ac:dyDescent="0.25">
      <c r="E615">
        <v>603</v>
      </c>
      <c r="F615">
        <v>20.411999999999999</v>
      </c>
      <c r="G615" t="s">
        <v>665</v>
      </c>
      <c r="H615" s="3" t="str">
        <f>IF(Qn-(F615-Ta)&gt;2*ENT,"Fara E","Ok")</f>
        <v>Ok</v>
      </c>
    </row>
    <row r="616" spans="5:8" x14ac:dyDescent="0.25">
      <c r="E616">
        <v>604</v>
      </c>
      <c r="F616">
        <v>20.411999999999999</v>
      </c>
      <c r="G616" t="s">
        <v>666</v>
      </c>
      <c r="H616" s="3" t="str">
        <f>IF(Qn-(F616-Ta)&gt;2*ENT,"Fara E","Ok")</f>
        <v>Ok</v>
      </c>
    </row>
    <row r="617" spans="5:8" x14ac:dyDescent="0.25">
      <c r="E617">
        <v>605</v>
      </c>
      <c r="F617">
        <v>20.411999999999999</v>
      </c>
      <c r="G617" t="s">
        <v>667</v>
      </c>
      <c r="H617" s="3" t="str">
        <f>IF(Qn-(F617-Ta)&gt;2*ENT,"Fara E","Ok")</f>
        <v>Ok</v>
      </c>
    </row>
    <row r="618" spans="5:8" x14ac:dyDescent="0.25">
      <c r="E618">
        <v>606</v>
      </c>
      <c r="F618">
        <v>20.391999999999999</v>
      </c>
      <c r="G618" t="s">
        <v>668</v>
      </c>
      <c r="H618" s="3" t="str">
        <f>IF(Qn-(F618-Ta)&gt;2*ENT,"Fara E","Ok")</f>
        <v>Ok</v>
      </c>
    </row>
    <row r="619" spans="5:8" x14ac:dyDescent="0.25">
      <c r="E619">
        <v>607</v>
      </c>
      <c r="F619">
        <v>20.411999999999999</v>
      </c>
      <c r="G619" t="s">
        <v>669</v>
      </c>
      <c r="H619" s="3" t="str">
        <f>IF(Qn-(F619-Ta)&gt;2*ENT,"Fara E","Ok")</f>
        <v>Ok</v>
      </c>
    </row>
    <row r="620" spans="5:8" x14ac:dyDescent="0.25">
      <c r="E620">
        <v>608</v>
      </c>
      <c r="F620">
        <v>20.391999999999999</v>
      </c>
      <c r="G620" t="s">
        <v>670</v>
      </c>
      <c r="H620" s="3" t="str">
        <f>IF(Qn-(F620-Ta)&gt;2*ENT,"Fara E","Ok")</f>
        <v>Ok</v>
      </c>
    </row>
    <row r="621" spans="5:8" x14ac:dyDescent="0.25">
      <c r="E621">
        <v>609</v>
      </c>
      <c r="F621">
        <v>20.411999999999999</v>
      </c>
      <c r="G621" t="s">
        <v>671</v>
      </c>
      <c r="H621" s="3" t="str">
        <f>IF(Qn-(F621-Ta)&gt;2*ENT,"Fara E","Ok")</f>
        <v>Ok</v>
      </c>
    </row>
    <row r="622" spans="5:8" x14ac:dyDescent="0.25">
      <c r="E622">
        <v>610</v>
      </c>
      <c r="F622">
        <v>20.411999999999999</v>
      </c>
      <c r="G622" t="s">
        <v>672</v>
      </c>
      <c r="H622" s="3" t="str">
        <f>IF(Qn-(F622-Ta)&gt;2*ENT,"Fara E","Ok")</f>
        <v>Ok</v>
      </c>
    </row>
    <row r="623" spans="5:8" x14ac:dyDescent="0.25">
      <c r="E623">
        <v>611</v>
      </c>
      <c r="F623">
        <v>20.391999999999999</v>
      </c>
      <c r="G623" t="s">
        <v>673</v>
      </c>
      <c r="H623" s="3" t="str">
        <f>IF(Qn-(F623-Ta)&gt;2*ENT,"Fara E","Ok")</f>
        <v>Ok</v>
      </c>
    </row>
    <row r="624" spans="5:8" x14ac:dyDescent="0.25">
      <c r="E624">
        <v>612</v>
      </c>
      <c r="F624">
        <v>20.411999999999999</v>
      </c>
      <c r="G624" t="s">
        <v>674</v>
      </c>
      <c r="H624" s="3" t="str">
        <f>IF(Qn-(F624-Ta)&gt;2*ENT,"Fara E","Ok")</f>
        <v>Ok</v>
      </c>
    </row>
    <row r="625" spans="5:8" x14ac:dyDescent="0.25">
      <c r="E625">
        <v>613</v>
      </c>
      <c r="F625">
        <v>20.391999999999999</v>
      </c>
      <c r="G625" t="s">
        <v>675</v>
      </c>
      <c r="H625" s="3" t="str">
        <f>IF(Qn-(F625-Ta)&gt;2*ENT,"Fara E","Ok")</f>
        <v>Ok</v>
      </c>
    </row>
    <row r="626" spans="5:8" x14ac:dyDescent="0.25">
      <c r="E626">
        <v>614</v>
      </c>
      <c r="F626">
        <v>20.451999999999998</v>
      </c>
      <c r="G626" t="s">
        <v>676</v>
      </c>
      <c r="H626" s="3" t="str">
        <f>IF(Qn-(F626-Ta)&gt;2*ENT,"Fara E","Ok")</f>
        <v>Ok</v>
      </c>
    </row>
    <row r="627" spans="5:8" x14ac:dyDescent="0.25">
      <c r="E627">
        <v>615</v>
      </c>
      <c r="F627">
        <v>20.391999999999999</v>
      </c>
      <c r="G627" t="s">
        <v>677</v>
      </c>
      <c r="H627" s="3" t="str">
        <f>IF(Qn-(F627-Ta)&gt;2*ENT,"Fara E","Ok")</f>
        <v>Ok</v>
      </c>
    </row>
    <row r="628" spans="5:8" x14ac:dyDescent="0.25">
      <c r="E628">
        <v>616</v>
      </c>
      <c r="F628">
        <v>20.431999999999999</v>
      </c>
      <c r="G628" t="s">
        <v>678</v>
      </c>
      <c r="H628" s="3" t="str">
        <f>IF(Qn-(F628-Ta)&gt;2*ENT,"Fara E","Ok")</f>
        <v>Ok</v>
      </c>
    </row>
    <row r="629" spans="5:8" x14ac:dyDescent="0.25">
      <c r="E629">
        <v>617</v>
      </c>
      <c r="F629">
        <v>20.411999999999999</v>
      </c>
      <c r="G629" t="s">
        <v>679</v>
      </c>
      <c r="H629" s="3" t="str">
        <f>IF(Qn-(F629-Ta)&gt;2*ENT,"Fara E","Ok")</f>
        <v>Ok</v>
      </c>
    </row>
    <row r="630" spans="5:8" x14ac:dyDescent="0.25">
      <c r="E630">
        <v>618</v>
      </c>
      <c r="F630">
        <v>20.391999999999999</v>
      </c>
      <c r="G630" t="s">
        <v>680</v>
      </c>
      <c r="H630" s="3" t="str">
        <f>IF(Qn-(F630-Ta)&gt;2*ENT,"Fara E","Ok")</f>
        <v>Ok</v>
      </c>
    </row>
    <row r="631" spans="5:8" x14ac:dyDescent="0.25">
      <c r="E631">
        <v>619</v>
      </c>
      <c r="F631">
        <v>20.431999999999999</v>
      </c>
      <c r="G631" t="s">
        <v>681</v>
      </c>
      <c r="H631" s="3" t="str">
        <f>IF(Qn-(F631-Ta)&gt;2*ENT,"Fara E","Ok")</f>
        <v>Ok</v>
      </c>
    </row>
    <row r="632" spans="5:8" x14ac:dyDescent="0.25">
      <c r="E632">
        <v>620</v>
      </c>
      <c r="F632">
        <v>20.391999999999999</v>
      </c>
      <c r="G632"/>
      <c r="H632" s="3" t="str">
        <f>IF(Qn-(F632-Ta)&gt;2*ENT,"Fara E","Ok")</f>
        <v>Ok</v>
      </c>
    </row>
    <row r="633" spans="5:8" x14ac:dyDescent="0.25">
      <c r="E633">
        <v>621</v>
      </c>
      <c r="F633">
        <v>20.431999999999999</v>
      </c>
      <c r="G633" t="s">
        <v>682</v>
      </c>
      <c r="H633" s="3" t="str">
        <f>IF(Qn-(F633-Ta)&gt;2*ENT,"Fara E","Ok")</f>
        <v>Ok</v>
      </c>
    </row>
    <row r="634" spans="5:8" x14ac:dyDescent="0.25">
      <c r="E634">
        <v>622</v>
      </c>
      <c r="F634">
        <v>20.411999999999999</v>
      </c>
      <c r="G634" t="s">
        <v>683</v>
      </c>
      <c r="H634" s="3" t="str">
        <f>IF(Qn-(F634-Ta)&gt;2*ENT,"Fara E","Ok")</f>
        <v>Ok</v>
      </c>
    </row>
    <row r="635" spans="5:8" x14ac:dyDescent="0.25">
      <c r="E635">
        <v>623</v>
      </c>
      <c r="F635">
        <v>20.411999999999999</v>
      </c>
      <c r="G635" t="s">
        <v>684</v>
      </c>
      <c r="H635" s="3" t="str">
        <f>IF(Qn-(F635-Ta)&gt;2*ENT,"Fara E","Ok")</f>
        <v>Ok</v>
      </c>
    </row>
    <row r="636" spans="5:8" x14ac:dyDescent="0.25">
      <c r="E636">
        <v>624</v>
      </c>
      <c r="F636">
        <v>20.372</v>
      </c>
      <c r="G636" t="s">
        <v>685</v>
      </c>
      <c r="H636" s="3" t="str">
        <f>IF(Qn-(F636-Ta)&gt;2*ENT,"Fara E","Ok")</f>
        <v>Ok</v>
      </c>
    </row>
    <row r="637" spans="5:8" x14ac:dyDescent="0.25">
      <c r="E637">
        <v>625</v>
      </c>
      <c r="F637">
        <v>20.431999999999999</v>
      </c>
      <c r="G637" t="s">
        <v>686</v>
      </c>
      <c r="H637" s="3" t="str">
        <f>IF(Qn-(F637-Ta)&gt;2*ENT,"Fara E","Ok")</f>
        <v>Ok</v>
      </c>
    </row>
    <row r="638" spans="5:8" x14ac:dyDescent="0.25">
      <c r="E638">
        <v>626</v>
      </c>
      <c r="F638">
        <v>20.411999999999999</v>
      </c>
      <c r="G638" t="s">
        <v>687</v>
      </c>
      <c r="H638" s="3" t="str">
        <f>IF(Qn-(F638-Ta)&gt;2*ENT,"Fara E","Ok")</f>
        <v>Ok</v>
      </c>
    </row>
    <row r="639" spans="5:8" x14ac:dyDescent="0.25">
      <c r="E639">
        <v>627</v>
      </c>
      <c r="F639">
        <v>20.411999999999999</v>
      </c>
      <c r="G639" t="s">
        <v>688</v>
      </c>
      <c r="H639" s="3" t="str">
        <f>IF(Qn-(F639-Ta)&gt;2*ENT,"Fara E","Ok")</f>
        <v>Ok</v>
      </c>
    </row>
    <row r="640" spans="5:8" x14ac:dyDescent="0.25">
      <c r="E640">
        <v>628</v>
      </c>
      <c r="F640">
        <v>20.411999999999999</v>
      </c>
      <c r="G640" t="s">
        <v>689</v>
      </c>
      <c r="H640" s="3" t="str">
        <f>IF(Qn-(F640-Ta)&gt;2*ENT,"Fara E","Ok")</f>
        <v>Ok</v>
      </c>
    </row>
    <row r="641" spans="5:8" x14ac:dyDescent="0.25">
      <c r="E641">
        <v>629</v>
      </c>
      <c r="F641">
        <v>20.391999999999999</v>
      </c>
      <c r="G641" t="s">
        <v>690</v>
      </c>
      <c r="H641" s="3" t="str">
        <f>IF(Qn-(F641-Ta)&gt;2*ENT,"Fara E","Ok")</f>
        <v>Ok</v>
      </c>
    </row>
    <row r="642" spans="5:8" x14ac:dyDescent="0.25">
      <c r="E642">
        <v>630</v>
      </c>
      <c r="F642">
        <v>20.391999999999999</v>
      </c>
      <c r="G642" t="s">
        <v>691</v>
      </c>
      <c r="H642" s="3" t="str">
        <f>IF(Qn-(F642-Ta)&gt;2*ENT,"Fara E","Ok")</f>
        <v>Ok</v>
      </c>
    </row>
    <row r="643" spans="5:8" x14ac:dyDescent="0.25">
      <c r="E643">
        <v>631</v>
      </c>
      <c r="F643">
        <v>20.372</v>
      </c>
      <c r="G643" t="s">
        <v>692</v>
      </c>
      <c r="H643" s="3" t="str">
        <f>IF(Qn-(F643-Ta)&gt;2*ENT,"Fara E","Ok")</f>
        <v>Ok</v>
      </c>
    </row>
    <row r="644" spans="5:8" x14ac:dyDescent="0.25">
      <c r="E644">
        <v>632</v>
      </c>
      <c r="F644">
        <v>20.391999999999999</v>
      </c>
      <c r="G644" t="s">
        <v>693</v>
      </c>
      <c r="H644" s="3" t="str">
        <f>IF(Qn-(F644-Ta)&gt;2*ENT,"Fara E","Ok")</f>
        <v>Ok</v>
      </c>
    </row>
    <row r="645" spans="5:8" x14ac:dyDescent="0.25">
      <c r="E645">
        <v>633</v>
      </c>
      <c r="F645">
        <v>20.431999999999999</v>
      </c>
      <c r="G645" t="s">
        <v>694</v>
      </c>
      <c r="H645" s="3" t="str">
        <f>IF(Qn-(F645-Ta)&gt;2*ENT,"Fara E","Ok")</f>
        <v>Ok</v>
      </c>
    </row>
    <row r="646" spans="5:8" x14ac:dyDescent="0.25">
      <c r="E646">
        <v>634</v>
      </c>
      <c r="F646">
        <v>20.411999999999999</v>
      </c>
      <c r="G646" t="s">
        <v>695</v>
      </c>
      <c r="H646" s="3" t="str">
        <f>IF(Qn-(F646-Ta)&gt;2*ENT,"Fara E","Ok")</f>
        <v>Ok</v>
      </c>
    </row>
    <row r="647" spans="5:8" x14ac:dyDescent="0.25">
      <c r="E647">
        <v>635</v>
      </c>
      <c r="F647">
        <v>20.372</v>
      </c>
      <c r="G647" t="s">
        <v>696</v>
      </c>
      <c r="H647" s="3" t="str">
        <f>IF(Qn-(F647-Ta)&gt;2*ENT,"Fara E","Ok")</f>
        <v>Ok</v>
      </c>
    </row>
    <row r="648" spans="5:8" x14ac:dyDescent="0.25">
      <c r="E648">
        <v>636</v>
      </c>
      <c r="F648">
        <v>20.352</v>
      </c>
      <c r="G648" t="s">
        <v>697</v>
      </c>
      <c r="H648" s="3" t="str">
        <f>IF(Qn-(F648-Ta)&gt;2*ENT,"Fara E","Ok")</f>
        <v>Ok</v>
      </c>
    </row>
    <row r="649" spans="5:8" x14ac:dyDescent="0.25">
      <c r="E649">
        <v>637</v>
      </c>
      <c r="F649">
        <v>20.431999999999999</v>
      </c>
      <c r="G649" t="s">
        <v>698</v>
      </c>
      <c r="H649" s="3" t="str">
        <f>IF(Qn-(F649-Ta)&gt;2*ENT,"Fara E","Ok")</f>
        <v>Ok</v>
      </c>
    </row>
    <row r="650" spans="5:8" x14ac:dyDescent="0.25">
      <c r="E650">
        <v>638</v>
      </c>
      <c r="F650">
        <v>20.352</v>
      </c>
      <c r="G650" t="s">
        <v>699</v>
      </c>
      <c r="H650" s="3" t="str">
        <f>IF(Qn-(F650-Ta)&gt;2*ENT,"Fara E","Ok")</f>
        <v>Ok</v>
      </c>
    </row>
    <row r="651" spans="5:8" x14ac:dyDescent="0.25">
      <c r="E651">
        <v>639</v>
      </c>
      <c r="F651">
        <v>20.431999999999999</v>
      </c>
      <c r="G651" t="s">
        <v>700</v>
      </c>
      <c r="H651" s="3" t="str">
        <f>IF(Qn-(F651-Ta)&gt;2*ENT,"Fara E","Ok")</f>
        <v>Ok</v>
      </c>
    </row>
    <row r="652" spans="5:8" x14ac:dyDescent="0.25">
      <c r="E652">
        <v>640</v>
      </c>
      <c r="F652">
        <v>20.411999999999999</v>
      </c>
      <c r="G652" t="s">
        <v>701</v>
      </c>
      <c r="H652" s="3" t="str">
        <f>IF(Qn-(F652-Ta)&gt;2*ENT,"Fara E","Ok")</f>
        <v>Ok</v>
      </c>
    </row>
    <row r="653" spans="5:8" x14ac:dyDescent="0.25">
      <c r="E653">
        <v>641</v>
      </c>
      <c r="F653">
        <v>20.411999999999999</v>
      </c>
      <c r="G653" t="s">
        <v>702</v>
      </c>
      <c r="H653" s="3" t="str">
        <f>IF(Qn-(F653-Ta)&gt;2*ENT,"Fara E","Ok")</f>
        <v>Ok</v>
      </c>
    </row>
    <row r="654" spans="5:8" x14ac:dyDescent="0.25">
      <c r="E654">
        <v>642</v>
      </c>
      <c r="F654">
        <v>20.411999999999999</v>
      </c>
      <c r="G654" t="s">
        <v>703</v>
      </c>
      <c r="H654" s="3" t="str">
        <f>IF(Qn-(F654-Ta)&gt;2*ENT,"Fara E","Ok")</f>
        <v>Ok</v>
      </c>
    </row>
    <row r="655" spans="5:8" x14ac:dyDescent="0.25">
      <c r="E655">
        <v>643</v>
      </c>
      <c r="F655">
        <v>20.372</v>
      </c>
      <c r="G655" t="s">
        <v>704</v>
      </c>
      <c r="H655" s="3" t="str">
        <f>IF(Qn-(F655-Ta)&gt;2*ENT,"Fara E","Ok")</f>
        <v>Ok</v>
      </c>
    </row>
    <row r="656" spans="5:8" x14ac:dyDescent="0.25">
      <c r="E656">
        <v>644</v>
      </c>
      <c r="F656">
        <v>20.411999999999999</v>
      </c>
      <c r="G656" t="s">
        <v>705</v>
      </c>
      <c r="H656" s="3" t="str">
        <f>IF(Qn-(F656-Ta)&gt;2*ENT,"Fara E","Ok")</f>
        <v>Ok</v>
      </c>
    </row>
    <row r="657" spans="5:8" x14ac:dyDescent="0.25">
      <c r="E657">
        <v>645</v>
      </c>
      <c r="F657">
        <v>20.372</v>
      </c>
      <c r="G657" t="s">
        <v>706</v>
      </c>
      <c r="H657" s="3" t="str">
        <f>IF(Qn-(F657-Ta)&gt;2*ENT,"Fara E","Ok")</f>
        <v>Ok</v>
      </c>
    </row>
    <row r="658" spans="5:8" x14ac:dyDescent="0.25">
      <c r="E658">
        <v>646</v>
      </c>
      <c r="F658">
        <v>20.411999999999999</v>
      </c>
      <c r="G658" t="s">
        <v>707</v>
      </c>
      <c r="H658" s="3" t="str">
        <f>IF(Qn-(F658-Ta)&gt;2*ENT,"Fara E","Ok")</f>
        <v>Ok</v>
      </c>
    </row>
    <row r="659" spans="5:8" x14ac:dyDescent="0.25">
      <c r="E659">
        <v>647</v>
      </c>
      <c r="F659">
        <v>20.411999999999999</v>
      </c>
      <c r="G659" t="s">
        <v>708</v>
      </c>
      <c r="H659" s="3" t="str">
        <f>IF(Qn-(F659-Ta)&gt;2*ENT,"Fara E","Ok")</f>
        <v>Ok</v>
      </c>
    </row>
    <row r="660" spans="5:8" x14ac:dyDescent="0.25">
      <c r="E660">
        <v>648</v>
      </c>
      <c r="F660">
        <v>20.411999999999999</v>
      </c>
      <c r="G660" t="s">
        <v>709</v>
      </c>
      <c r="H660" s="3" t="str">
        <f>IF(Qn-(F660-Ta)&gt;2*ENT,"Fara E","Ok")</f>
        <v>Ok</v>
      </c>
    </row>
    <row r="661" spans="5:8" x14ac:dyDescent="0.25">
      <c r="E661">
        <v>649</v>
      </c>
      <c r="F661">
        <v>20.431999999999999</v>
      </c>
      <c r="G661" t="s">
        <v>710</v>
      </c>
      <c r="H661" s="3" t="str">
        <f>IF(Qn-(F661-Ta)&gt;2*ENT,"Fara E","Ok")</f>
        <v>Ok</v>
      </c>
    </row>
    <row r="662" spans="5:8" x14ac:dyDescent="0.25">
      <c r="E662">
        <v>650</v>
      </c>
      <c r="F662">
        <v>20.391999999999999</v>
      </c>
      <c r="G662" t="s">
        <v>711</v>
      </c>
      <c r="H662" s="3" t="str">
        <f>IF(Qn-(F662-Ta)&gt;2*ENT,"Fara E","Ok")</f>
        <v>Ok</v>
      </c>
    </row>
    <row r="663" spans="5:8" x14ac:dyDescent="0.25">
      <c r="E663">
        <v>651</v>
      </c>
      <c r="F663">
        <v>20.411999999999999</v>
      </c>
      <c r="G663" t="s">
        <v>712</v>
      </c>
      <c r="H663" s="3" t="str">
        <f>IF(Qn-(F663-Ta)&gt;2*ENT,"Fara E","Ok")</f>
        <v>Ok</v>
      </c>
    </row>
    <row r="664" spans="5:8" x14ac:dyDescent="0.25">
      <c r="E664">
        <v>652</v>
      </c>
      <c r="F664">
        <v>20.391999999999999</v>
      </c>
      <c r="G664" t="s">
        <v>713</v>
      </c>
      <c r="H664" s="3" t="str">
        <f>IF(Qn-(F664-Ta)&gt;2*ENT,"Fara E","Ok")</f>
        <v>Ok</v>
      </c>
    </row>
    <row r="665" spans="5:8" x14ac:dyDescent="0.25">
      <c r="E665">
        <v>653</v>
      </c>
      <c r="F665">
        <v>20.411999999999999</v>
      </c>
      <c r="G665" t="s">
        <v>714</v>
      </c>
      <c r="H665" s="3" t="str">
        <f>IF(Qn-(F665-Ta)&gt;2*ENT,"Fara E","Ok")</f>
        <v>Ok</v>
      </c>
    </row>
    <row r="666" spans="5:8" x14ac:dyDescent="0.25">
      <c r="E666">
        <v>654</v>
      </c>
      <c r="F666">
        <v>20.372</v>
      </c>
      <c r="G666" t="s">
        <v>715</v>
      </c>
      <c r="H666" s="3" t="str">
        <f>IF(Qn-(F666-Ta)&gt;2*ENT,"Fara E","Ok")</f>
        <v>Ok</v>
      </c>
    </row>
    <row r="667" spans="5:8" x14ac:dyDescent="0.25">
      <c r="E667">
        <v>655</v>
      </c>
      <c r="F667">
        <v>20.411999999999999</v>
      </c>
      <c r="G667" t="s">
        <v>716</v>
      </c>
      <c r="H667" s="3" t="str">
        <f>IF(Qn-(F667-Ta)&gt;2*ENT,"Fara E","Ok")</f>
        <v>Ok</v>
      </c>
    </row>
    <row r="668" spans="5:8" x14ac:dyDescent="0.25">
      <c r="E668">
        <v>656</v>
      </c>
      <c r="F668">
        <v>20.372</v>
      </c>
      <c r="G668" t="s">
        <v>717</v>
      </c>
      <c r="H668" s="3" t="str">
        <f>IF(Qn-(F668-Ta)&gt;2*ENT,"Fara E","Ok")</f>
        <v>Ok</v>
      </c>
    </row>
    <row r="669" spans="5:8" x14ac:dyDescent="0.25">
      <c r="E669">
        <v>657</v>
      </c>
      <c r="F669">
        <v>20.391999999999999</v>
      </c>
      <c r="G669" t="s">
        <v>718</v>
      </c>
      <c r="H669" s="3" t="str">
        <f>IF(Qn-(F669-Ta)&gt;2*ENT,"Fara E","Ok")</f>
        <v>Ok</v>
      </c>
    </row>
    <row r="670" spans="5:8" x14ac:dyDescent="0.25">
      <c r="E670">
        <v>658</v>
      </c>
      <c r="F670">
        <v>20.431999999999999</v>
      </c>
      <c r="G670" t="s">
        <v>719</v>
      </c>
      <c r="H670" s="3" t="str">
        <f>IF(Qn-(F670-Ta)&gt;2*ENT,"Fara E","Ok")</f>
        <v>Ok</v>
      </c>
    </row>
    <row r="671" spans="5:8" x14ac:dyDescent="0.25">
      <c r="E671">
        <v>659</v>
      </c>
      <c r="F671">
        <v>20.411999999999999</v>
      </c>
      <c r="G671" t="s">
        <v>720</v>
      </c>
      <c r="H671" s="3" t="str">
        <f>IF(Qn-(F671-Ta)&gt;2*ENT,"Fara E","Ok")</f>
        <v>Ok</v>
      </c>
    </row>
    <row r="672" spans="5:8" x14ac:dyDescent="0.25">
      <c r="E672">
        <v>660</v>
      </c>
      <c r="F672">
        <v>20.391999999999999</v>
      </c>
      <c r="G672" t="s">
        <v>721</v>
      </c>
      <c r="H672" s="3" t="str">
        <f>IF(Qn-(F672-Ta)&gt;2*ENT,"Fara E","Ok")</f>
        <v>Ok</v>
      </c>
    </row>
    <row r="673" spans="5:8" x14ac:dyDescent="0.25">
      <c r="E673">
        <v>661</v>
      </c>
      <c r="F673">
        <v>20.372</v>
      </c>
      <c r="G673" t="s">
        <v>722</v>
      </c>
      <c r="H673" s="3" t="str">
        <f>IF(Qn-(F673-Ta)&gt;2*ENT,"Fara E","Ok")</f>
        <v>Ok</v>
      </c>
    </row>
    <row r="674" spans="5:8" x14ac:dyDescent="0.25">
      <c r="E674">
        <v>662</v>
      </c>
      <c r="F674">
        <v>20.411999999999999</v>
      </c>
      <c r="G674" t="s">
        <v>723</v>
      </c>
      <c r="H674" s="3" t="str">
        <f>IF(Qn-(F674-Ta)&gt;2*ENT,"Fara E","Ok")</f>
        <v>Ok</v>
      </c>
    </row>
    <row r="675" spans="5:8" x14ac:dyDescent="0.25">
      <c r="E675">
        <v>663</v>
      </c>
      <c r="F675">
        <v>20.411999999999999</v>
      </c>
      <c r="G675" t="s">
        <v>724</v>
      </c>
      <c r="H675" s="3" t="str">
        <f>IF(Qn-(F675-Ta)&gt;2*ENT,"Fara E","Ok")</f>
        <v>Ok</v>
      </c>
    </row>
    <row r="676" spans="5:8" x14ac:dyDescent="0.25">
      <c r="E676">
        <v>664</v>
      </c>
      <c r="F676">
        <v>20.391999999999999</v>
      </c>
      <c r="G676" t="s">
        <v>725</v>
      </c>
      <c r="H676" s="3" t="str">
        <f>IF(Qn-(F676-Ta)&gt;2*ENT,"Fara E","Ok")</f>
        <v>Ok</v>
      </c>
    </row>
    <row r="677" spans="5:8" x14ac:dyDescent="0.25">
      <c r="E677">
        <v>665</v>
      </c>
      <c r="F677">
        <v>20.411999999999999</v>
      </c>
      <c r="G677" t="s">
        <v>726</v>
      </c>
      <c r="H677" s="3" t="str">
        <f>IF(Qn-(F677-Ta)&gt;2*ENT,"Fara E","Ok")</f>
        <v>Ok</v>
      </c>
    </row>
    <row r="678" spans="5:8" x14ac:dyDescent="0.25">
      <c r="E678">
        <v>666</v>
      </c>
      <c r="F678">
        <v>20.372</v>
      </c>
      <c r="G678" t="s">
        <v>727</v>
      </c>
      <c r="H678" s="3" t="str">
        <f>IF(Qn-(F678-Ta)&gt;2*ENT,"Fara E","Ok")</f>
        <v>Ok</v>
      </c>
    </row>
    <row r="679" spans="5:8" x14ac:dyDescent="0.25">
      <c r="E679">
        <v>667</v>
      </c>
      <c r="F679">
        <v>20.391999999999999</v>
      </c>
      <c r="G679" t="s">
        <v>728</v>
      </c>
      <c r="H679" s="3" t="str">
        <f>IF(Qn-(F679-Ta)&gt;2*ENT,"Fara E","Ok")</f>
        <v>Ok</v>
      </c>
    </row>
    <row r="680" spans="5:8" x14ac:dyDescent="0.25">
      <c r="E680">
        <v>668</v>
      </c>
      <c r="F680">
        <v>20.431999999999999</v>
      </c>
      <c r="G680" t="s">
        <v>729</v>
      </c>
      <c r="H680" s="3" t="str">
        <f>IF(Qn-(F680-Ta)&gt;2*ENT,"Fara E","Ok")</f>
        <v>Ok</v>
      </c>
    </row>
    <row r="681" spans="5:8" x14ac:dyDescent="0.25">
      <c r="E681">
        <v>669</v>
      </c>
      <c r="F681">
        <v>20.372</v>
      </c>
      <c r="G681" t="s">
        <v>730</v>
      </c>
      <c r="H681" s="3" t="str">
        <f>IF(Qn-(F681-Ta)&gt;2*ENT,"Fara E","Ok")</f>
        <v>Ok</v>
      </c>
    </row>
    <row r="682" spans="5:8" x14ac:dyDescent="0.25">
      <c r="E682">
        <v>670</v>
      </c>
      <c r="F682">
        <v>20.431999999999999</v>
      </c>
      <c r="G682" t="s">
        <v>731</v>
      </c>
      <c r="H682" s="3" t="str">
        <f>IF(Qn-(F682-Ta)&gt;2*ENT,"Fara E","Ok")</f>
        <v>Ok</v>
      </c>
    </row>
    <row r="683" spans="5:8" x14ac:dyDescent="0.25">
      <c r="E683">
        <v>671</v>
      </c>
      <c r="F683">
        <v>20.431999999999999</v>
      </c>
      <c r="G683" t="s">
        <v>732</v>
      </c>
      <c r="H683" s="3" t="str">
        <f>IF(Qn-(F683-Ta)&gt;2*ENT,"Fara E","Ok")</f>
        <v>Ok</v>
      </c>
    </row>
    <row r="684" spans="5:8" x14ac:dyDescent="0.25">
      <c r="E684">
        <v>672</v>
      </c>
      <c r="F684">
        <v>20.372</v>
      </c>
      <c r="G684" t="s">
        <v>733</v>
      </c>
      <c r="H684" s="3" t="str">
        <f>IF(Qn-(F684-Ta)&gt;2*ENT,"Fara E","Ok")</f>
        <v>Ok</v>
      </c>
    </row>
    <row r="685" spans="5:8" x14ac:dyDescent="0.25">
      <c r="E685">
        <v>673</v>
      </c>
      <c r="F685">
        <v>20.411999999999999</v>
      </c>
      <c r="G685" t="s">
        <v>734</v>
      </c>
      <c r="H685" s="3" t="str">
        <f>IF(Qn-(F685-Ta)&gt;2*ENT,"Fara E","Ok")</f>
        <v>Ok</v>
      </c>
    </row>
    <row r="686" spans="5:8" x14ac:dyDescent="0.25">
      <c r="E686">
        <v>674</v>
      </c>
      <c r="F686">
        <v>20.391999999999999</v>
      </c>
      <c r="G686" t="s">
        <v>735</v>
      </c>
      <c r="H686" s="3" t="str">
        <f>IF(Qn-(F686-Ta)&gt;2*ENT,"Fara E","Ok")</f>
        <v>Ok</v>
      </c>
    </row>
    <row r="687" spans="5:8" x14ac:dyDescent="0.25">
      <c r="E687">
        <v>675</v>
      </c>
      <c r="F687">
        <v>20.391999999999999</v>
      </c>
      <c r="G687" t="s">
        <v>736</v>
      </c>
      <c r="H687" s="3" t="str">
        <f>IF(Qn-(F687-Ta)&gt;2*ENT,"Fara E","Ok")</f>
        <v>Ok</v>
      </c>
    </row>
    <row r="688" spans="5:8" x14ac:dyDescent="0.25">
      <c r="E688">
        <v>676</v>
      </c>
      <c r="F688">
        <v>20.411999999999999</v>
      </c>
      <c r="G688" t="s">
        <v>737</v>
      </c>
      <c r="H688" s="3" t="str">
        <f>IF(Qn-(F688-Ta)&gt;2*ENT,"Fara E","Ok")</f>
        <v>Ok</v>
      </c>
    </row>
    <row r="689" spans="5:8" x14ac:dyDescent="0.25">
      <c r="E689">
        <v>677</v>
      </c>
      <c r="F689">
        <v>20.391999999999999</v>
      </c>
      <c r="G689" t="s">
        <v>738</v>
      </c>
      <c r="H689" s="3" t="str">
        <f>IF(Qn-(F689-Ta)&gt;2*ENT,"Fara E","Ok")</f>
        <v>Ok</v>
      </c>
    </row>
    <row r="690" spans="5:8" x14ac:dyDescent="0.25">
      <c r="E690">
        <v>678</v>
      </c>
      <c r="F690">
        <v>20.391999999999999</v>
      </c>
      <c r="G690" t="s">
        <v>739</v>
      </c>
      <c r="H690" s="3" t="str">
        <f>IF(Qn-(F690-Ta)&gt;2*ENT,"Fara E","Ok")</f>
        <v>Ok</v>
      </c>
    </row>
    <row r="691" spans="5:8" x14ac:dyDescent="0.25">
      <c r="E691">
        <v>679</v>
      </c>
      <c r="F691">
        <v>20.372</v>
      </c>
      <c r="G691" t="s">
        <v>740</v>
      </c>
      <c r="H691" s="3" t="str">
        <f>IF(Qn-(F691-Ta)&gt;2*ENT,"Fara E","Ok")</f>
        <v>Ok</v>
      </c>
    </row>
    <row r="692" spans="5:8" x14ac:dyDescent="0.25">
      <c r="E692">
        <v>680</v>
      </c>
      <c r="F692">
        <v>20.391999999999999</v>
      </c>
      <c r="G692" t="s">
        <v>741</v>
      </c>
      <c r="H692" s="3" t="str">
        <f>IF(Qn-(F692-Ta)&gt;2*ENT,"Fara E","Ok")</f>
        <v>Ok</v>
      </c>
    </row>
    <row r="693" spans="5:8" x14ac:dyDescent="0.25">
      <c r="E693">
        <v>681</v>
      </c>
      <c r="F693">
        <v>20.471999999999998</v>
      </c>
      <c r="G693" t="s">
        <v>742</v>
      </c>
      <c r="H693" s="3" t="str">
        <f>IF(Qn-(F693-Ta)&gt;2*ENT,"Fara E","Ok")</f>
        <v>Ok</v>
      </c>
    </row>
    <row r="694" spans="5:8" x14ac:dyDescent="0.25">
      <c r="E694">
        <v>682</v>
      </c>
      <c r="F694">
        <v>20.372</v>
      </c>
      <c r="G694" t="s">
        <v>743</v>
      </c>
      <c r="H694" s="3" t="str">
        <f>IF(Qn-(F694-Ta)&gt;2*ENT,"Fara E","Ok")</f>
        <v>Ok</v>
      </c>
    </row>
    <row r="695" spans="5:8" x14ac:dyDescent="0.25">
      <c r="E695">
        <v>683</v>
      </c>
      <c r="F695">
        <v>20.391999999999999</v>
      </c>
      <c r="G695" t="s">
        <v>744</v>
      </c>
      <c r="H695" s="3" t="str">
        <f>IF(Qn-(F695-Ta)&gt;2*ENT,"Fara E","Ok")</f>
        <v>Ok</v>
      </c>
    </row>
    <row r="696" spans="5:8" x14ac:dyDescent="0.25">
      <c r="E696">
        <v>684</v>
      </c>
      <c r="F696">
        <v>20.391999999999999</v>
      </c>
      <c r="G696" t="s">
        <v>745</v>
      </c>
      <c r="H696" s="3" t="str">
        <f>IF(Qn-(F696-Ta)&gt;2*ENT,"Fara E","Ok")</f>
        <v>Ok</v>
      </c>
    </row>
    <row r="697" spans="5:8" x14ac:dyDescent="0.25">
      <c r="E697">
        <v>685</v>
      </c>
      <c r="F697">
        <v>20.391999999999999</v>
      </c>
      <c r="G697" t="s">
        <v>746</v>
      </c>
      <c r="H697" s="3" t="str">
        <f>IF(Qn-(F697-Ta)&gt;2*ENT,"Fara E","Ok")</f>
        <v>Ok</v>
      </c>
    </row>
    <row r="698" spans="5:8" x14ac:dyDescent="0.25">
      <c r="E698">
        <v>686</v>
      </c>
      <c r="F698">
        <v>20.391999999999999</v>
      </c>
      <c r="G698" t="s">
        <v>747</v>
      </c>
      <c r="H698" s="3" t="str">
        <f>IF(Qn-(F698-Ta)&gt;2*ENT,"Fara E","Ok")</f>
        <v>Ok</v>
      </c>
    </row>
    <row r="699" spans="5:8" x14ac:dyDescent="0.25">
      <c r="E699">
        <v>687</v>
      </c>
      <c r="F699">
        <v>20.352</v>
      </c>
      <c r="G699" t="s">
        <v>748</v>
      </c>
      <c r="H699" s="3" t="str">
        <f>IF(Qn-(F699-Ta)&gt;2*ENT,"Fara E","Ok")</f>
        <v>Ok</v>
      </c>
    </row>
    <row r="700" spans="5:8" x14ac:dyDescent="0.25">
      <c r="E700">
        <v>688</v>
      </c>
      <c r="F700">
        <v>20.391999999999999</v>
      </c>
      <c r="G700" t="s">
        <v>749</v>
      </c>
      <c r="H700" s="3" t="str">
        <f>IF(Qn-(F700-Ta)&gt;2*ENT,"Fara E","Ok")</f>
        <v>Ok</v>
      </c>
    </row>
    <row r="701" spans="5:8" x14ac:dyDescent="0.25">
      <c r="E701">
        <v>689</v>
      </c>
      <c r="F701">
        <v>20.391999999999999</v>
      </c>
      <c r="G701" t="s">
        <v>750</v>
      </c>
      <c r="H701" s="3" t="str">
        <f>IF(Qn-(F701-Ta)&gt;2*ENT,"Fara E","Ok")</f>
        <v>Ok</v>
      </c>
    </row>
    <row r="702" spans="5:8" x14ac:dyDescent="0.25">
      <c r="E702">
        <v>690</v>
      </c>
      <c r="F702">
        <v>20.372</v>
      </c>
      <c r="G702" t="s">
        <v>751</v>
      </c>
      <c r="H702" s="3" t="str">
        <f>IF(Qn-(F702-Ta)&gt;2*ENT,"Fara E","Ok")</f>
        <v>Ok</v>
      </c>
    </row>
    <row r="703" spans="5:8" x14ac:dyDescent="0.25">
      <c r="E703">
        <v>691</v>
      </c>
      <c r="F703">
        <v>20.391999999999999</v>
      </c>
      <c r="G703" t="s">
        <v>752</v>
      </c>
      <c r="H703" s="3" t="str">
        <f>IF(Qn-(F703-Ta)&gt;2*ENT,"Fara E","Ok")</f>
        <v>Ok</v>
      </c>
    </row>
    <row r="704" spans="5:8" x14ac:dyDescent="0.25">
      <c r="E704">
        <v>692</v>
      </c>
      <c r="F704">
        <v>20.372</v>
      </c>
      <c r="G704" t="s">
        <v>753</v>
      </c>
      <c r="H704" s="3" t="str">
        <f>IF(Qn-(F704-Ta)&gt;2*ENT,"Fara E","Ok")</f>
        <v>Ok</v>
      </c>
    </row>
    <row r="705" spans="5:8" x14ac:dyDescent="0.25">
      <c r="E705">
        <v>693</v>
      </c>
      <c r="F705">
        <v>20.372</v>
      </c>
      <c r="G705" t="s">
        <v>754</v>
      </c>
      <c r="H705" s="3" t="str">
        <f>IF(Qn-(F705-Ta)&gt;2*ENT,"Fara E","Ok")</f>
        <v>Ok</v>
      </c>
    </row>
    <row r="706" spans="5:8" x14ac:dyDescent="0.25">
      <c r="E706">
        <v>694</v>
      </c>
      <c r="F706">
        <v>20.391999999999999</v>
      </c>
      <c r="G706" t="s">
        <v>755</v>
      </c>
      <c r="H706" s="3" t="str">
        <f>IF(Qn-(F706-Ta)&gt;2*ENT,"Fara E","Ok")</f>
        <v>Ok</v>
      </c>
    </row>
    <row r="707" spans="5:8" x14ac:dyDescent="0.25">
      <c r="E707">
        <v>695</v>
      </c>
      <c r="F707">
        <v>20.391999999999999</v>
      </c>
      <c r="G707" t="s">
        <v>756</v>
      </c>
      <c r="H707" s="3" t="str">
        <f>IF(Qn-(F707-Ta)&gt;2*ENT,"Fara E","Ok")</f>
        <v>Ok</v>
      </c>
    </row>
    <row r="708" spans="5:8" x14ac:dyDescent="0.25">
      <c r="E708">
        <v>696</v>
      </c>
      <c r="F708">
        <v>20.411999999999999</v>
      </c>
      <c r="G708" t="s">
        <v>757</v>
      </c>
      <c r="H708" s="3" t="str">
        <f>IF(Qn-(F708-Ta)&gt;2*ENT,"Fara E","Ok")</f>
        <v>Ok</v>
      </c>
    </row>
    <row r="709" spans="5:8" x14ac:dyDescent="0.25">
      <c r="E709">
        <v>697</v>
      </c>
      <c r="F709">
        <v>20.391999999999999</v>
      </c>
      <c r="G709"/>
      <c r="H709" s="3" t="str">
        <f>IF(Qn-(F709-Ta)&gt;2*ENT,"Fara E","Ok")</f>
        <v>Ok</v>
      </c>
    </row>
    <row r="710" spans="5:8" x14ac:dyDescent="0.25">
      <c r="E710">
        <v>698</v>
      </c>
      <c r="F710">
        <v>20.411999999999999</v>
      </c>
      <c r="G710" t="s">
        <v>758</v>
      </c>
      <c r="H710" s="3" t="str">
        <f>IF(Qn-(F710-Ta)&gt;2*ENT,"Fara E","Ok")</f>
        <v>Ok</v>
      </c>
    </row>
    <row r="711" spans="5:8" x14ac:dyDescent="0.25">
      <c r="E711">
        <v>699</v>
      </c>
      <c r="F711">
        <v>20.431999999999999</v>
      </c>
      <c r="G711" t="s">
        <v>759</v>
      </c>
      <c r="H711" s="3" t="str">
        <f>IF(Qn-(F711-Ta)&gt;2*ENT,"Fara E","Ok")</f>
        <v>Ok</v>
      </c>
    </row>
    <row r="712" spans="5:8" x14ac:dyDescent="0.25">
      <c r="E712">
        <v>700</v>
      </c>
      <c r="F712">
        <v>20.411999999999999</v>
      </c>
      <c r="G712" t="s">
        <v>760</v>
      </c>
      <c r="H712" s="3" t="str">
        <f>IF(Qn-(F712-Ta)&gt;2*ENT,"Fara E","Ok")</f>
        <v>Ok</v>
      </c>
    </row>
    <row r="713" spans="5:8" x14ac:dyDescent="0.25">
      <c r="E713">
        <v>701</v>
      </c>
      <c r="F713">
        <v>20.372</v>
      </c>
      <c r="G713" t="s">
        <v>761</v>
      </c>
      <c r="H713" s="3" t="str">
        <f>IF(Qn-(F713-Ta)&gt;2*ENT,"Fara E","Ok")</f>
        <v>Ok</v>
      </c>
    </row>
    <row r="714" spans="5:8" x14ac:dyDescent="0.25">
      <c r="E714">
        <v>702</v>
      </c>
      <c r="F714">
        <v>20.411999999999999</v>
      </c>
      <c r="G714" t="s">
        <v>762</v>
      </c>
      <c r="H714" s="3" t="str">
        <f>IF(Qn-(F714-Ta)&gt;2*ENT,"Fara E","Ok")</f>
        <v>Ok</v>
      </c>
    </row>
    <row r="715" spans="5:8" x14ac:dyDescent="0.25">
      <c r="E715">
        <v>703</v>
      </c>
      <c r="F715">
        <v>20.391999999999999</v>
      </c>
      <c r="G715" t="s">
        <v>763</v>
      </c>
      <c r="H715" s="3" t="str">
        <f>IF(Qn-(F715-Ta)&gt;2*ENT,"Fara E","Ok")</f>
        <v>Ok</v>
      </c>
    </row>
    <row r="716" spans="5:8" x14ac:dyDescent="0.25">
      <c r="E716">
        <v>704</v>
      </c>
      <c r="F716">
        <v>20.391999999999999</v>
      </c>
      <c r="G716" t="s">
        <v>764</v>
      </c>
      <c r="H716" s="3" t="str">
        <f>IF(Qn-(F716-Ta)&gt;2*ENT,"Fara E","Ok")</f>
        <v>Ok</v>
      </c>
    </row>
    <row r="717" spans="5:8" x14ac:dyDescent="0.25">
      <c r="E717">
        <v>705</v>
      </c>
      <c r="F717">
        <v>20.391999999999999</v>
      </c>
      <c r="G717" t="s">
        <v>765</v>
      </c>
      <c r="H717" s="3" t="str">
        <f>IF(Qn-(F717-Ta)&gt;2*ENT,"Fara E","Ok")</f>
        <v>Ok</v>
      </c>
    </row>
    <row r="718" spans="5:8" x14ac:dyDescent="0.25">
      <c r="E718">
        <v>706</v>
      </c>
      <c r="F718">
        <v>20.431999999999999</v>
      </c>
      <c r="G718" t="s">
        <v>766</v>
      </c>
      <c r="H718" s="3" t="str">
        <f>IF(Qn-(F718-Ta)&gt;2*ENT,"Fara E","Ok")</f>
        <v>Ok</v>
      </c>
    </row>
    <row r="719" spans="5:8" x14ac:dyDescent="0.25">
      <c r="E719">
        <v>707</v>
      </c>
      <c r="F719">
        <v>20.391999999999999</v>
      </c>
      <c r="G719" t="s">
        <v>767</v>
      </c>
      <c r="H719" s="3" t="str">
        <f>IF(Qn-(F719-Ta)&gt;2*ENT,"Fara E","Ok")</f>
        <v>Ok</v>
      </c>
    </row>
    <row r="720" spans="5:8" x14ac:dyDescent="0.25">
      <c r="E720">
        <v>708</v>
      </c>
      <c r="F720">
        <v>20.411999999999999</v>
      </c>
      <c r="G720" t="s">
        <v>768</v>
      </c>
      <c r="H720" s="3" t="str">
        <f>IF(Qn-(F720-Ta)&gt;2*ENT,"Fara E","Ok")</f>
        <v>Ok</v>
      </c>
    </row>
    <row r="721" spans="5:8" x14ac:dyDescent="0.25">
      <c r="E721">
        <v>709</v>
      </c>
      <c r="F721">
        <v>20.411999999999999</v>
      </c>
      <c r="G721" t="s">
        <v>769</v>
      </c>
      <c r="H721" s="3" t="str">
        <f>IF(Qn-(F721-Ta)&gt;2*ENT,"Fara E","Ok")</f>
        <v>Ok</v>
      </c>
    </row>
    <row r="722" spans="5:8" x14ac:dyDescent="0.25">
      <c r="E722">
        <v>710</v>
      </c>
      <c r="F722">
        <v>20.391999999999999</v>
      </c>
      <c r="G722" t="s">
        <v>770</v>
      </c>
      <c r="H722" s="3" t="str">
        <f>IF(Qn-(F722-Ta)&gt;2*ENT,"Fara E","Ok")</f>
        <v>Ok</v>
      </c>
    </row>
    <row r="723" spans="5:8" x14ac:dyDescent="0.25">
      <c r="E723">
        <v>711</v>
      </c>
      <c r="F723">
        <v>20.391999999999999</v>
      </c>
      <c r="G723" t="s">
        <v>771</v>
      </c>
      <c r="H723" s="3" t="str">
        <f>IF(Qn-(F723-Ta)&gt;2*ENT,"Fara E","Ok")</f>
        <v>Ok</v>
      </c>
    </row>
    <row r="724" spans="5:8" x14ac:dyDescent="0.25">
      <c r="E724">
        <v>712</v>
      </c>
      <c r="F724">
        <v>20.431999999999999</v>
      </c>
      <c r="G724" t="s">
        <v>772</v>
      </c>
      <c r="H724" s="3" t="str">
        <f>IF(Qn-(F724-Ta)&gt;2*ENT,"Fara E","Ok")</f>
        <v>Ok</v>
      </c>
    </row>
    <row r="725" spans="5:8" x14ac:dyDescent="0.25">
      <c r="E725">
        <v>713</v>
      </c>
      <c r="F725">
        <v>20.391999999999999</v>
      </c>
      <c r="G725" t="s">
        <v>773</v>
      </c>
      <c r="H725" s="3" t="str">
        <f>IF(Qn-(F725-Ta)&gt;2*ENT,"Fara E","Ok")</f>
        <v>Ok</v>
      </c>
    </row>
    <row r="726" spans="5:8" x14ac:dyDescent="0.25">
      <c r="E726">
        <v>714</v>
      </c>
      <c r="F726">
        <v>20.391999999999999</v>
      </c>
      <c r="G726" t="s">
        <v>774</v>
      </c>
      <c r="H726" s="3" t="str">
        <f>IF(Qn-(F726-Ta)&gt;2*ENT,"Fara E","Ok")</f>
        <v>Ok</v>
      </c>
    </row>
    <row r="727" spans="5:8" x14ac:dyDescent="0.25">
      <c r="E727">
        <v>715</v>
      </c>
      <c r="F727">
        <v>20.411999999999999</v>
      </c>
      <c r="G727" t="s">
        <v>775</v>
      </c>
      <c r="H727" s="3" t="str">
        <f>IF(Qn-(F727-Ta)&gt;2*ENT,"Fara E","Ok")</f>
        <v>Ok</v>
      </c>
    </row>
    <row r="728" spans="5:8" x14ac:dyDescent="0.25">
      <c r="E728">
        <v>716</v>
      </c>
      <c r="F728">
        <v>20.411999999999999</v>
      </c>
      <c r="G728" t="s">
        <v>776</v>
      </c>
      <c r="H728" s="3" t="str">
        <f>IF(Qn-(F728-Ta)&gt;2*ENT,"Fara E","Ok")</f>
        <v>Ok</v>
      </c>
    </row>
    <row r="729" spans="5:8" x14ac:dyDescent="0.25">
      <c r="E729">
        <v>717</v>
      </c>
      <c r="F729">
        <v>20.372</v>
      </c>
      <c r="G729" t="s">
        <v>777</v>
      </c>
      <c r="H729" s="3" t="str">
        <f>IF(Qn-(F729-Ta)&gt;2*ENT,"Fara E","Ok")</f>
        <v>Ok</v>
      </c>
    </row>
    <row r="730" spans="5:8" x14ac:dyDescent="0.25">
      <c r="E730">
        <v>718</v>
      </c>
      <c r="F730">
        <v>20.372</v>
      </c>
      <c r="G730" t="s">
        <v>778</v>
      </c>
      <c r="H730" s="3" t="str">
        <f>IF(Qn-(F730-Ta)&gt;2*ENT,"Fara E","Ok")</f>
        <v>Ok</v>
      </c>
    </row>
    <row r="731" spans="5:8" x14ac:dyDescent="0.25">
      <c r="E731">
        <v>719</v>
      </c>
      <c r="F731">
        <v>20.431999999999999</v>
      </c>
      <c r="G731" t="s">
        <v>779</v>
      </c>
      <c r="H731" s="3" t="str">
        <f>IF(Qn-(F731-Ta)&gt;2*ENT,"Fara E","Ok")</f>
        <v>Ok</v>
      </c>
    </row>
    <row r="732" spans="5:8" x14ac:dyDescent="0.25">
      <c r="E732">
        <v>720</v>
      </c>
      <c r="F732">
        <v>20.372</v>
      </c>
      <c r="G732" t="s">
        <v>780</v>
      </c>
      <c r="H732" s="3" t="str">
        <f>IF(Qn-(F732-Ta)&gt;2*ENT,"Fara E","Ok")</f>
        <v>Ok</v>
      </c>
    </row>
    <row r="733" spans="5:8" x14ac:dyDescent="0.25">
      <c r="E733">
        <v>721</v>
      </c>
      <c r="F733">
        <v>20.391999999999999</v>
      </c>
      <c r="G733"/>
      <c r="H733" s="3" t="str">
        <f>IF(Qn-(F733-Ta)&gt;2*ENT,"Fara E","Ok")</f>
        <v>Ok</v>
      </c>
    </row>
    <row r="734" spans="5:8" x14ac:dyDescent="0.25">
      <c r="E734">
        <v>722</v>
      </c>
      <c r="F734">
        <v>20.431999999999999</v>
      </c>
      <c r="G734" t="s">
        <v>781</v>
      </c>
      <c r="H734" s="3" t="str">
        <f>IF(Qn-(F734-Ta)&gt;2*ENT,"Fara E","Ok")</f>
        <v>Ok</v>
      </c>
    </row>
    <row r="735" spans="5:8" x14ac:dyDescent="0.25">
      <c r="E735">
        <v>723</v>
      </c>
      <c r="F735">
        <v>20.411999999999999</v>
      </c>
      <c r="G735" t="s">
        <v>782</v>
      </c>
      <c r="H735" s="3" t="str">
        <f>IF(Qn-(F735-Ta)&gt;2*ENT,"Fara E","Ok")</f>
        <v>Ok</v>
      </c>
    </row>
    <row r="736" spans="5:8" x14ac:dyDescent="0.25">
      <c r="E736">
        <v>724</v>
      </c>
      <c r="F736">
        <v>20.411999999999999</v>
      </c>
      <c r="G736" t="s">
        <v>783</v>
      </c>
      <c r="H736" s="3" t="str">
        <f>IF(Qn-(F736-Ta)&gt;2*ENT,"Fara E","Ok")</f>
        <v>Ok</v>
      </c>
    </row>
    <row r="737" spans="5:8" x14ac:dyDescent="0.25">
      <c r="E737">
        <v>725</v>
      </c>
      <c r="F737">
        <v>20.391999999999999</v>
      </c>
      <c r="G737" t="s">
        <v>784</v>
      </c>
      <c r="H737" s="3" t="str">
        <f>IF(Qn-(F737-Ta)&gt;2*ENT,"Fara E","Ok")</f>
        <v>Ok</v>
      </c>
    </row>
    <row r="738" spans="5:8" x14ac:dyDescent="0.25">
      <c r="E738">
        <v>726</v>
      </c>
      <c r="F738">
        <v>20.372</v>
      </c>
      <c r="G738" t="s">
        <v>785</v>
      </c>
      <c r="H738" s="3" t="str">
        <f>IF(Qn-(F738-Ta)&gt;2*ENT,"Fara E","Ok")</f>
        <v>Ok</v>
      </c>
    </row>
    <row r="739" spans="5:8" x14ac:dyDescent="0.25">
      <c r="E739">
        <v>727</v>
      </c>
      <c r="F739">
        <v>20.391999999999999</v>
      </c>
      <c r="G739" t="s">
        <v>786</v>
      </c>
      <c r="H739" s="3" t="str">
        <f>IF(Qn-(F739-Ta)&gt;2*ENT,"Fara E","Ok")</f>
        <v>Ok</v>
      </c>
    </row>
  </sheetData>
  <mergeCells count="6">
    <mergeCell ref="O11:R11"/>
    <mergeCell ref="G5:I5"/>
    <mergeCell ref="A2:B2"/>
    <mergeCell ref="E11:H11"/>
    <mergeCell ref="I11:K11"/>
    <mergeCell ref="L11:N11"/>
  </mergeCells>
  <conditionalFormatting sqref="K2:K1048576 N1:N1048576">
    <cfRule type="cellIs" dxfId="10" priority="13" operator="equal">
      <formula>"Not Ok"</formula>
    </cfRule>
  </conditionalFormatting>
  <conditionalFormatting sqref="H1:H6 H8:H1048576">
    <cfRule type="cellIs" dxfId="9" priority="11" operator="equal">
      <formula>"Fara E"</formula>
    </cfRule>
  </conditionalFormatting>
  <conditionalFormatting sqref="J3:J5">
    <cfRule type="cellIs" dxfId="8" priority="8" operator="equal">
      <formula>"Not Ok"</formula>
    </cfRule>
    <cfRule type="cellIs" dxfId="7" priority="9" operator="equal">
      <formula>"Es2 Necesar"</formula>
    </cfRule>
    <cfRule type="cellIs" dxfId="6" priority="10" operator="equal">
      <formula>"Ok"</formula>
    </cfRule>
  </conditionalFormatting>
  <conditionalFormatting sqref="G4:I4">
    <cfRule type="cellIs" dxfId="5" priority="6" operator="notEqual">
      <formula>""</formula>
    </cfRule>
  </conditionalFormatting>
  <conditionalFormatting sqref="A2:B2">
    <cfRule type="cellIs" dxfId="4" priority="4" operator="equal">
      <formula>"Lot Acceptat"</formula>
    </cfRule>
    <cfRule type="cellIs" dxfId="3" priority="5" operator="equal">
      <formula>"Lot Respins"</formula>
    </cfRule>
  </conditionalFormatting>
  <conditionalFormatting sqref="B13:B15">
    <cfRule type="cellIs" dxfId="2" priority="1" operator="equal">
      <formula>"Es2 Necesar"</formula>
    </cfRule>
    <cfRule type="cellIs" dxfId="1" priority="2" operator="equal">
      <formula>"Not Ok"</formula>
    </cfRule>
    <cfRule type="cellIs" dxfId="0" priority="3" operator="equal">
      <formula>"OK"</formula>
    </cfRule>
  </conditionalFormatting>
  <pageMargins left="0.25" right="0.25" top="0.75" bottom="0.75" header="0.3" footer="0.3"/>
  <pageSetup paperSize="9" scale="90" orientation="landscape" horizontalDpi="300" verticalDpi="300" r:id="rId1"/>
  <colBreaks count="2" manualBreakCount="2">
    <brk id="4" max="1048575" man="1"/>
    <brk id="19" max="1048575" man="1"/>
  </colBreaks>
  <drawing r:id="rId2"/>
  <legacyDrawing r:id="rId3"/>
  <controls>
    <mc:AlternateContent xmlns:mc="http://schemas.openxmlformats.org/markup-compatibility/2006">
      <mc:Choice Requires="x14">
        <control shapeId="2050" r:id="rId4" name="cbFileSelect">
          <controlPr autoLine="0" linkedCell="#REF!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2</xdr:col>
                <xdr:colOff>0</xdr:colOff>
                <xdr:row>0</xdr:row>
                <xdr:rowOff>285750</xdr:rowOff>
              </to>
            </anchor>
          </controlPr>
        </control>
      </mc:Choice>
      <mc:Fallback>
        <control shapeId="2050" r:id="rId4" name="cbFileSelect"/>
      </mc:Fallback>
    </mc:AlternateContent>
    <mc:AlternateContent xmlns:mc="http://schemas.openxmlformats.org/markup-compatibility/2006">
      <mc:Choice Requires="x14">
        <control shapeId="2049" r:id="rId6" name="Button 1">
          <controlPr defaultSize="0" print="0" autoFill="0" autoPict="0" macro="[0]!Refresh_Click">
            <anchor moveWithCells="1">
              <from>
                <xdr:col>4</xdr:col>
                <xdr:colOff>76200</xdr:colOff>
                <xdr:row>0</xdr:row>
                <xdr:rowOff>38100</xdr:rowOff>
              </from>
              <to>
                <xdr:col>7</xdr:col>
                <xdr:colOff>161925</xdr:colOff>
                <xdr:row>0</xdr:row>
                <xdr:rowOff>276225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1029"/>
  <sheetViews>
    <sheetView workbookViewId="0">
      <selection activeCell="C12" sqref="C12"/>
    </sheetView>
  </sheetViews>
  <sheetFormatPr defaultRowHeight="15" x14ac:dyDescent="0.25"/>
  <cols>
    <col min="1" max="1" width="4" customWidth="1"/>
    <col min="2" max="2" width="22.85546875" customWidth="1"/>
    <col min="3" max="3" width="11.7109375" customWidth="1"/>
    <col min="4" max="4" width="7" customWidth="1"/>
    <col min="5" max="5" width="27.140625" customWidth="1"/>
    <col min="6" max="6" width="21" customWidth="1"/>
    <col min="7" max="7" width="6" customWidth="1"/>
    <col min="8" max="8" width="4" customWidth="1"/>
    <col min="9" max="9" width="8.7109375" customWidth="1"/>
    <col min="10" max="10" width="22.85546875" customWidth="1"/>
    <col min="11" max="11" width="4.140625" customWidth="1"/>
    <col min="12" max="12" width="8" customWidth="1"/>
    <col min="13" max="13" width="30.5703125" customWidth="1"/>
    <col min="14" max="14" width="16.42578125" customWidth="1"/>
    <col min="15" max="15" width="5.140625" style="4" customWidth="1"/>
    <col min="16" max="16" width="7.7109375" customWidth="1"/>
    <col min="17" max="18" width="9.7109375" customWidth="1"/>
    <col min="19" max="19" width="10.140625" customWidth="1"/>
    <col min="20" max="22" width="9.140625" customWidth="1"/>
  </cols>
  <sheetData>
    <row r="1" spans="1:25" x14ac:dyDescent="0.25">
      <c r="A1" t="s">
        <v>48</v>
      </c>
      <c r="B1" t="s">
        <v>49</v>
      </c>
      <c r="C1" t="s">
        <v>50</v>
      </c>
      <c r="D1">
        <v>200042</v>
      </c>
      <c r="E1" t="s">
        <v>90</v>
      </c>
      <c r="F1" t="s">
        <v>89</v>
      </c>
      <c r="G1">
        <v>20000</v>
      </c>
      <c r="H1">
        <v>392</v>
      </c>
      <c r="I1" s="70">
        <v>43502</v>
      </c>
      <c r="O1"/>
      <c r="V1" s="31"/>
      <c r="W1" s="31"/>
      <c r="X1" s="31"/>
      <c r="Y1" s="31"/>
    </row>
    <row r="2" spans="1:25" x14ac:dyDescent="0.25">
      <c r="A2">
        <v>1</v>
      </c>
      <c r="B2">
        <v>20000</v>
      </c>
      <c r="C2" t="s">
        <v>91</v>
      </c>
      <c r="O2"/>
    </row>
    <row r="3" spans="1:25" x14ac:dyDescent="0.25">
      <c r="A3">
        <v>2</v>
      </c>
      <c r="B3">
        <v>20000</v>
      </c>
      <c r="C3" t="s">
        <v>92</v>
      </c>
      <c r="O3"/>
    </row>
    <row r="4" spans="1:25" x14ac:dyDescent="0.25">
      <c r="A4">
        <v>3</v>
      </c>
      <c r="B4">
        <v>19980</v>
      </c>
      <c r="C4" t="s">
        <v>93</v>
      </c>
      <c r="O4"/>
    </row>
    <row r="5" spans="1:25" x14ac:dyDescent="0.25">
      <c r="A5">
        <v>4</v>
      </c>
      <c r="B5">
        <v>19980</v>
      </c>
      <c r="C5" t="s">
        <v>94</v>
      </c>
      <c r="O5"/>
    </row>
    <row r="6" spans="1:25" x14ac:dyDescent="0.25">
      <c r="A6">
        <v>5</v>
      </c>
      <c r="B6">
        <v>19980</v>
      </c>
      <c r="C6" t="s">
        <v>95</v>
      </c>
      <c r="O6"/>
    </row>
    <row r="7" spans="1:25" x14ac:dyDescent="0.25">
      <c r="A7">
        <v>6</v>
      </c>
      <c r="B7">
        <v>20000</v>
      </c>
      <c r="C7" t="s">
        <v>96</v>
      </c>
      <c r="O7"/>
    </row>
    <row r="8" spans="1:25" x14ac:dyDescent="0.25">
      <c r="A8">
        <v>7</v>
      </c>
      <c r="B8">
        <v>20000</v>
      </c>
      <c r="C8" t="s">
        <v>97</v>
      </c>
      <c r="O8"/>
    </row>
    <row r="9" spans="1:25" x14ac:dyDescent="0.25">
      <c r="A9">
        <v>8</v>
      </c>
      <c r="B9">
        <v>20020</v>
      </c>
      <c r="C9" t="s">
        <v>98</v>
      </c>
      <c r="O9"/>
    </row>
    <row r="10" spans="1:25" x14ac:dyDescent="0.25">
      <c r="A10">
        <v>9</v>
      </c>
      <c r="B10">
        <v>20020</v>
      </c>
      <c r="C10" t="s">
        <v>99</v>
      </c>
      <c r="O10"/>
    </row>
    <row r="11" spans="1:25" x14ac:dyDescent="0.25">
      <c r="A11">
        <v>10</v>
      </c>
      <c r="B11">
        <v>20020</v>
      </c>
      <c r="C11" t="s">
        <v>100</v>
      </c>
      <c r="O11"/>
    </row>
    <row r="12" spans="1:25" x14ac:dyDescent="0.25">
      <c r="A12">
        <v>11</v>
      </c>
      <c r="B12">
        <v>20000</v>
      </c>
      <c r="O12"/>
    </row>
    <row r="13" spans="1:25" x14ac:dyDescent="0.25">
      <c r="A13">
        <v>12</v>
      </c>
      <c r="B13">
        <v>20000</v>
      </c>
      <c r="O13"/>
    </row>
    <row r="14" spans="1:25" x14ac:dyDescent="0.25">
      <c r="A14">
        <v>13</v>
      </c>
      <c r="B14">
        <v>20020</v>
      </c>
      <c r="C14" t="s">
        <v>101</v>
      </c>
      <c r="O14"/>
    </row>
    <row r="15" spans="1:25" x14ac:dyDescent="0.25">
      <c r="A15">
        <v>14</v>
      </c>
      <c r="B15">
        <v>20020</v>
      </c>
      <c r="C15" t="s">
        <v>102</v>
      </c>
      <c r="O15"/>
    </row>
    <row r="16" spans="1:25" x14ac:dyDescent="0.25">
      <c r="A16">
        <v>15</v>
      </c>
      <c r="B16">
        <v>20020</v>
      </c>
      <c r="C16" t="s">
        <v>103</v>
      </c>
      <c r="O16"/>
    </row>
    <row r="17" spans="1:15" x14ac:dyDescent="0.25">
      <c r="A17">
        <v>16</v>
      </c>
      <c r="B17">
        <v>20000</v>
      </c>
      <c r="C17" t="s">
        <v>104</v>
      </c>
      <c r="O17"/>
    </row>
    <row r="18" spans="1:15" x14ac:dyDescent="0.25">
      <c r="A18">
        <v>17</v>
      </c>
      <c r="B18">
        <v>19980</v>
      </c>
      <c r="C18" t="s">
        <v>105</v>
      </c>
      <c r="O18"/>
    </row>
    <row r="19" spans="1:15" x14ac:dyDescent="0.25">
      <c r="A19">
        <v>18</v>
      </c>
      <c r="B19">
        <v>20040</v>
      </c>
      <c r="C19" t="s">
        <v>106</v>
      </c>
      <c r="O19"/>
    </row>
    <row r="20" spans="1:15" x14ac:dyDescent="0.25">
      <c r="A20">
        <v>19</v>
      </c>
      <c r="B20">
        <v>20020</v>
      </c>
      <c r="C20" t="s">
        <v>107</v>
      </c>
      <c r="O20"/>
    </row>
    <row r="21" spans="1:15" x14ac:dyDescent="0.25">
      <c r="A21">
        <v>20</v>
      </c>
      <c r="B21">
        <v>20020</v>
      </c>
      <c r="C21" t="s">
        <v>108</v>
      </c>
      <c r="O21"/>
    </row>
    <row r="22" spans="1:15" x14ac:dyDescent="0.25">
      <c r="A22">
        <v>21</v>
      </c>
      <c r="B22">
        <v>20000</v>
      </c>
      <c r="C22" t="s">
        <v>109</v>
      </c>
      <c r="O22"/>
    </row>
    <row r="23" spans="1:15" x14ac:dyDescent="0.25">
      <c r="A23">
        <v>22</v>
      </c>
      <c r="B23">
        <v>20000</v>
      </c>
      <c r="C23" t="s">
        <v>110</v>
      </c>
      <c r="O23"/>
    </row>
    <row r="24" spans="1:15" x14ac:dyDescent="0.25">
      <c r="A24">
        <v>23</v>
      </c>
      <c r="B24">
        <v>20040</v>
      </c>
      <c r="C24" t="s">
        <v>111</v>
      </c>
      <c r="O24"/>
    </row>
    <row r="25" spans="1:15" x14ac:dyDescent="0.25">
      <c r="A25">
        <v>24</v>
      </c>
      <c r="B25">
        <v>20000</v>
      </c>
      <c r="O25"/>
    </row>
    <row r="26" spans="1:15" x14ac:dyDescent="0.25">
      <c r="A26">
        <v>25</v>
      </c>
      <c r="B26">
        <v>20040</v>
      </c>
      <c r="C26" t="s">
        <v>112</v>
      </c>
      <c r="O26"/>
    </row>
    <row r="27" spans="1:15" x14ac:dyDescent="0.25">
      <c r="A27">
        <v>26</v>
      </c>
      <c r="B27">
        <v>20020</v>
      </c>
      <c r="C27" t="s">
        <v>113</v>
      </c>
      <c r="O27"/>
    </row>
    <row r="28" spans="1:15" x14ac:dyDescent="0.25">
      <c r="A28">
        <v>27</v>
      </c>
      <c r="B28">
        <v>20000</v>
      </c>
      <c r="C28" t="s">
        <v>114</v>
      </c>
      <c r="O28"/>
    </row>
    <row r="29" spans="1:15" x14ac:dyDescent="0.25">
      <c r="A29">
        <v>28</v>
      </c>
      <c r="B29">
        <v>19980</v>
      </c>
      <c r="C29" t="s">
        <v>115</v>
      </c>
      <c r="O29"/>
    </row>
    <row r="30" spans="1:15" x14ac:dyDescent="0.25">
      <c r="A30">
        <v>29</v>
      </c>
      <c r="B30">
        <v>20000</v>
      </c>
      <c r="C30" t="s">
        <v>116</v>
      </c>
      <c r="O30"/>
    </row>
    <row r="31" spans="1:15" x14ac:dyDescent="0.25">
      <c r="A31">
        <v>30</v>
      </c>
      <c r="B31">
        <v>19980</v>
      </c>
      <c r="C31" t="s">
        <v>117</v>
      </c>
      <c r="O31"/>
    </row>
    <row r="32" spans="1:15" x14ac:dyDescent="0.25">
      <c r="A32">
        <v>31</v>
      </c>
      <c r="B32">
        <v>20000</v>
      </c>
      <c r="C32" t="s">
        <v>118</v>
      </c>
      <c r="O32"/>
    </row>
    <row r="33" spans="1:15" x14ac:dyDescent="0.25">
      <c r="A33">
        <v>32</v>
      </c>
      <c r="B33">
        <v>19980</v>
      </c>
      <c r="C33" t="s">
        <v>119</v>
      </c>
      <c r="O33"/>
    </row>
    <row r="34" spans="1:15" x14ac:dyDescent="0.25">
      <c r="A34">
        <v>33</v>
      </c>
      <c r="B34">
        <v>20020</v>
      </c>
      <c r="C34" t="s">
        <v>120</v>
      </c>
      <c r="O34"/>
    </row>
    <row r="35" spans="1:15" x14ac:dyDescent="0.25">
      <c r="A35">
        <v>34</v>
      </c>
      <c r="B35">
        <v>19980</v>
      </c>
      <c r="C35" t="s">
        <v>121</v>
      </c>
      <c r="O35"/>
    </row>
    <row r="36" spans="1:15" x14ac:dyDescent="0.25">
      <c r="A36">
        <v>35</v>
      </c>
      <c r="B36">
        <v>20020</v>
      </c>
      <c r="C36" t="s">
        <v>122</v>
      </c>
      <c r="O36"/>
    </row>
    <row r="37" spans="1:15" x14ac:dyDescent="0.25">
      <c r="A37">
        <v>36</v>
      </c>
      <c r="B37">
        <v>20040</v>
      </c>
      <c r="C37" t="s">
        <v>123</v>
      </c>
      <c r="O37"/>
    </row>
    <row r="38" spans="1:15" x14ac:dyDescent="0.25">
      <c r="A38">
        <v>37</v>
      </c>
      <c r="B38">
        <v>20040</v>
      </c>
      <c r="C38" t="s">
        <v>124</v>
      </c>
      <c r="O38"/>
    </row>
    <row r="39" spans="1:15" x14ac:dyDescent="0.25">
      <c r="A39">
        <v>38</v>
      </c>
      <c r="B39">
        <v>20040</v>
      </c>
      <c r="C39" t="s">
        <v>125</v>
      </c>
      <c r="O39"/>
    </row>
    <row r="40" spans="1:15" x14ac:dyDescent="0.25">
      <c r="A40">
        <v>39</v>
      </c>
      <c r="B40">
        <v>20040</v>
      </c>
      <c r="C40" t="s">
        <v>126</v>
      </c>
      <c r="O40"/>
    </row>
    <row r="41" spans="1:15" x14ac:dyDescent="0.25">
      <c r="A41">
        <v>40</v>
      </c>
      <c r="B41">
        <v>20020</v>
      </c>
      <c r="C41" t="s">
        <v>127</v>
      </c>
      <c r="O41"/>
    </row>
    <row r="42" spans="1:15" x14ac:dyDescent="0.25">
      <c r="A42">
        <v>41</v>
      </c>
      <c r="B42">
        <v>20040</v>
      </c>
      <c r="C42" t="s">
        <v>128</v>
      </c>
      <c r="O42"/>
    </row>
    <row r="43" spans="1:15" x14ac:dyDescent="0.25">
      <c r="A43">
        <v>42</v>
      </c>
      <c r="B43">
        <v>20020</v>
      </c>
      <c r="C43" t="s">
        <v>129</v>
      </c>
      <c r="O43"/>
    </row>
    <row r="44" spans="1:15" x14ac:dyDescent="0.25">
      <c r="A44">
        <v>43</v>
      </c>
      <c r="B44">
        <v>20020</v>
      </c>
      <c r="C44" t="s">
        <v>130</v>
      </c>
      <c r="O44"/>
    </row>
    <row r="45" spans="1:15" x14ac:dyDescent="0.25">
      <c r="A45">
        <v>44</v>
      </c>
      <c r="B45">
        <v>20020</v>
      </c>
      <c r="C45" t="s">
        <v>131</v>
      </c>
      <c r="O45"/>
    </row>
    <row r="46" spans="1:15" x14ac:dyDescent="0.25">
      <c r="A46">
        <v>45</v>
      </c>
      <c r="B46">
        <v>20040</v>
      </c>
      <c r="C46" t="s">
        <v>132</v>
      </c>
      <c r="O46"/>
    </row>
    <row r="47" spans="1:15" x14ac:dyDescent="0.25">
      <c r="A47">
        <v>46</v>
      </c>
      <c r="B47">
        <v>20040</v>
      </c>
      <c r="C47" t="s">
        <v>133</v>
      </c>
      <c r="O47"/>
    </row>
    <row r="48" spans="1:15" x14ac:dyDescent="0.25">
      <c r="A48">
        <v>47</v>
      </c>
      <c r="B48">
        <v>20060</v>
      </c>
      <c r="C48" t="s">
        <v>134</v>
      </c>
      <c r="O48"/>
    </row>
    <row r="49" spans="1:15" x14ac:dyDescent="0.25">
      <c r="A49">
        <v>48</v>
      </c>
      <c r="B49">
        <v>20020</v>
      </c>
      <c r="C49" t="s">
        <v>135</v>
      </c>
      <c r="O49"/>
    </row>
    <row r="50" spans="1:15" x14ac:dyDescent="0.25">
      <c r="A50">
        <v>49</v>
      </c>
      <c r="B50">
        <v>20060</v>
      </c>
      <c r="C50" t="s">
        <v>136</v>
      </c>
      <c r="O50"/>
    </row>
    <row r="51" spans="1:15" x14ac:dyDescent="0.25">
      <c r="A51">
        <v>50</v>
      </c>
      <c r="B51">
        <v>19980</v>
      </c>
      <c r="C51" t="s">
        <v>137</v>
      </c>
      <c r="O51"/>
    </row>
    <row r="52" spans="1:15" x14ac:dyDescent="0.25">
      <c r="A52">
        <v>51</v>
      </c>
      <c r="B52">
        <v>20000</v>
      </c>
      <c r="C52" t="s">
        <v>138</v>
      </c>
      <c r="O52"/>
    </row>
    <row r="53" spans="1:15" x14ac:dyDescent="0.25">
      <c r="A53">
        <v>52</v>
      </c>
      <c r="B53">
        <v>20020</v>
      </c>
      <c r="C53" t="s">
        <v>139</v>
      </c>
      <c r="O53"/>
    </row>
    <row r="54" spans="1:15" x14ac:dyDescent="0.25">
      <c r="A54">
        <v>53</v>
      </c>
      <c r="B54">
        <v>19980</v>
      </c>
      <c r="C54" t="s">
        <v>140</v>
      </c>
      <c r="O54"/>
    </row>
    <row r="55" spans="1:15" x14ac:dyDescent="0.25">
      <c r="A55">
        <v>54</v>
      </c>
      <c r="B55">
        <v>19980</v>
      </c>
      <c r="C55" t="s">
        <v>141</v>
      </c>
      <c r="O55"/>
    </row>
    <row r="56" spans="1:15" x14ac:dyDescent="0.25">
      <c r="A56">
        <v>55</v>
      </c>
      <c r="B56">
        <v>20000</v>
      </c>
      <c r="C56" t="s">
        <v>142</v>
      </c>
      <c r="O56"/>
    </row>
    <row r="57" spans="1:15" x14ac:dyDescent="0.25">
      <c r="A57">
        <v>56</v>
      </c>
      <c r="B57">
        <v>20000</v>
      </c>
      <c r="C57" t="s">
        <v>143</v>
      </c>
      <c r="O57"/>
    </row>
    <row r="58" spans="1:15" x14ac:dyDescent="0.25">
      <c r="A58">
        <v>57</v>
      </c>
      <c r="B58">
        <v>20020</v>
      </c>
      <c r="C58" t="s">
        <v>144</v>
      </c>
      <c r="O58"/>
    </row>
    <row r="59" spans="1:15" x14ac:dyDescent="0.25">
      <c r="A59">
        <v>58</v>
      </c>
      <c r="B59">
        <v>20020</v>
      </c>
      <c r="C59" t="s">
        <v>145</v>
      </c>
      <c r="O59"/>
    </row>
    <row r="60" spans="1:15" x14ac:dyDescent="0.25">
      <c r="A60">
        <v>59</v>
      </c>
      <c r="B60">
        <v>19980</v>
      </c>
      <c r="C60" t="s">
        <v>146</v>
      </c>
      <c r="O60"/>
    </row>
    <row r="61" spans="1:15" x14ac:dyDescent="0.25">
      <c r="A61">
        <v>60</v>
      </c>
      <c r="B61">
        <v>20000</v>
      </c>
      <c r="C61" t="s">
        <v>147</v>
      </c>
      <c r="O61"/>
    </row>
    <row r="62" spans="1:15" x14ac:dyDescent="0.25">
      <c r="A62">
        <v>61</v>
      </c>
      <c r="B62">
        <v>20020</v>
      </c>
      <c r="C62" t="s">
        <v>148</v>
      </c>
      <c r="O62"/>
    </row>
    <row r="63" spans="1:15" x14ac:dyDescent="0.25">
      <c r="A63">
        <v>62</v>
      </c>
      <c r="B63">
        <v>19980</v>
      </c>
      <c r="C63" t="s">
        <v>149</v>
      </c>
      <c r="O63"/>
    </row>
    <row r="64" spans="1:15" x14ac:dyDescent="0.25">
      <c r="A64">
        <v>63</v>
      </c>
      <c r="B64">
        <v>20020</v>
      </c>
      <c r="C64" t="s">
        <v>150</v>
      </c>
      <c r="O64"/>
    </row>
    <row r="65" spans="1:15" x14ac:dyDescent="0.25">
      <c r="A65">
        <v>64</v>
      </c>
      <c r="B65">
        <v>20020</v>
      </c>
      <c r="C65" t="s">
        <v>151</v>
      </c>
      <c r="O65"/>
    </row>
    <row r="66" spans="1:15" x14ac:dyDescent="0.25">
      <c r="A66">
        <v>65</v>
      </c>
      <c r="B66">
        <v>20020</v>
      </c>
      <c r="C66" t="s">
        <v>152</v>
      </c>
      <c r="O66"/>
    </row>
    <row r="67" spans="1:15" x14ac:dyDescent="0.25">
      <c r="A67">
        <v>66</v>
      </c>
      <c r="B67">
        <v>20000</v>
      </c>
      <c r="C67" t="s">
        <v>153</v>
      </c>
      <c r="O67"/>
    </row>
    <row r="68" spans="1:15" x14ac:dyDescent="0.25">
      <c r="A68">
        <v>67</v>
      </c>
      <c r="B68">
        <v>20000</v>
      </c>
      <c r="C68" t="s">
        <v>154</v>
      </c>
      <c r="O68"/>
    </row>
    <row r="69" spans="1:15" x14ac:dyDescent="0.25">
      <c r="A69">
        <v>68</v>
      </c>
      <c r="B69">
        <v>20020</v>
      </c>
      <c r="C69" t="s">
        <v>155</v>
      </c>
      <c r="O69"/>
    </row>
    <row r="70" spans="1:15" x14ac:dyDescent="0.25">
      <c r="A70">
        <v>69</v>
      </c>
      <c r="B70">
        <v>20000</v>
      </c>
      <c r="C70" t="s">
        <v>156</v>
      </c>
      <c r="O70"/>
    </row>
    <row r="71" spans="1:15" x14ac:dyDescent="0.25">
      <c r="A71">
        <v>70</v>
      </c>
      <c r="B71">
        <v>20020</v>
      </c>
      <c r="C71" t="s">
        <v>157</v>
      </c>
      <c r="O71"/>
    </row>
    <row r="72" spans="1:15" x14ac:dyDescent="0.25">
      <c r="A72">
        <v>71</v>
      </c>
      <c r="B72">
        <v>20000</v>
      </c>
      <c r="C72" t="s">
        <v>158</v>
      </c>
      <c r="O72"/>
    </row>
    <row r="73" spans="1:15" x14ac:dyDescent="0.25">
      <c r="A73">
        <v>72</v>
      </c>
      <c r="B73">
        <v>20000</v>
      </c>
      <c r="C73" t="s">
        <v>159</v>
      </c>
      <c r="O73"/>
    </row>
    <row r="74" spans="1:15" x14ac:dyDescent="0.25">
      <c r="A74">
        <v>73</v>
      </c>
      <c r="B74">
        <v>20000</v>
      </c>
      <c r="C74" t="s">
        <v>160</v>
      </c>
      <c r="O74"/>
    </row>
    <row r="75" spans="1:15" x14ac:dyDescent="0.25">
      <c r="A75">
        <v>74</v>
      </c>
      <c r="B75">
        <v>20040</v>
      </c>
      <c r="C75" t="s">
        <v>161</v>
      </c>
      <c r="O75"/>
    </row>
    <row r="76" spans="1:15" x14ac:dyDescent="0.25">
      <c r="A76">
        <v>75</v>
      </c>
      <c r="B76">
        <v>20020</v>
      </c>
      <c r="C76" t="s">
        <v>162</v>
      </c>
      <c r="O76"/>
    </row>
    <row r="77" spans="1:15" x14ac:dyDescent="0.25">
      <c r="A77">
        <v>76</v>
      </c>
      <c r="B77">
        <v>20000</v>
      </c>
      <c r="C77" t="s">
        <v>163</v>
      </c>
      <c r="O77"/>
    </row>
    <row r="78" spans="1:15" x14ac:dyDescent="0.25">
      <c r="A78">
        <v>77</v>
      </c>
      <c r="B78">
        <v>20000</v>
      </c>
      <c r="C78" t="s">
        <v>164</v>
      </c>
      <c r="O78"/>
    </row>
    <row r="79" spans="1:15" x14ac:dyDescent="0.25">
      <c r="A79">
        <v>78</v>
      </c>
      <c r="B79">
        <v>20000</v>
      </c>
      <c r="C79" t="s">
        <v>165</v>
      </c>
      <c r="O79"/>
    </row>
    <row r="80" spans="1:15" x14ac:dyDescent="0.25">
      <c r="A80">
        <v>79</v>
      </c>
      <c r="B80">
        <v>20000</v>
      </c>
      <c r="C80" t="s">
        <v>166</v>
      </c>
      <c r="O80"/>
    </row>
    <row r="81" spans="1:15" x14ac:dyDescent="0.25">
      <c r="A81">
        <v>80</v>
      </c>
      <c r="B81">
        <v>20000</v>
      </c>
      <c r="C81" t="s">
        <v>167</v>
      </c>
      <c r="O81"/>
    </row>
    <row r="82" spans="1:15" x14ac:dyDescent="0.25">
      <c r="A82">
        <v>81</v>
      </c>
      <c r="B82">
        <v>20000</v>
      </c>
      <c r="C82" t="s">
        <v>168</v>
      </c>
      <c r="O82"/>
    </row>
    <row r="83" spans="1:15" x14ac:dyDescent="0.25">
      <c r="A83">
        <v>82</v>
      </c>
      <c r="B83">
        <v>20000</v>
      </c>
      <c r="C83" t="s">
        <v>169</v>
      </c>
      <c r="O83"/>
    </row>
    <row r="84" spans="1:15" x14ac:dyDescent="0.25">
      <c r="A84">
        <v>83</v>
      </c>
      <c r="B84">
        <v>20020</v>
      </c>
      <c r="C84" t="s">
        <v>170</v>
      </c>
      <c r="O84"/>
    </row>
    <row r="85" spans="1:15" x14ac:dyDescent="0.25">
      <c r="A85">
        <v>84</v>
      </c>
      <c r="B85">
        <v>20020</v>
      </c>
      <c r="C85" t="s">
        <v>171</v>
      </c>
      <c r="O85"/>
    </row>
    <row r="86" spans="1:15" x14ac:dyDescent="0.25">
      <c r="A86">
        <v>85</v>
      </c>
      <c r="B86">
        <v>19980</v>
      </c>
      <c r="C86" t="s">
        <v>172</v>
      </c>
      <c r="O86"/>
    </row>
    <row r="87" spans="1:15" x14ac:dyDescent="0.25">
      <c r="A87">
        <v>86</v>
      </c>
      <c r="B87">
        <v>20000</v>
      </c>
      <c r="C87" t="s">
        <v>173</v>
      </c>
      <c r="O87"/>
    </row>
    <row r="88" spans="1:15" x14ac:dyDescent="0.25">
      <c r="A88">
        <v>87</v>
      </c>
      <c r="B88">
        <v>20020</v>
      </c>
      <c r="C88" t="s">
        <v>174</v>
      </c>
      <c r="O88"/>
    </row>
    <row r="89" spans="1:15" x14ac:dyDescent="0.25">
      <c r="A89">
        <v>88</v>
      </c>
      <c r="B89">
        <v>20040</v>
      </c>
      <c r="C89" t="s">
        <v>175</v>
      </c>
      <c r="O89"/>
    </row>
    <row r="90" spans="1:15" x14ac:dyDescent="0.25">
      <c r="A90">
        <v>89</v>
      </c>
      <c r="B90">
        <v>20020</v>
      </c>
      <c r="C90" t="s">
        <v>176</v>
      </c>
      <c r="O90"/>
    </row>
    <row r="91" spans="1:15" x14ac:dyDescent="0.25">
      <c r="A91">
        <v>90</v>
      </c>
      <c r="B91">
        <v>20020</v>
      </c>
      <c r="C91" t="s">
        <v>177</v>
      </c>
      <c r="O91"/>
    </row>
    <row r="92" spans="1:15" x14ac:dyDescent="0.25">
      <c r="A92">
        <v>91</v>
      </c>
      <c r="B92">
        <v>20000</v>
      </c>
      <c r="C92" t="s">
        <v>178</v>
      </c>
      <c r="O92"/>
    </row>
    <row r="93" spans="1:15" x14ac:dyDescent="0.25">
      <c r="A93">
        <v>92</v>
      </c>
      <c r="B93">
        <v>19980</v>
      </c>
      <c r="C93" t="s">
        <v>179</v>
      </c>
      <c r="O93"/>
    </row>
    <row r="94" spans="1:15" x14ac:dyDescent="0.25">
      <c r="A94">
        <v>93</v>
      </c>
      <c r="B94">
        <v>20020</v>
      </c>
      <c r="C94" t="s">
        <v>180</v>
      </c>
      <c r="O94"/>
    </row>
    <row r="95" spans="1:15" x14ac:dyDescent="0.25">
      <c r="A95">
        <v>94</v>
      </c>
      <c r="B95">
        <v>20000</v>
      </c>
      <c r="C95" t="s">
        <v>181</v>
      </c>
      <c r="O95"/>
    </row>
    <row r="96" spans="1:15" x14ac:dyDescent="0.25">
      <c r="A96">
        <v>95</v>
      </c>
      <c r="B96">
        <v>20020</v>
      </c>
      <c r="C96" t="s">
        <v>182</v>
      </c>
      <c r="O96"/>
    </row>
    <row r="97" spans="1:15" x14ac:dyDescent="0.25">
      <c r="A97">
        <v>96</v>
      </c>
      <c r="B97">
        <v>20000</v>
      </c>
      <c r="C97" t="s">
        <v>183</v>
      </c>
      <c r="O97"/>
    </row>
    <row r="98" spans="1:15" x14ac:dyDescent="0.25">
      <c r="A98">
        <v>97</v>
      </c>
      <c r="B98">
        <v>20000</v>
      </c>
      <c r="C98" t="s">
        <v>184</v>
      </c>
      <c r="O98"/>
    </row>
    <row r="99" spans="1:15" x14ac:dyDescent="0.25">
      <c r="A99">
        <v>98</v>
      </c>
      <c r="B99">
        <v>20020</v>
      </c>
      <c r="C99" t="s">
        <v>185</v>
      </c>
      <c r="O99"/>
    </row>
    <row r="100" spans="1:15" x14ac:dyDescent="0.25">
      <c r="A100">
        <v>99</v>
      </c>
      <c r="B100">
        <v>20020</v>
      </c>
      <c r="C100" t="s">
        <v>186</v>
      </c>
      <c r="O100"/>
    </row>
    <row r="101" spans="1:15" x14ac:dyDescent="0.25">
      <c r="A101">
        <v>100</v>
      </c>
      <c r="B101">
        <v>19980</v>
      </c>
      <c r="C101" t="s">
        <v>187</v>
      </c>
      <c r="O101"/>
    </row>
    <row r="102" spans="1:15" x14ac:dyDescent="0.25">
      <c r="A102">
        <v>101</v>
      </c>
      <c r="B102">
        <v>20040</v>
      </c>
      <c r="C102" t="s">
        <v>188</v>
      </c>
      <c r="O102"/>
    </row>
    <row r="103" spans="1:15" x14ac:dyDescent="0.25">
      <c r="A103">
        <v>102</v>
      </c>
      <c r="B103">
        <v>20000</v>
      </c>
      <c r="C103" t="s">
        <v>189</v>
      </c>
      <c r="O103"/>
    </row>
    <row r="104" spans="1:15" x14ac:dyDescent="0.25">
      <c r="A104">
        <v>103</v>
      </c>
      <c r="B104">
        <v>20020</v>
      </c>
      <c r="C104" t="s">
        <v>190</v>
      </c>
      <c r="O104"/>
    </row>
    <row r="105" spans="1:15" x14ac:dyDescent="0.25">
      <c r="A105">
        <v>104</v>
      </c>
      <c r="B105">
        <v>20020</v>
      </c>
      <c r="C105" t="s">
        <v>191</v>
      </c>
      <c r="O105"/>
    </row>
    <row r="106" spans="1:15" x14ac:dyDescent="0.25">
      <c r="A106">
        <v>105</v>
      </c>
      <c r="B106">
        <v>20000</v>
      </c>
      <c r="C106" t="s">
        <v>192</v>
      </c>
      <c r="O106"/>
    </row>
    <row r="107" spans="1:15" x14ac:dyDescent="0.25">
      <c r="A107">
        <v>106</v>
      </c>
      <c r="B107">
        <v>20020</v>
      </c>
      <c r="C107" t="s">
        <v>193</v>
      </c>
      <c r="O107"/>
    </row>
    <row r="108" spans="1:15" x14ac:dyDescent="0.25">
      <c r="A108">
        <v>107</v>
      </c>
      <c r="B108">
        <v>19980</v>
      </c>
      <c r="C108" t="s">
        <v>194</v>
      </c>
      <c r="O108"/>
    </row>
    <row r="109" spans="1:15" x14ac:dyDescent="0.25">
      <c r="A109">
        <v>108</v>
      </c>
      <c r="B109">
        <v>20020</v>
      </c>
      <c r="C109" t="s">
        <v>195</v>
      </c>
      <c r="O109"/>
    </row>
    <row r="110" spans="1:15" x14ac:dyDescent="0.25">
      <c r="A110">
        <v>109</v>
      </c>
      <c r="B110">
        <v>19980</v>
      </c>
      <c r="C110" t="s">
        <v>196</v>
      </c>
      <c r="O110"/>
    </row>
    <row r="111" spans="1:15" x14ac:dyDescent="0.25">
      <c r="A111">
        <v>110</v>
      </c>
      <c r="B111">
        <v>20000</v>
      </c>
      <c r="C111" t="s">
        <v>197</v>
      </c>
      <c r="O111"/>
    </row>
    <row r="112" spans="1:15" x14ac:dyDescent="0.25">
      <c r="A112">
        <v>111</v>
      </c>
      <c r="B112">
        <v>19980</v>
      </c>
      <c r="C112" t="s">
        <v>198</v>
      </c>
      <c r="O112"/>
    </row>
    <row r="113" spans="1:15" x14ac:dyDescent="0.25">
      <c r="A113">
        <v>112</v>
      </c>
      <c r="B113">
        <v>20020</v>
      </c>
      <c r="C113" t="s">
        <v>199</v>
      </c>
      <c r="O113"/>
    </row>
    <row r="114" spans="1:15" x14ac:dyDescent="0.25">
      <c r="A114">
        <v>113</v>
      </c>
      <c r="B114">
        <v>20020</v>
      </c>
      <c r="C114" t="s">
        <v>200</v>
      </c>
      <c r="O114"/>
    </row>
    <row r="115" spans="1:15" x14ac:dyDescent="0.25">
      <c r="A115">
        <v>114</v>
      </c>
      <c r="B115">
        <v>20000</v>
      </c>
      <c r="C115" t="s">
        <v>201</v>
      </c>
      <c r="O115"/>
    </row>
    <row r="116" spans="1:15" x14ac:dyDescent="0.25">
      <c r="A116">
        <v>115</v>
      </c>
      <c r="B116">
        <v>20000</v>
      </c>
      <c r="O116"/>
    </row>
    <row r="117" spans="1:15" x14ac:dyDescent="0.25">
      <c r="A117">
        <v>116</v>
      </c>
      <c r="B117">
        <v>20020</v>
      </c>
      <c r="C117" t="s">
        <v>202</v>
      </c>
      <c r="O117"/>
    </row>
    <row r="118" spans="1:15" x14ac:dyDescent="0.25">
      <c r="A118">
        <v>117</v>
      </c>
      <c r="B118">
        <v>20020</v>
      </c>
      <c r="C118" t="s">
        <v>203</v>
      </c>
      <c r="O118"/>
    </row>
    <row r="119" spans="1:15" x14ac:dyDescent="0.25">
      <c r="A119">
        <v>118</v>
      </c>
      <c r="B119">
        <v>20000</v>
      </c>
      <c r="C119" t="s">
        <v>204</v>
      </c>
      <c r="O119"/>
    </row>
    <row r="120" spans="1:15" x14ac:dyDescent="0.25">
      <c r="A120">
        <v>119</v>
      </c>
      <c r="B120">
        <v>20000</v>
      </c>
      <c r="C120" t="s">
        <v>205</v>
      </c>
      <c r="O120"/>
    </row>
    <row r="121" spans="1:15" x14ac:dyDescent="0.25">
      <c r="A121">
        <v>120</v>
      </c>
      <c r="B121">
        <v>19980</v>
      </c>
      <c r="C121" t="s">
        <v>206</v>
      </c>
      <c r="O121"/>
    </row>
    <row r="122" spans="1:15" x14ac:dyDescent="0.25">
      <c r="A122">
        <v>121</v>
      </c>
      <c r="B122">
        <v>20000</v>
      </c>
      <c r="C122" t="s">
        <v>207</v>
      </c>
      <c r="O122"/>
    </row>
    <row r="123" spans="1:15" x14ac:dyDescent="0.25">
      <c r="A123">
        <v>122</v>
      </c>
      <c r="B123">
        <v>20020</v>
      </c>
      <c r="C123" t="s">
        <v>208</v>
      </c>
      <c r="O123"/>
    </row>
    <row r="124" spans="1:15" x14ac:dyDescent="0.25">
      <c r="A124">
        <v>123</v>
      </c>
      <c r="B124">
        <v>20000</v>
      </c>
      <c r="C124" t="s">
        <v>209</v>
      </c>
      <c r="O124"/>
    </row>
    <row r="125" spans="1:15" x14ac:dyDescent="0.25">
      <c r="A125">
        <v>124</v>
      </c>
      <c r="B125">
        <v>20000</v>
      </c>
      <c r="C125" t="s">
        <v>210</v>
      </c>
      <c r="O125"/>
    </row>
    <row r="126" spans="1:15" x14ac:dyDescent="0.25">
      <c r="A126">
        <v>125</v>
      </c>
      <c r="B126">
        <v>19980</v>
      </c>
      <c r="C126" t="s">
        <v>211</v>
      </c>
      <c r="O126"/>
    </row>
    <row r="127" spans="1:15" x14ac:dyDescent="0.25">
      <c r="A127">
        <v>126</v>
      </c>
      <c r="B127">
        <v>20020</v>
      </c>
      <c r="C127" t="s">
        <v>212</v>
      </c>
      <c r="O127"/>
    </row>
    <row r="128" spans="1:15" x14ac:dyDescent="0.25">
      <c r="A128">
        <v>127</v>
      </c>
      <c r="B128">
        <v>20020</v>
      </c>
      <c r="C128" t="s">
        <v>213</v>
      </c>
      <c r="O128"/>
    </row>
    <row r="129" spans="1:15" x14ac:dyDescent="0.25">
      <c r="A129">
        <v>128</v>
      </c>
      <c r="B129">
        <v>20000</v>
      </c>
      <c r="C129" t="s">
        <v>214</v>
      </c>
      <c r="O129"/>
    </row>
    <row r="130" spans="1:15" x14ac:dyDescent="0.25">
      <c r="A130">
        <v>129</v>
      </c>
      <c r="B130">
        <v>20020</v>
      </c>
      <c r="C130" t="s">
        <v>215</v>
      </c>
      <c r="O130"/>
    </row>
    <row r="131" spans="1:15" x14ac:dyDescent="0.25">
      <c r="A131">
        <v>130</v>
      </c>
      <c r="B131">
        <v>20000</v>
      </c>
      <c r="C131" t="s">
        <v>216</v>
      </c>
      <c r="O131"/>
    </row>
    <row r="132" spans="1:15" x14ac:dyDescent="0.25">
      <c r="A132">
        <v>131</v>
      </c>
      <c r="B132">
        <v>20020</v>
      </c>
      <c r="C132" t="s">
        <v>217</v>
      </c>
      <c r="O132"/>
    </row>
    <row r="133" spans="1:15" x14ac:dyDescent="0.25">
      <c r="A133">
        <v>132</v>
      </c>
      <c r="B133">
        <v>20020</v>
      </c>
      <c r="C133" t="s">
        <v>218</v>
      </c>
      <c r="O133"/>
    </row>
    <row r="134" spans="1:15" x14ac:dyDescent="0.25">
      <c r="A134">
        <v>133</v>
      </c>
      <c r="B134">
        <v>20040</v>
      </c>
      <c r="C134" t="s">
        <v>219</v>
      </c>
      <c r="O134"/>
    </row>
    <row r="135" spans="1:15" x14ac:dyDescent="0.25">
      <c r="A135">
        <v>134</v>
      </c>
      <c r="B135">
        <v>20000</v>
      </c>
      <c r="C135" t="s">
        <v>220</v>
      </c>
      <c r="O135"/>
    </row>
    <row r="136" spans="1:15" x14ac:dyDescent="0.25">
      <c r="A136">
        <v>135</v>
      </c>
      <c r="B136">
        <v>20020</v>
      </c>
      <c r="C136" t="s">
        <v>221</v>
      </c>
      <c r="O136"/>
    </row>
    <row r="137" spans="1:15" x14ac:dyDescent="0.25">
      <c r="A137">
        <v>136</v>
      </c>
      <c r="B137">
        <v>20020</v>
      </c>
      <c r="C137" t="s">
        <v>222</v>
      </c>
      <c r="O137"/>
    </row>
    <row r="138" spans="1:15" x14ac:dyDescent="0.25">
      <c r="A138">
        <v>137</v>
      </c>
      <c r="B138">
        <v>20020</v>
      </c>
      <c r="C138" t="s">
        <v>223</v>
      </c>
      <c r="O138"/>
    </row>
    <row r="139" spans="1:15" x14ac:dyDescent="0.25">
      <c r="A139">
        <v>138</v>
      </c>
      <c r="B139">
        <v>20000</v>
      </c>
      <c r="O139"/>
    </row>
    <row r="140" spans="1:15" x14ac:dyDescent="0.25">
      <c r="A140">
        <v>139</v>
      </c>
      <c r="B140">
        <v>20000</v>
      </c>
      <c r="C140" t="s">
        <v>224</v>
      </c>
      <c r="O140"/>
    </row>
    <row r="141" spans="1:15" x14ac:dyDescent="0.25">
      <c r="A141">
        <v>140</v>
      </c>
      <c r="B141">
        <v>20000</v>
      </c>
      <c r="C141" t="s">
        <v>225</v>
      </c>
      <c r="O141"/>
    </row>
    <row r="142" spans="1:15" x14ac:dyDescent="0.25">
      <c r="A142">
        <v>141</v>
      </c>
      <c r="B142">
        <v>20020</v>
      </c>
      <c r="C142" t="s">
        <v>226</v>
      </c>
      <c r="O142"/>
    </row>
    <row r="143" spans="1:15" x14ac:dyDescent="0.25">
      <c r="A143">
        <v>142</v>
      </c>
      <c r="B143">
        <v>20040</v>
      </c>
      <c r="C143" t="s">
        <v>227</v>
      </c>
      <c r="O143"/>
    </row>
    <row r="144" spans="1:15" x14ac:dyDescent="0.25">
      <c r="A144">
        <v>143</v>
      </c>
      <c r="B144">
        <v>20020</v>
      </c>
      <c r="C144" t="s">
        <v>228</v>
      </c>
      <c r="O144"/>
    </row>
    <row r="145" spans="1:15" x14ac:dyDescent="0.25">
      <c r="A145">
        <v>144</v>
      </c>
      <c r="B145">
        <v>20020</v>
      </c>
      <c r="C145" t="s">
        <v>229</v>
      </c>
      <c r="O145"/>
    </row>
    <row r="146" spans="1:15" x14ac:dyDescent="0.25">
      <c r="A146">
        <v>145</v>
      </c>
      <c r="B146">
        <v>19980</v>
      </c>
      <c r="C146" t="s">
        <v>230</v>
      </c>
      <c r="O146"/>
    </row>
    <row r="147" spans="1:15" x14ac:dyDescent="0.25">
      <c r="A147">
        <v>146</v>
      </c>
      <c r="B147">
        <v>20000</v>
      </c>
      <c r="C147" t="s">
        <v>231</v>
      </c>
      <c r="O147"/>
    </row>
    <row r="148" spans="1:15" x14ac:dyDescent="0.25">
      <c r="A148">
        <v>147</v>
      </c>
      <c r="B148">
        <v>20020</v>
      </c>
      <c r="C148" t="s">
        <v>232</v>
      </c>
      <c r="O148"/>
    </row>
    <row r="149" spans="1:15" x14ac:dyDescent="0.25">
      <c r="A149">
        <v>148</v>
      </c>
      <c r="B149">
        <v>20000</v>
      </c>
      <c r="C149" t="s">
        <v>233</v>
      </c>
      <c r="O149"/>
    </row>
    <row r="150" spans="1:15" x14ac:dyDescent="0.25">
      <c r="A150">
        <v>149</v>
      </c>
      <c r="B150">
        <v>20020</v>
      </c>
      <c r="C150" t="s">
        <v>234</v>
      </c>
      <c r="O150"/>
    </row>
    <row r="151" spans="1:15" x14ac:dyDescent="0.25">
      <c r="A151">
        <v>150</v>
      </c>
      <c r="B151">
        <v>20000</v>
      </c>
      <c r="O151"/>
    </row>
    <row r="152" spans="1:15" x14ac:dyDescent="0.25">
      <c r="A152">
        <v>151</v>
      </c>
      <c r="B152">
        <v>20000</v>
      </c>
      <c r="C152" t="s">
        <v>235</v>
      </c>
      <c r="O152"/>
    </row>
    <row r="153" spans="1:15" x14ac:dyDescent="0.25">
      <c r="A153">
        <v>152</v>
      </c>
      <c r="B153">
        <v>20000</v>
      </c>
      <c r="C153" t="s">
        <v>236</v>
      </c>
      <c r="O153"/>
    </row>
    <row r="154" spans="1:15" x14ac:dyDescent="0.25">
      <c r="A154">
        <v>153</v>
      </c>
      <c r="B154">
        <v>20020</v>
      </c>
      <c r="C154" t="s">
        <v>237</v>
      </c>
      <c r="O154"/>
    </row>
    <row r="155" spans="1:15" x14ac:dyDescent="0.25">
      <c r="A155">
        <v>154</v>
      </c>
      <c r="B155">
        <v>20000</v>
      </c>
      <c r="O155"/>
    </row>
    <row r="156" spans="1:15" x14ac:dyDescent="0.25">
      <c r="A156">
        <v>155</v>
      </c>
      <c r="B156">
        <v>19980</v>
      </c>
      <c r="C156" t="s">
        <v>238</v>
      </c>
      <c r="O156"/>
    </row>
    <row r="157" spans="1:15" x14ac:dyDescent="0.25">
      <c r="A157">
        <v>156</v>
      </c>
      <c r="B157">
        <v>20000</v>
      </c>
      <c r="C157" t="s">
        <v>239</v>
      </c>
      <c r="O157"/>
    </row>
    <row r="158" spans="1:15" x14ac:dyDescent="0.25">
      <c r="A158">
        <v>157</v>
      </c>
      <c r="B158">
        <v>20020</v>
      </c>
      <c r="C158" t="s">
        <v>240</v>
      </c>
      <c r="O158"/>
    </row>
    <row r="159" spans="1:15" x14ac:dyDescent="0.25">
      <c r="A159">
        <v>158</v>
      </c>
      <c r="B159">
        <v>20020</v>
      </c>
      <c r="C159" t="s">
        <v>241</v>
      </c>
      <c r="O159"/>
    </row>
    <row r="160" spans="1:15" x14ac:dyDescent="0.25">
      <c r="A160">
        <v>159</v>
      </c>
      <c r="B160">
        <v>19980</v>
      </c>
      <c r="C160" t="s">
        <v>242</v>
      </c>
      <c r="O160"/>
    </row>
    <row r="161" spans="1:15" x14ac:dyDescent="0.25">
      <c r="A161">
        <v>160</v>
      </c>
      <c r="B161">
        <v>20000</v>
      </c>
      <c r="C161" t="s">
        <v>243</v>
      </c>
      <c r="O161"/>
    </row>
    <row r="162" spans="1:15" x14ac:dyDescent="0.25">
      <c r="A162">
        <v>161</v>
      </c>
      <c r="B162">
        <v>20020</v>
      </c>
      <c r="C162" t="s">
        <v>244</v>
      </c>
      <c r="O162"/>
    </row>
    <row r="163" spans="1:15" x14ac:dyDescent="0.25">
      <c r="A163">
        <v>162</v>
      </c>
      <c r="B163">
        <v>20020</v>
      </c>
      <c r="C163" t="s">
        <v>245</v>
      </c>
      <c r="O163"/>
    </row>
    <row r="164" spans="1:15" x14ac:dyDescent="0.25">
      <c r="A164">
        <v>163</v>
      </c>
      <c r="B164">
        <v>20020</v>
      </c>
      <c r="C164" t="s">
        <v>246</v>
      </c>
      <c r="O164"/>
    </row>
    <row r="165" spans="1:15" x14ac:dyDescent="0.25">
      <c r="A165">
        <v>164</v>
      </c>
      <c r="B165">
        <v>20000</v>
      </c>
      <c r="C165" t="s">
        <v>247</v>
      </c>
      <c r="O165"/>
    </row>
    <row r="166" spans="1:15" x14ac:dyDescent="0.25">
      <c r="A166">
        <v>165</v>
      </c>
      <c r="B166">
        <v>20000</v>
      </c>
      <c r="C166" t="s">
        <v>248</v>
      </c>
      <c r="O166"/>
    </row>
    <row r="167" spans="1:15" x14ac:dyDescent="0.25">
      <c r="A167">
        <v>166</v>
      </c>
      <c r="B167">
        <v>20020</v>
      </c>
      <c r="C167" t="s">
        <v>249</v>
      </c>
      <c r="O167"/>
    </row>
    <row r="168" spans="1:15" x14ac:dyDescent="0.25">
      <c r="A168">
        <v>167</v>
      </c>
      <c r="B168">
        <v>20020</v>
      </c>
      <c r="C168" t="s">
        <v>250</v>
      </c>
      <c r="O168"/>
    </row>
    <row r="169" spans="1:15" x14ac:dyDescent="0.25">
      <c r="A169">
        <v>168</v>
      </c>
      <c r="B169">
        <v>20020</v>
      </c>
      <c r="C169" t="s">
        <v>251</v>
      </c>
      <c r="O169"/>
    </row>
    <row r="170" spans="1:15" x14ac:dyDescent="0.25">
      <c r="A170">
        <v>169</v>
      </c>
      <c r="B170">
        <v>20020</v>
      </c>
      <c r="C170" t="s">
        <v>252</v>
      </c>
      <c r="O170"/>
    </row>
    <row r="171" spans="1:15" x14ac:dyDescent="0.25">
      <c r="A171">
        <v>170</v>
      </c>
      <c r="B171">
        <v>20020</v>
      </c>
      <c r="C171" t="s">
        <v>253</v>
      </c>
      <c r="O171"/>
    </row>
    <row r="172" spans="1:15" x14ac:dyDescent="0.25">
      <c r="A172">
        <v>171</v>
      </c>
      <c r="B172">
        <v>20020</v>
      </c>
      <c r="C172" t="s">
        <v>254</v>
      </c>
      <c r="O172"/>
    </row>
    <row r="173" spans="1:15" x14ac:dyDescent="0.25">
      <c r="A173">
        <v>172</v>
      </c>
      <c r="B173">
        <v>20000</v>
      </c>
      <c r="C173" t="s">
        <v>255</v>
      </c>
      <c r="O173"/>
    </row>
    <row r="174" spans="1:15" x14ac:dyDescent="0.25">
      <c r="A174">
        <v>173</v>
      </c>
      <c r="B174">
        <v>20000</v>
      </c>
      <c r="C174" t="s">
        <v>256</v>
      </c>
      <c r="O174"/>
    </row>
    <row r="175" spans="1:15" x14ac:dyDescent="0.25">
      <c r="A175">
        <v>174</v>
      </c>
      <c r="B175">
        <v>20040</v>
      </c>
      <c r="C175" t="s">
        <v>257</v>
      </c>
      <c r="O175"/>
    </row>
    <row r="176" spans="1:15" x14ac:dyDescent="0.25">
      <c r="A176">
        <v>175</v>
      </c>
      <c r="B176">
        <v>20020</v>
      </c>
      <c r="C176" t="s">
        <v>258</v>
      </c>
      <c r="O176"/>
    </row>
    <row r="177" spans="1:15" x14ac:dyDescent="0.25">
      <c r="A177">
        <v>176</v>
      </c>
      <c r="B177">
        <v>20020</v>
      </c>
      <c r="C177" t="s">
        <v>259</v>
      </c>
      <c r="O177"/>
    </row>
    <row r="178" spans="1:15" x14ac:dyDescent="0.25">
      <c r="A178">
        <v>177</v>
      </c>
      <c r="B178">
        <v>20000</v>
      </c>
      <c r="O178"/>
    </row>
    <row r="179" spans="1:15" x14ac:dyDescent="0.25">
      <c r="A179">
        <v>178</v>
      </c>
      <c r="B179">
        <v>20020</v>
      </c>
      <c r="C179" t="s">
        <v>260</v>
      </c>
      <c r="O179"/>
    </row>
    <row r="180" spans="1:15" x14ac:dyDescent="0.25">
      <c r="A180">
        <v>179</v>
      </c>
      <c r="B180">
        <v>20020</v>
      </c>
      <c r="C180" t="s">
        <v>261</v>
      </c>
      <c r="O180"/>
    </row>
    <row r="181" spans="1:15" x14ac:dyDescent="0.25">
      <c r="A181">
        <v>180</v>
      </c>
      <c r="B181">
        <v>20000</v>
      </c>
      <c r="C181" t="s">
        <v>262</v>
      </c>
      <c r="O181"/>
    </row>
    <row r="182" spans="1:15" x14ac:dyDescent="0.25">
      <c r="A182">
        <v>181</v>
      </c>
      <c r="B182">
        <v>20020</v>
      </c>
      <c r="C182" t="s">
        <v>263</v>
      </c>
      <c r="O182"/>
    </row>
    <row r="183" spans="1:15" x14ac:dyDescent="0.25">
      <c r="A183">
        <v>182</v>
      </c>
      <c r="B183">
        <v>20020</v>
      </c>
      <c r="C183" t="s">
        <v>264</v>
      </c>
      <c r="O183"/>
    </row>
    <row r="184" spans="1:15" x14ac:dyDescent="0.25">
      <c r="A184">
        <v>183</v>
      </c>
      <c r="B184">
        <v>19980</v>
      </c>
      <c r="C184" t="s">
        <v>265</v>
      </c>
      <c r="O184"/>
    </row>
    <row r="185" spans="1:15" x14ac:dyDescent="0.25">
      <c r="A185">
        <v>184</v>
      </c>
      <c r="B185">
        <v>20020</v>
      </c>
      <c r="C185" t="s">
        <v>266</v>
      </c>
      <c r="O185"/>
    </row>
    <row r="186" spans="1:15" x14ac:dyDescent="0.25">
      <c r="A186">
        <v>185</v>
      </c>
      <c r="B186">
        <v>20020</v>
      </c>
      <c r="C186" t="s">
        <v>267</v>
      </c>
      <c r="O186"/>
    </row>
    <row r="187" spans="1:15" x14ac:dyDescent="0.25">
      <c r="A187">
        <v>186</v>
      </c>
      <c r="B187">
        <v>20000</v>
      </c>
      <c r="C187" t="s">
        <v>268</v>
      </c>
      <c r="O187"/>
    </row>
    <row r="188" spans="1:15" x14ac:dyDescent="0.25">
      <c r="A188">
        <v>187</v>
      </c>
      <c r="B188">
        <v>20000</v>
      </c>
      <c r="O188"/>
    </row>
    <row r="189" spans="1:15" x14ac:dyDescent="0.25">
      <c r="A189">
        <v>188</v>
      </c>
      <c r="B189">
        <v>20000</v>
      </c>
      <c r="C189" t="s">
        <v>269</v>
      </c>
      <c r="O189"/>
    </row>
    <row r="190" spans="1:15" x14ac:dyDescent="0.25">
      <c r="A190">
        <v>189</v>
      </c>
      <c r="B190">
        <v>19980</v>
      </c>
      <c r="C190" t="s">
        <v>270</v>
      </c>
      <c r="O190"/>
    </row>
    <row r="191" spans="1:15" x14ac:dyDescent="0.25">
      <c r="A191">
        <v>190</v>
      </c>
      <c r="B191">
        <v>19980</v>
      </c>
      <c r="C191" t="s">
        <v>271</v>
      </c>
      <c r="O191"/>
    </row>
    <row r="192" spans="1:15" x14ac:dyDescent="0.25">
      <c r="A192">
        <v>191</v>
      </c>
      <c r="B192">
        <v>20000</v>
      </c>
      <c r="C192" t="s">
        <v>272</v>
      </c>
      <c r="O192"/>
    </row>
    <row r="193" spans="1:15" x14ac:dyDescent="0.25">
      <c r="A193">
        <v>192</v>
      </c>
      <c r="B193">
        <v>20000</v>
      </c>
      <c r="C193" t="s">
        <v>273</v>
      </c>
      <c r="O193"/>
    </row>
    <row r="194" spans="1:15" x14ac:dyDescent="0.25">
      <c r="A194">
        <v>193</v>
      </c>
      <c r="B194">
        <v>20000</v>
      </c>
      <c r="C194" t="s">
        <v>274</v>
      </c>
      <c r="O194"/>
    </row>
    <row r="195" spans="1:15" x14ac:dyDescent="0.25">
      <c r="A195">
        <v>194</v>
      </c>
      <c r="B195">
        <v>20020</v>
      </c>
      <c r="C195" t="s">
        <v>275</v>
      </c>
      <c r="O195"/>
    </row>
    <row r="196" spans="1:15" x14ac:dyDescent="0.25">
      <c r="A196">
        <v>195</v>
      </c>
      <c r="B196">
        <v>20000</v>
      </c>
      <c r="O196"/>
    </row>
    <row r="197" spans="1:15" x14ac:dyDescent="0.25">
      <c r="A197">
        <v>196</v>
      </c>
      <c r="B197">
        <v>20000</v>
      </c>
      <c r="C197" t="s">
        <v>276</v>
      </c>
      <c r="O197"/>
    </row>
    <row r="198" spans="1:15" x14ac:dyDescent="0.25">
      <c r="A198">
        <v>197</v>
      </c>
      <c r="B198">
        <v>20020</v>
      </c>
      <c r="C198" t="s">
        <v>277</v>
      </c>
      <c r="O198"/>
    </row>
    <row r="199" spans="1:15" x14ac:dyDescent="0.25">
      <c r="A199">
        <v>198</v>
      </c>
      <c r="B199">
        <v>20000</v>
      </c>
      <c r="C199" t="s">
        <v>278</v>
      </c>
      <c r="O199"/>
    </row>
    <row r="200" spans="1:15" x14ac:dyDescent="0.25">
      <c r="A200">
        <v>199</v>
      </c>
      <c r="B200">
        <v>20000</v>
      </c>
      <c r="C200" t="s">
        <v>279</v>
      </c>
      <c r="O200"/>
    </row>
    <row r="201" spans="1:15" x14ac:dyDescent="0.25">
      <c r="A201">
        <v>200</v>
      </c>
      <c r="B201">
        <v>20020</v>
      </c>
      <c r="C201" t="s">
        <v>280</v>
      </c>
      <c r="O201"/>
    </row>
    <row r="202" spans="1:15" x14ac:dyDescent="0.25">
      <c r="A202">
        <v>201</v>
      </c>
      <c r="B202">
        <v>20020</v>
      </c>
      <c r="C202" t="s">
        <v>281</v>
      </c>
      <c r="O202"/>
    </row>
    <row r="203" spans="1:15" x14ac:dyDescent="0.25">
      <c r="A203">
        <v>202</v>
      </c>
      <c r="B203">
        <v>19980</v>
      </c>
      <c r="C203" t="s">
        <v>282</v>
      </c>
      <c r="O203"/>
    </row>
    <row r="204" spans="1:15" x14ac:dyDescent="0.25">
      <c r="A204">
        <v>203</v>
      </c>
      <c r="B204">
        <v>20000</v>
      </c>
      <c r="C204" t="s">
        <v>283</v>
      </c>
      <c r="O204"/>
    </row>
    <row r="205" spans="1:15" x14ac:dyDescent="0.25">
      <c r="A205">
        <v>204</v>
      </c>
      <c r="B205">
        <v>20020</v>
      </c>
      <c r="C205" t="s">
        <v>284</v>
      </c>
      <c r="O205"/>
    </row>
    <row r="206" spans="1:15" x14ac:dyDescent="0.25">
      <c r="A206">
        <v>205</v>
      </c>
      <c r="B206">
        <v>20020</v>
      </c>
      <c r="C206" t="s">
        <v>285</v>
      </c>
      <c r="O206"/>
    </row>
    <row r="207" spans="1:15" x14ac:dyDescent="0.25">
      <c r="A207">
        <v>206</v>
      </c>
      <c r="B207">
        <v>19980</v>
      </c>
      <c r="C207" t="s">
        <v>286</v>
      </c>
      <c r="O207"/>
    </row>
    <row r="208" spans="1:15" x14ac:dyDescent="0.25">
      <c r="A208">
        <v>207</v>
      </c>
      <c r="B208">
        <v>20000</v>
      </c>
      <c r="O208"/>
    </row>
    <row r="209" spans="1:15" x14ac:dyDescent="0.25">
      <c r="A209">
        <v>208</v>
      </c>
      <c r="B209">
        <v>20040</v>
      </c>
      <c r="C209" t="s">
        <v>287</v>
      </c>
      <c r="O209"/>
    </row>
    <row r="210" spans="1:15" x14ac:dyDescent="0.25">
      <c r="A210">
        <v>209</v>
      </c>
      <c r="B210">
        <v>20000</v>
      </c>
      <c r="C210" t="s">
        <v>288</v>
      </c>
      <c r="O210"/>
    </row>
    <row r="211" spans="1:15" x14ac:dyDescent="0.25">
      <c r="A211">
        <v>210</v>
      </c>
      <c r="B211">
        <v>19980</v>
      </c>
      <c r="C211" t="s">
        <v>289</v>
      </c>
      <c r="O211"/>
    </row>
    <row r="212" spans="1:15" x14ac:dyDescent="0.25">
      <c r="A212">
        <v>211</v>
      </c>
      <c r="B212">
        <v>20020</v>
      </c>
      <c r="C212" t="s">
        <v>290</v>
      </c>
      <c r="O212"/>
    </row>
    <row r="213" spans="1:15" x14ac:dyDescent="0.25">
      <c r="A213">
        <v>212</v>
      </c>
      <c r="B213">
        <v>20020</v>
      </c>
      <c r="C213" t="s">
        <v>291</v>
      </c>
      <c r="O213"/>
    </row>
    <row r="214" spans="1:15" x14ac:dyDescent="0.25">
      <c r="A214">
        <v>213</v>
      </c>
      <c r="B214">
        <v>20000</v>
      </c>
      <c r="O214"/>
    </row>
    <row r="215" spans="1:15" x14ac:dyDescent="0.25">
      <c r="A215">
        <v>214</v>
      </c>
      <c r="B215">
        <v>19980</v>
      </c>
      <c r="C215" t="s">
        <v>292</v>
      </c>
      <c r="O215"/>
    </row>
    <row r="216" spans="1:15" x14ac:dyDescent="0.25">
      <c r="A216">
        <v>215</v>
      </c>
      <c r="B216">
        <v>20020</v>
      </c>
      <c r="C216" t="s">
        <v>293</v>
      </c>
      <c r="O216"/>
    </row>
    <row r="217" spans="1:15" x14ac:dyDescent="0.25">
      <c r="A217">
        <v>216</v>
      </c>
      <c r="B217">
        <v>20020</v>
      </c>
      <c r="C217" t="s">
        <v>294</v>
      </c>
      <c r="O217"/>
    </row>
    <row r="218" spans="1:15" x14ac:dyDescent="0.25">
      <c r="A218">
        <v>217</v>
      </c>
      <c r="B218">
        <v>20020</v>
      </c>
      <c r="C218" t="s">
        <v>295</v>
      </c>
      <c r="O218"/>
    </row>
    <row r="219" spans="1:15" x14ac:dyDescent="0.25">
      <c r="A219">
        <v>218</v>
      </c>
      <c r="B219">
        <v>20000</v>
      </c>
      <c r="C219" t="s">
        <v>296</v>
      </c>
      <c r="O219"/>
    </row>
    <row r="220" spans="1:15" x14ac:dyDescent="0.25">
      <c r="A220">
        <v>219</v>
      </c>
      <c r="B220">
        <v>20000</v>
      </c>
      <c r="C220" t="s">
        <v>297</v>
      </c>
      <c r="O220"/>
    </row>
    <row r="221" spans="1:15" x14ac:dyDescent="0.25">
      <c r="A221">
        <v>220</v>
      </c>
      <c r="B221">
        <v>20040</v>
      </c>
      <c r="C221" t="s">
        <v>298</v>
      </c>
      <c r="O221"/>
    </row>
    <row r="222" spans="1:15" x14ac:dyDescent="0.25">
      <c r="A222">
        <v>221</v>
      </c>
      <c r="B222">
        <v>20000</v>
      </c>
      <c r="C222" t="s">
        <v>299</v>
      </c>
      <c r="O222"/>
    </row>
    <row r="223" spans="1:15" x14ac:dyDescent="0.25">
      <c r="A223">
        <v>222</v>
      </c>
      <c r="B223">
        <v>20020</v>
      </c>
      <c r="C223" t="s">
        <v>300</v>
      </c>
      <c r="O223"/>
    </row>
    <row r="224" spans="1:15" x14ac:dyDescent="0.25">
      <c r="A224">
        <v>223</v>
      </c>
      <c r="B224">
        <v>20000</v>
      </c>
      <c r="C224" t="s">
        <v>301</v>
      </c>
      <c r="O224"/>
    </row>
    <row r="225" spans="1:15" x14ac:dyDescent="0.25">
      <c r="A225">
        <v>224</v>
      </c>
      <c r="B225">
        <v>20020</v>
      </c>
      <c r="C225" t="s">
        <v>302</v>
      </c>
      <c r="O225"/>
    </row>
    <row r="226" spans="1:15" x14ac:dyDescent="0.25">
      <c r="A226">
        <v>225</v>
      </c>
      <c r="B226">
        <v>20000</v>
      </c>
      <c r="C226" t="s">
        <v>303</v>
      </c>
      <c r="O226"/>
    </row>
    <row r="227" spans="1:15" x14ac:dyDescent="0.25">
      <c r="A227">
        <v>226</v>
      </c>
      <c r="B227">
        <v>20020</v>
      </c>
      <c r="C227" t="s">
        <v>304</v>
      </c>
      <c r="O227"/>
    </row>
    <row r="228" spans="1:15" x14ac:dyDescent="0.25">
      <c r="A228">
        <v>227</v>
      </c>
      <c r="B228">
        <v>20020</v>
      </c>
      <c r="C228" t="s">
        <v>305</v>
      </c>
      <c r="O228"/>
    </row>
    <row r="229" spans="1:15" x14ac:dyDescent="0.25">
      <c r="A229">
        <v>228</v>
      </c>
      <c r="B229">
        <v>20000</v>
      </c>
      <c r="O229"/>
    </row>
    <row r="230" spans="1:15" x14ac:dyDescent="0.25">
      <c r="A230">
        <v>229</v>
      </c>
      <c r="B230">
        <v>20020</v>
      </c>
      <c r="C230" t="s">
        <v>306</v>
      </c>
      <c r="O230"/>
    </row>
    <row r="231" spans="1:15" x14ac:dyDescent="0.25">
      <c r="A231">
        <v>230</v>
      </c>
      <c r="B231">
        <v>19980</v>
      </c>
      <c r="C231" t="s">
        <v>307</v>
      </c>
      <c r="O231"/>
    </row>
    <row r="232" spans="1:15" x14ac:dyDescent="0.25">
      <c r="A232">
        <v>231</v>
      </c>
      <c r="B232">
        <v>20020</v>
      </c>
      <c r="C232" t="s">
        <v>308</v>
      </c>
      <c r="O232"/>
    </row>
    <row r="233" spans="1:15" x14ac:dyDescent="0.25">
      <c r="A233">
        <v>232</v>
      </c>
      <c r="B233">
        <v>20020</v>
      </c>
      <c r="C233" t="s">
        <v>309</v>
      </c>
      <c r="O233"/>
    </row>
    <row r="234" spans="1:15" x14ac:dyDescent="0.25">
      <c r="A234">
        <v>233</v>
      </c>
      <c r="B234">
        <v>20000</v>
      </c>
      <c r="C234" t="s">
        <v>310</v>
      </c>
      <c r="O234"/>
    </row>
    <row r="235" spans="1:15" x14ac:dyDescent="0.25">
      <c r="A235">
        <v>234</v>
      </c>
      <c r="B235">
        <v>20020</v>
      </c>
      <c r="C235" t="s">
        <v>311</v>
      </c>
      <c r="O235"/>
    </row>
    <row r="236" spans="1:15" x14ac:dyDescent="0.25">
      <c r="A236">
        <v>235</v>
      </c>
      <c r="B236">
        <v>20020</v>
      </c>
      <c r="C236" t="s">
        <v>312</v>
      </c>
      <c r="O236"/>
    </row>
    <row r="237" spans="1:15" x14ac:dyDescent="0.25">
      <c r="A237">
        <v>236</v>
      </c>
      <c r="B237">
        <v>20020</v>
      </c>
      <c r="C237" t="s">
        <v>313</v>
      </c>
      <c r="O237"/>
    </row>
    <row r="238" spans="1:15" x14ac:dyDescent="0.25">
      <c r="A238">
        <v>237</v>
      </c>
      <c r="B238">
        <v>19980</v>
      </c>
      <c r="C238" t="s">
        <v>314</v>
      </c>
      <c r="O238"/>
    </row>
    <row r="239" spans="1:15" x14ac:dyDescent="0.25">
      <c r="A239">
        <v>238</v>
      </c>
      <c r="B239">
        <v>20020</v>
      </c>
      <c r="C239" t="s">
        <v>315</v>
      </c>
      <c r="O239"/>
    </row>
    <row r="240" spans="1:15" x14ac:dyDescent="0.25">
      <c r="A240">
        <v>239</v>
      </c>
      <c r="B240">
        <v>20020</v>
      </c>
      <c r="C240" t="s">
        <v>316</v>
      </c>
      <c r="O240"/>
    </row>
    <row r="241" spans="1:15" x14ac:dyDescent="0.25">
      <c r="A241">
        <v>240</v>
      </c>
      <c r="B241">
        <v>20020</v>
      </c>
      <c r="C241" t="s">
        <v>317</v>
      </c>
      <c r="O241"/>
    </row>
    <row r="242" spans="1:15" x14ac:dyDescent="0.25">
      <c r="A242">
        <v>241</v>
      </c>
      <c r="B242">
        <v>19980</v>
      </c>
      <c r="C242" t="s">
        <v>318</v>
      </c>
      <c r="O242"/>
    </row>
    <row r="243" spans="1:15" x14ac:dyDescent="0.25">
      <c r="A243">
        <v>242</v>
      </c>
      <c r="B243">
        <v>20020</v>
      </c>
      <c r="C243" t="s">
        <v>319</v>
      </c>
      <c r="O243"/>
    </row>
    <row r="244" spans="1:15" x14ac:dyDescent="0.25">
      <c r="A244">
        <v>243</v>
      </c>
      <c r="B244">
        <v>20020</v>
      </c>
      <c r="C244" t="s">
        <v>320</v>
      </c>
      <c r="O244"/>
    </row>
    <row r="245" spans="1:15" x14ac:dyDescent="0.25">
      <c r="A245">
        <v>244</v>
      </c>
      <c r="B245">
        <v>20020</v>
      </c>
      <c r="C245" t="s">
        <v>321</v>
      </c>
      <c r="O245"/>
    </row>
    <row r="246" spans="1:15" x14ac:dyDescent="0.25">
      <c r="A246">
        <v>245</v>
      </c>
      <c r="B246">
        <v>20000</v>
      </c>
      <c r="C246" t="s">
        <v>322</v>
      </c>
      <c r="O246"/>
    </row>
    <row r="247" spans="1:15" x14ac:dyDescent="0.25">
      <c r="A247">
        <v>246</v>
      </c>
      <c r="B247">
        <v>20000</v>
      </c>
      <c r="C247" t="s">
        <v>323</v>
      </c>
      <c r="O247"/>
    </row>
    <row r="248" spans="1:15" x14ac:dyDescent="0.25">
      <c r="A248">
        <v>247</v>
      </c>
      <c r="B248">
        <v>20020</v>
      </c>
      <c r="C248" t="s">
        <v>324</v>
      </c>
      <c r="O248"/>
    </row>
    <row r="249" spans="1:15" x14ac:dyDescent="0.25">
      <c r="A249">
        <v>248</v>
      </c>
      <c r="B249">
        <v>19980</v>
      </c>
      <c r="C249" t="s">
        <v>325</v>
      </c>
      <c r="O249"/>
    </row>
    <row r="250" spans="1:15" x14ac:dyDescent="0.25">
      <c r="A250">
        <v>249</v>
      </c>
      <c r="B250">
        <v>20000</v>
      </c>
      <c r="C250" t="s">
        <v>326</v>
      </c>
      <c r="O250"/>
    </row>
    <row r="251" spans="1:15" x14ac:dyDescent="0.25">
      <c r="A251">
        <v>250</v>
      </c>
      <c r="B251">
        <v>19980</v>
      </c>
      <c r="C251" t="s">
        <v>327</v>
      </c>
      <c r="O251"/>
    </row>
    <row r="252" spans="1:15" x14ac:dyDescent="0.25">
      <c r="A252">
        <v>251</v>
      </c>
      <c r="B252">
        <v>20020</v>
      </c>
      <c r="C252" t="s">
        <v>328</v>
      </c>
      <c r="O252"/>
    </row>
    <row r="253" spans="1:15" x14ac:dyDescent="0.25">
      <c r="A253">
        <v>252</v>
      </c>
      <c r="B253">
        <v>20000</v>
      </c>
      <c r="C253" t="s">
        <v>329</v>
      </c>
      <c r="O253"/>
    </row>
    <row r="254" spans="1:15" x14ac:dyDescent="0.25">
      <c r="A254">
        <v>253</v>
      </c>
      <c r="B254">
        <v>20020</v>
      </c>
      <c r="C254" t="s">
        <v>330</v>
      </c>
      <c r="O254"/>
    </row>
    <row r="255" spans="1:15" x14ac:dyDescent="0.25">
      <c r="A255">
        <v>254</v>
      </c>
      <c r="B255">
        <v>19980</v>
      </c>
      <c r="C255" t="s">
        <v>331</v>
      </c>
      <c r="O255"/>
    </row>
    <row r="256" spans="1:15" x14ac:dyDescent="0.25">
      <c r="A256">
        <v>255</v>
      </c>
      <c r="B256">
        <v>20000</v>
      </c>
      <c r="C256" t="s">
        <v>332</v>
      </c>
      <c r="O256"/>
    </row>
    <row r="257" spans="1:15" x14ac:dyDescent="0.25">
      <c r="A257">
        <v>256</v>
      </c>
      <c r="B257">
        <v>20040</v>
      </c>
      <c r="C257" t="s">
        <v>333</v>
      </c>
      <c r="O257"/>
    </row>
    <row r="258" spans="1:15" x14ac:dyDescent="0.25">
      <c r="A258">
        <v>257</v>
      </c>
      <c r="B258">
        <v>20020</v>
      </c>
      <c r="C258" t="s">
        <v>334</v>
      </c>
      <c r="O258"/>
    </row>
    <row r="259" spans="1:15" x14ac:dyDescent="0.25">
      <c r="A259">
        <v>258</v>
      </c>
      <c r="B259">
        <v>20000</v>
      </c>
      <c r="C259" t="s">
        <v>335</v>
      </c>
      <c r="O259"/>
    </row>
    <row r="260" spans="1:15" x14ac:dyDescent="0.25">
      <c r="A260">
        <v>259</v>
      </c>
      <c r="B260">
        <v>20020</v>
      </c>
      <c r="C260" t="s">
        <v>336</v>
      </c>
      <c r="O260"/>
    </row>
    <row r="261" spans="1:15" x14ac:dyDescent="0.25">
      <c r="A261">
        <v>260</v>
      </c>
      <c r="B261">
        <v>19980</v>
      </c>
      <c r="C261" t="s">
        <v>337</v>
      </c>
      <c r="O261"/>
    </row>
    <row r="262" spans="1:15" x14ac:dyDescent="0.25">
      <c r="A262">
        <v>261</v>
      </c>
      <c r="B262">
        <v>20000</v>
      </c>
      <c r="C262" t="s">
        <v>338</v>
      </c>
      <c r="O262"/>
    </row>
    <row r="263" spans="1:15" x14ac:dyDescent="0.25">
      <c r="A263">
        <v>262</v>
      </c>
      <c r="B263">
        <v>20000</v>
      </c>
      <c r="C263" t="s">
        <v>339</v>
      </c>
      <c r="O263"/>
    </row>
    <row r="264" spans="1:15" x14ac:dyDescent="0.25">
      <c r="A264">
        <v>263</v>
      </c>
      <c r="B264">
        <v>20020</v>
      </c>
      <c r="C264" t="s">
        <v>340</v>
      </c>
      <c r="O264"/>
    </row>
    <row r="265" spans="1:15" x14ac:dyDescent="0.25">
      <c r="A265">
        <v>264</v>
      </c>
      <c r="B265">
        <v>20000</v>
      </c>
      <c r="C265" t="s">
        <v>341</v>
      </c>
      <c r="O265"/>
    </row>
    <row r="266" spans="1:15" x14ac:dyDescent="0.25">
      <c r="A266">
        <v>265</v>
      </c>
      <c r="B266">
        <v>20000</v>
      </c>
      <c r="C266" t="s">
        <v>342</v>
      </c>
      <c r="O266"/>
    </row>
    <row r="267" spans="1:15" x14ac:dyDescent="0.25">
      <c r="A267">
        <v>266</v>
      </c>
      <c r="B267">
        <v>20000</v>
      </c>
      <c r="C267" t="s">
        <v>343</v>
      </c>
      <c r="O267"/>
    </row>
    <row r="268" spans="1:15" x14ac:dyDescent="0.25">
      <c r="A268">
        <v>267</v>
      </c>
      <c r="B268">
        <v>20020</v>
      </c>
      <c r="C268" t="s">
        <v>344</v>
      </c>
      <c r="O268"/>
    </row>
    <row r="269" spans="1:15" x14ac:dyDescent="0.25">
      <c r="A269">
        <v>268</v>
      </c>
      <c r="B269">
        <v>20000</v>
      </c>
      <c r="O269"/>
    </row>
    <row r="270" spans="1:15" x14ac:dyDescent="0.25">
      <c r="A270">
        <v>269</v>
      </c>
      <c r="B270">
        <v>20000</v>
      </c>
      <c r="C270" t="s">
        <v>345</v>
      </c>
      <c r="O270"/>
    </row>
    <row r="271" spans="1:15" x14ac:dyDescent="0.25">
      <c r="A271">
        <v>270</v>
      </c>
      <c r="B271">
        <v>19980</v>
      </c>
      <c r="C271" t="s">
        <v>346</v>
      </c>
      <c r="O271"/>
    </row>
    <row r="272" spans="1:15" x14ac:dyDescent="0.25">
      <c r="A272">
        <v>271</v>
      </c>
      <c r="B272">
        <v>20000</v>
      </c>
      <c r="C272" t="s">
        <v>347</v>
      </c>
      <c r="O272"/>
    </row>
    <row r="273" spans="1:15" x14ac:dyDescent="0.25">
      <c r="A273">
        <v>272</v>
      </c>
      <c r="B273">
        <v>20000</v>
      </c>
      <c r="C273" t="s">
        <v>348</v>
      </c>
      <c r="O273"/>
    </row>
    <row r="274" spans="1:15" x14ac:dyDescent="0.25">
      <c r="A274">
        <v>273</v>
      </c>
      <c r="B274">
        <v>20020</v>
      </c>
      <c r="C274" t="s">
        <v>349</v>
      </c>
      <c r="O274"/>
    </row>
    <row r="275" spans="1:15" x14ac:dyDescent="0.25">
      <c r="A275">
        <v>274</v>
      </c>
      <c r="B275">
        <v>20020</v>
      </c>
      <c r="C275" t="s">
        <v>350</v>
      </c>
      <c r="O275"/>
    </row>
    <row r="276" spans="1:15" x14ac:dyDescent="0.25">
      <c r="A276">
        <v>275</v>
      </c>
      <c r="B276">
        <v>20020</v>
      </c>
      <c r="C276" t="s">
        <v>351</v>
      </c>
      <c r="O276"/>
    </row>
    <row r="277" spans="1:15" x14ac:dyDescent="0.25">
      <c r="A277">
        <v>276</v>
      </c>
      <c r="B277">
        <v>20020</v>
      </c>
      <c r="C277" t="s">
        <v>352</v>
      </c>
      <c r="O277"/>
    </row>
    <row r="278" spans="1:15" x14ac:dyDescent="0.25">
      <c r="A278">
        <v>277</v>
      </c>
      <c r="B278">
        <v>20000</v>
      </c>
      <c r="C278" t="s">
        <v>353</v>
      </c>
      <c r="O278"/>
    </row>
    <row r="279" spans="1:15" x14ac:dyDescent="0.25">
      <c r="A279">
        <v>278</v>
      </c>
      <c r="B279">
        <v>20000</v>
      </c>
      <c r="C279" t="s">
        <v>354</v>
      </c>
      <c r="O279"/>
    </row>
    <row r="280" spans="1:15" x14ac:dyDescent="0.25">
      <c r="A280">
        <v>279</v>
      </c>
      <c r="B280">
        <v>20020</v>
      </c>
      <c r="C280" t="s">
        <v>355</v>
      </c>
      <c r="O280"/>
    </row>
    <row r="281" spans="1:15" x14ac:dyDescent="0.25">
      <c r="A281">
        <v>280</v>
      </c>
      <c r="B281">
        <v>20000</v>
      </c>
      <c r="C281" t="s">
        <v>356</v>
      </c>
      <c r="O281"/>
    </row>
    <row r="282" spans="1:15" x14ac:dyDescent="0.25">
      <c r="A282">
        <v>281</v>
      </c>
      <c r="B282">
        <v>19980</v>
      </c>
      <c r="C282" t="s">
        <v>357</v>
      </c>
      <c r="O282"/>
    </row>
    <row r="283" spans="1:15" x14ac:dyDescent="0.25">
      <c r="A283">
        <v>282</v>
      </c>
      <c r="B283">
        <v>20040</v>
      </c>
      <c r="C283" t="s">
        <v>358</v>
      </c>
      <c r="O283"/>
    </row>
    <row r="284" spans="1:15" x14ac:dyDescent="0.25">
      <c r="A284">
        <v>283</v>
      </c>
      <c r="B284">
        <v>19980</v>
      </c>
      <c r="C284" t="s">
        <v>359</v>
      </c>
      <c r="O284"/>
    </row>
    <row r="285" spans="1:15" x14ac:dyDescent="0.25">
      <c r="A285">
        <v>284</v>
      </c>
      <c r="B285">
        <v>20020</v>
      </c>
      <c r="C285" t="s">
        <v>360</v>
      </c>
      <c r="O285"/>
    </row>
    <row r="286" spans="1:15" x14ac:dyDescent="0.25">
      <c r="A286">
        <v>285</v>
      </c>
      <c r="B286">
        <v>20020</v>
      </c>
      <c r="C286" t="s">
        <v>361</v>
      </c>
      <c r="O286"/>
    </row>
    <row r="287" spans="1:15" x14ac:dyDescent="0.25">
      <c r="A287">
        <v>286</v>
      </c>
      <c r="B287">
        <v>20040</v>
      </c>
      <c r="C287" t="s">
        <v>362</v>
      </c>
      <c r="O287"/>
    </row>
    <row r="288" spans="1:15" x14ac:dyDescent="0.25">
      <c r="A288">
        <v>287</v>
      </c>
      <c r="B288">
        <v>20020</v>
      </c>
      <c r="C288" t="s">
        <v>363</v>
      </c>
      <c r="O288"/>
    </row>
    <row r="289" spans="1:15" x14ac:dyDescent="0.25">
      <c r="A289">
        <v>288</v>
      </c>
      <c r="B289">
        <v>20020</v>
      </c>
      <c r="C289" t="s">
        <v>364</v>
      </c>
      <c r="O289"/>
    </row>
    <row r="290" spans="1:15" x14ac:dyDescent="0.25">
      <c r="A290">
        <v>289</v>
      </c>
      <c r="B290">
        <v>20000</v>
      </c>
      <c r="C290" t="s">
        <v>365</v>
      </c>
      <c r="O290"/>
    </row>
    <row r="291" spans="1:15" x14ac:dyDescent="0.25">
      <c r="A291">
        <v>290</v>
      </c>
      <c r="B291">
        <v>20000</v>
      </c>
      <c r="C291" t="s">
        <v>366</v>
      </c>
      <c r="O291"/>
    </row>
    <row r="292" spans="1:15" x14ac:dyDescent="0.25">
      <c r="A292">
        <v>291</v>
      </c>
      <c r="B292">
        <v>20020</v>
      </c>
      <c r="C292" t="s">
        <v>367</v>
      </c>
      <c r="O292"/>
    </row>
    <row r="293" spans="1:15" x14ac:dyDescent="0.25">
      <c r="A293">
        <v>292</v>
      </c>
      <c r="B293">
        <v>20000</v>
      </c>
      <c r="C293" t="s">
        <v>368</v>
      </c>
      <c r="O293"/>
    </row>
    <row r="294" spans="1:15" x14ac:dyDescent="0.25">
      <c r="A294">
        <v>293</v>
      </c>
      <c r="B294">
        <v>19980</v>
      </c>
      <c r="C294" t="s">
        <v>369</v>
      </c>
      <c r="O294"/>
    </row>
    <row r="295" spans="1:15" x14ac:dyDescent="0.25">
      <c r="A295">
        <v>294</v>
      </c>
      <c r="B295">
        <v>20020</v>
      </c>
      <c r="C295" t="s">
        <v>370</v>
      </c>
      <c r="O295"/>
    </row>
    <row r="296" spans="1:15" x14ac:dyDescent="0.25">
      <c r="A296">
        <v>295</v>
      </c>
      <c r="B296">
        <v>19980</v>
      </c>
      <c r="C296" t="s">
        <v>371</v>
      </c>
      <c r="O296"/>
    </row>
    <row r="297" spans="1:15" x14ac:dyDescent="0.25">
      <c r="A297">
        <v>296</v>
      </c>
      <c r="B297">
        <v>19980</v>
      </c>
      <c r="C297" t="s">
        <v>372</v>
      </c>
      <c r="O297"/>
    </row>
    <row r="298" spans="1:15" x14ac:dyDescent="0.25">
      <c r="A298">
        <v>297</v>
      </c>
      <c r="B298">
        <v>20000</v>
      </c>
      <c r="C298" t="s">
        <v>373</v>
      </c>
      <c r="O298"/>
    </row>
    <row r="299" spans="1:15" x14ac:dyDescent="0.25">
      <c r="A299">
        <v>298</v>
      </c>
      <c r="B299">
        <v>20000</v>
      </c>
      <c r="C299" t="s">
        <v>374</v>
      </c>
      <c r="O299"/>
    </row>
    <row r="300" spans="1:15" x14ac:dyDescent="0.25">
      <c r="A300">
        <v>299</v>
      </c>
      <c r="B300">
        <v>20020</v>
      </c>
      <c r="C300" t="s">
        <v>375</v>
      </c>
      <c r="O300"/>
    </row>
    <row r="301" spans="1:15" x14ac:dyDescent="0.25">
      <c r="A301">
        <v>300</v>
      </c>
      <c r="B301">
        <v>20020</v>
      </c>
      <c r="C301" t="s">
        <v>376</v>
      </c>
      <c r="O301"/>
    </row>
    <row r="302" spans="1:15" x14ac:dyDescent="0.25">
      <c r="A302">
        <v>301</v>
      </c>
      <c r="B302">
        <v>20020</v>
      </c>
      <c r="C302" t="s">
        <v>377</v>
      </c>
      <c r="O302"/>
    </row>
    <row r="303" spans="1:15" x14ac:dyDescent="0.25">
      <c r="A303">
        <v>302</v>
      </c>
      <c r="B303">
        <v>20000</v>
      </c>
      <c r="C303" t="s">
        <v>378</v>
      </c>
      <c r="O303"/>
    </row>
    <row r="304" spans="1:15" x14ac:dyDescent="0.25">
      <c r="A304">
        <v>303</v>
      </c>
      <c r="B304">
        <v>20040</v>
      </c>
      <c r="C304" t="s">
        <v>379</v>
      </c>
      <c r="O304"/>
    </row>
    <row r="305" spans="1:15" x14ac:dyDescent="0.25">
      <c r="A305">
        <v>304</v>
      </c>
      <c r="B305">
        <v>19980</v>
      </c>
      <c r="C305" t="s">
        <v>380</v>
      </c>
      <c r="O305"/>
    </row>
    <row r="306" spans="1:15" x14ac:dyDescent="0.25">
      <c r="A306">
        <v>305</v>
      </c>
      <c r="B306">
        <v>20060</v>
      </c>
      <c r="C306" t="s">
        <v>381</v>
      </c>
      <c r="O306"/>
    </row>
    <row r="307" spans="1:15" x14ac:dyDescent="0.25">
      <c r="A307">
        <v>306</v>
      </c>
      <c r="B307">
        <v>20000</v>
      </c>
      <c r="C307" t="s">
        <v>382</v>
      </c>
      <c r="O307"/>
    </row>
    <row r="308" spans="1:15" x14ac:dyDescent="0.25">
      <c r="A308">
        <v>307</v>
      </c>
      <c r="B308">
        <v>20000</v>
      </c>
      <c r="C308" t="s">
        <v>383</v>
      </c>
      <c r="O308"/>
    </row>
    <row r="309" spans="1:15" x14ac:dyDescent="0.25">
      <c r="A309">
        <v>308</v>
      </c>
      <c r="B309">
        <v>20020</v>
      </c>
      <c r="C309" t="s">
        <v>384</v>
      </c>
      <c r="O309"/>
    </row>
    <row r="310" spans="1:15" x14ac:dyDescent="0.25">
      <c r="A310">
        <v>309</v>
      </c>
      <c r="B310">
        <v>20000</v>
      </c>
      <c r="C310" t="s">
        <v>385</v>
      </c>
      <c r="O310"/>
    </row>
    <row r="311" spans="1:15" x14ac:dyDescent="0.25">
      <c r="A311">
        <v>310</v>
      </c>
      <c r="B311">
        <v>20040</v>
      </c>
      <c r="C311" t="s">
        <v>386</v>
      </c>
      <c r="O311"/>
    </row>
    <row r="312" spans="1:15" x14ac:dyDescent="0.25">
      <c r="A312">
        <v>311</v>
      </c>
      <c r="B312">
        <v>20000</v>
      </c>
      <c r="C312" t="s">
        <v>387</v>
      </c>
      <c r="O312"/>
    </row>
    <row r="313" spans="1:15" x14ac:dyDescent="0.25">
      <c r="A313">
        <v>312</v>
      </c>
      <c r="B313">
        <v>19980</v>
      </c>
      <c r="C313" t="s">
        <v>388</v>
      </c>
      <c r="O313"/>
    </row>
    <row r="314" spans="1:15" x14ac:dyDescent="0.25">
      <c r="A314">
        <v>313</v>
      </c>
      <c r="B314">
        <v>20000</v>
      </c>
      <c r="C314" t="s">
        <v>389</v>
      </c>
      <c r="O314"/>
    </row>
    <row r="315" spans="1:15" x14ac:dyDescent="0.25">
      <c r="A315">
        <v>314</v>
      </c>
      <c r="B315">
        <v>20020</v>
      </c>
      <c r="C315" t="s">
        <v>390</v>
      </c>
      <c r="O315"/>
    </row>
    <row r="316" spans="1:15" x14ac:dyDescent="0.25">
      <c r="A316">
        <v>315</v>
      </c>
      <c r="B316">
        <v>20020</v>
      </c>
      <c r="C316" t="s">
        <v>391</v>
      </c>
      <c r="O316"/>
    </row>
    <row r="317" spans="1:15" x14ac:dyDescent="0.25">
      <c r="A317">
        <v>316</v>
      </c>
      <c r="B317">
        <v>20000</v>
      </c>
      <c r="C317" t="s">
        <v>392</v>
      </c>
      <c r="O317"/>
    </row>
    <row r="318" spans="1:15" x14ac:dyDescent="0.25">
      <c r="A318">
        <v>317</v>
      </c>
      <c r="B318">
        <v>20000</v>
      </c>
      <c r="C318" t="s">
        <v>393</v>
      </c>
      <c r="O318"/>
    </row>
    <row r="319" spans="1:15" x14ac:dyDescent="0.25">
      <c r="A319">
        <v>318</v>
      </c>
      <c r="B319">
        <v>20040</v>
      </c>
      <c r="C319" t="s">
        <v>394</v>
      </c>
      <c r="O319"/>
    </row>
    <row r="320" spans="1:15" x14ac:dyDescent="0.25">
      <c r="A320">
        <v>319</v>
      </c>
      <c r="B320">
        <v>19980</v>
      </c>
      <c r="C320" t="s">
        <v>395</v>
      </c>
      <c r="O320"/>
    </row>
    <row r="321" spans="1:15" x14ac:dyDescent="0.25">
      <c r="A321">
        <v>320</v>
      </c>
      <c r="B321">
        <v>20040</v>
      </c>
      <c r="C321" t="s">
        <v>396</v>
      </c>
      <c r="O321"/>
    </row>
    <row r="322" spans="1:15" x14ac:dyDescent="0.25">
      <c r="A322">
        <v>321</v>
      </c>
      <c r="B322">
        <v>20040</v>
      </c>
      <c r="C322" t="s">
        <v>397</v>
      </c>
      <c r="O322"/>
    </row>
    <row r="323" spans="1:15" x14ac:dyDescent="0.25">
      <c r="A323">
        <v>322</v>
      </c>
      <c r="B323">
        <v>19980</v>
      </c>
      <c r="C323" t="s">
        <v>398</v>
      </c>
      <c r="O323"/>
    </row>
    <row r="324" spans="1:15" x14ac:dyDescent="0.25">
      <c r="A324">
        <v>323</v>
      </c>
      <c r="B324">
        <v>20020</v>
      </c>
      <c r="C324" t="s">
        <v>399</v>
      </c>
      <c r="O324"/>
    </row>
    <row r="325" spans="1:15" x14ac:dyDescent="0.25">
      <c r="A325">
        <v>324</v>
      </c>
      <c r="B325">
        <v>20020</v>
      </c>
      <c r="C325" t="s">
        <v>400</v>
      </c>
      <c r="O325"/>
    </row>
    <row r="326" spans="1:15" x14ac:dyDescent="0.25">
      <c r="A326">
        <v>325</v>
      </c>
      <c r="B326">
        <v>20020</v>
      </c>
      <c r="C326" t="s">
        <v>401</v>
      </c>
      <c r="O326"/>
    </row>
    <row r="327" spans="1:15" x14ac:dyDescent="0.25">
      <c r="A327">
        <v>326</v>
      </c>
      <c r="B327">
        <v>20020</v>
      </c>
      <c r="C327" t="s">
        <v>402</v>
      </c>
      <c r="O327"/>
    </row>
    <row r="328" spans="1:15" x14ac:dyDescent="0.25">
      <c r="A328">
        <v>327</v>
      </c>
      <c r="B328">
        <v>20000</v>
      </c>
      <c r="C328" t="s">
        <v>403</v>
      </c>
      <c r="O328"/>
    </row>
    <row r="329" spans="1:15" x14ac:dyDescent="0.25">
      <c r="A329">
        <v>328</v>
      </c>
      <c r="B329">
        <v>20000</v>
      </c>
      <c r="C329" t="s">
        <v>404</v>
      </c>
      <c r="O329"/>
    </row>
    <row r="330" spans="1:15" x14ac:dyDescent="0.25">
      <c r="A330">
        <v>329</v>
      </c>
      <c r="B330">
        <v>19980</v>
      </c>
      <c r="C330" t="s">
        <v>405</v>
      </c>
      <c r="O330"/>
    </row>
    <row r="331" spans="1:15" x14ac:dyDescent="0.25">
      <c r="A331">
        <v>330</v>
      </c>
      <c r="B331">
        <v>19980</v>
      </c>
      <c r="C331" t="s">
        <v>406</v>
      </c>
      <c r="O331"/>
    </row>
    <row r="332" spans="1:15" x14ac:dyDescent="0.25">
      <c r="A332">
        <v>331</v>
      </c>
      <c r="B332">
        <v>19980</v>
      </c>
      <c r="C332" t="s">
        <v>407</v>
      </c>
      <c r="O332"/>
    </row>
    <row r="333" spans="1:15" x14ac:dyDescent="0.25">
      <c r="A333">
        <v>332</v>
      </c>
      <c r="B333">
        <v>20040</v>
      </c>
      <c r="C333" t="s">
        <v>408</v>
      </c>
      <c r="O333"/>
    </row>
    <row r="334" spans="1:15" x14ac:dyDescent="0.25">
      <c r="A334">
        <v>333</v>
      </c>
      <c r="B334">
        <v>20000</v>
      </c>
      <c r="C334" t="s">
        <v>409</v>
      </c>
      <c r="O334"/>
    </row>
    <row r="335" spans="1:15" x14ac:dyDescent="0.25">
      <c r="A335">
        <v>334</v>
      </c>
      <c r="B335">
        <v>20020</v>
      </c>
      <c r="C335" t="s">
        <v>410</v>
      </c>
      <c r="O335"/>
    </row>
    <row r="336" spans="1:15" x14ac:dyDescent="0.25">
      <c r="A336">
        <v>335</v>
      </c>
      <c r="B336">
        <v>20000</v>
      </c>
      <c r="C336" t="s">
        <v>411</v>
      </c>
      <c r="O336"/>
    </row>
    <row r="337" spans="1:15" x14ac:dyDescent="0.25">
      <c r="A337">
        <v>336</v>
      </c>
      <c r="B337">
        <v>20020</v>
      </c>
      <c r="C337" t="s">
        <v>412</v>
      </c>
      <c r="O337"/>
    </row>
    <row r="338" spans="1:15" x14ac:dyDescent="0.25">
      <c r="A338">
        <v>337</v>
      </c>
      <c r="B338">
        <v>20000</v>
      </c>
      <c r="C338" t="s">
        <v>413</v>
      </c>
      <c r="O338"/>
    </row>
    <row r="339" spans="1:15" x14ac:dyDescent="0.25">
      <c r="A339">
        <v>338</v>
      </c>
      <c r="B339">
        <v>20000</v>
      </c>
      <c r="C339" t="s">
        <v>414</v>
      </c>
      <c r="O339"/>
    </row>
    <row r="340" spans="1:15" x14ac:dyDescent="0.25">
      <c r="A340">
        <v>339</v>
      </c>
      <c r="B340">
        <v>20040</v>
      </c>
      <c r="C340" t="s">
        <v>415</v>
      </c>
      <c r="O340"/>
    </row>
    <row r="341" spans="1:15" x14ac:dyDescent="0.25">
      <c r="A341">
        <v>340</v>
      </c>
      <c r="B341">
        <v>20000</v>
      </c>
      <c r="C341" t="s">
        <v>416</v>
      </c>
      <c r="O341"/>
    </row>
    <row r="342" spans="1:15" x14ac:dyDescent="0.25">
      <c r="A342">
        <v>341</v>
      </c>
      <c r="B342">
        <v>20020</v>
      </c>
      <c r="C342" t="s">
        <v>417</v>
      </c>
      <c r="O342"/>
    </row>
    <row r="343" spans="1:15" x14ac:dyDescent="0.25">
      <c r="A343">
        <v>342</v>
      </c>
      <c r="B343">
        <v>20020</v>
      </c>
      <c r="C343" t="s">
        <v>418</v>
      </c>
      <c r="O343"/>
    </row>
    <row r="344" spans="1:15" x14ac:dyDescent="0.25">
      <c r="A344">
        <v>343</v>
      </c>
      <c r="B344">
        <v>20000</v>
      </c>
      <c r="C344" t="s">
        <v>419</v>
      </c>
      <c r="O344"/>
    </row>
    <row r="345" spans="1:15" x14ac:dyDescent="0.25">
      <c r="A345">
        <v>344</v>
      </c>
      <c r="B345">
        <v>20000</v>
      </c>
      <c r="C345" t="s">
        <v>420</v>
      </c>
      <c r="O345"/>
    </row>
    <row r="346" spans="1:15" x14ac:dyDescent="0.25">
      <c r="A346">
        <v>345</v>
      </c>
      <c r="B346">
        <v>20020</v>
      </c>
      <c r="C346" t="s">
        <v>421</v>
      </c>
      <c r="O346"/>
    </row>
    <row r="347" spans="1:15" x14ac:dyDescent="0.25">
      <c r="A347">
        <v>346</v>
      </c>
      <c r="B347">
        <v>20000</v>
      </c>
      <c r="C347" t="s">
        <v>422</v>
      </c>
      <c r="O347"/>
    </row>
    <row r="348" spans="1:15" x14ac:dyDescent="0.25">
      <c r="A348">
        <v>347</v>
      </c>
      <c r="B348">
        <v>20000</v>
      </c>
      <c r="O348"/>
    </row>
    <row r="349" spans="1:15" x14ac:dyDescent="0.25">
      <c r="A349">
        <v>348</v>
      </c>
      <c r="B349">
        <v>20000</v>
      </c>
      <c r="C349" t="s">
        <v>423</v>
      </c>
      <c r="O349"/>
    </row>
    <row r="350" spans="1:15" x14ac:dyDescent="0.25">
      <c r="A350">
        <v>349</v>
      </c>
      <c r="B350">
        <v>20020</v>
      </c>
      <c r="C350" t="s">
        <v>424</v>
      </c>
      <c r="O350"/>
    </row>
    <row r="351" spans="1:15" x14ac:dyDescent="0.25">
      <c r="A351">
        <v>350</v>
      </c>
      <c r="B351">
        <v>20000</v>
      </c>
      <c r="C351" t="s">
        <v>425</v>
      </c>
      <c r="O351"/>
    </row>
    <row r="352" spans="1:15" x14ac:dyDescent="0.25">
      <c r="A352">
        <v>351</v>
      </c>
      <c r="B352">
        <v>20020</v>
      </c>
      <c r="C352" t="s">
        <v>426</v>
      </c>
      <c r="O352"/>
    </row>
    <row r="353" spans="1:15" x14ac:dyDescent="0.25">
      <c r="A353">
        <v>352</v>
      </c>
      <c r="B353">
        <v>20000</v>
      </c>
      <c r="C353" t="s">
        <v>427</v>
      </c>
      <c r="O353"/>
    </row>
    <row r="354" spans="1:15" x14ac:dyDescent="0.25">
      <c r="A354">
        <v>353</v>
      </c>
      <c r="B354">
        <v>20020</v>
      </c>
      <c r="C354" t="s">
        <v>428</v>
      </c>
      <c r="O354"/>
    </row>
    <row r="355" spans="1:15" x14ac:dyDescent="0.25">
      <c r="A355">
        <v>354</v>
      </c>
      <c r="B355">
        <v>20000</v>
      </c>
      <c r="C355" t="s">
        <v>429</v>
      </c>
      <c r="O355"/>
    </row>
    <row r="356" spans="1:15" x14ac:dyDescent="0.25">
      <c r="A356">
        <v>355</v>
      </c>
      <c r="B356">
        <v>20000</v>
      </c>
      <c r="C356" t="s">
        <v>430</v>
      </c>
      <c r="O356"/>
    </row>
    <row r="357" spans="1:15" x14ac:dyDescent="0.25">
      <c r="A357">
        <v>356</v>
      </c>
      <c r="B357">
        <v>20020</v>
      </c>
      <c r="C357" t="s">
        <v>431</v>
      </c>
      <c r="O357"/>
    </row>
    <row r="358" spans="1:15" x14ac:dyDescent="0.25">
      <c r="A358">
        <v>357</v>
      </c>
      <c r="B358">
        <v>20020</v>
      </c>
      <c r="C358" t="s">
        <v>432</v>
      </c>
      <c r="O358"/>
    </row>
    <row r="359" spans="1:15" x14ac:dyDescent="0.25">
      <c r="A359">
        <v>358</v>
      </c>
      <c r="B359">
        <v>20000</v>
      </c>
      <c r="O359"/>
    </row>
    <row r="360" spans="1:15" x14ac:dyDescent="0.25">
      <c r="A360">
        <v>359</v>
      </c>
      <c r="B360">
        <v>20020</v>
      </c>
      <c r="C360" t="s">
        <v>433</v>
      </c>
      <c r="O360"/>
    </row>
    <row r="361" spans="1:15" x14ac:dyDescent="0.25">
      <c r="A361">
        <v>360</v>
      </c>
      <c r="B361">
        <v>20000</v>
      </c>
      <c r="C361" t="s">
        <v>434</v>
      </c>
      <c r="O361"/>
    </row>
    <row r="362" spans="1:15" x14ac:dyDescent="0.25">
      <c r="A362">
        <v>361</v>
      </c>
      <c r="B362">
        <v>19980</v>
      </c>
      <c r="C362" t="s">
        <v>435</v>
      </c>
      <c r="O362"/>
    </row>
    <row r="363" spans="1:15" x14ac:dyDescent="0.25">
      <c r="A363">
        <v>362</v>
      </c>
      <c r="B363">
        <v>20020</v>
      </c>
      <c r="C363" t="s">
        <v>436</v>
      </c>
      <c r="O363"/>
    </row>
    <row r="364" spans="1:15" x14ac:dyDescent="0.25">
      <c r="A364">
        <v>363</v>
      </c>
      <c r="B364">
        <v>19980</v>
      </c>
      <c r="C364" t="s">
        <v>437</v>
      </c>
      <c r="O364"/>
    </row>
    <row r="365" spans="1:15" x14ac:dyDescent="0.25">
      <c r="A365">
        <v>364</v>
      </c>
      <c r="B365">
        <v>20000</v>
      </c>
      <c r="C365" t="s">
        <v>438</v>
      </c>
      <c r="O365"/>
    </row>
    <row r="366" spans="1:15" x14ac:dyDescent="0.25">
      <c r="A366">
        <v>365</v>
      </c>
      <c r="B366">
        <v>20020</v>
      </c>
      <c r="C366" t="s">
        <v>439</v>
      </c>
      <c r="O366"/>
    </row>
    <row r="367" spans="1:15" x14ac:dyDescent="0.25">
      <c r="A367">
        <v>366</v>
      </c>
      <c r="B367">
        <v>20000</v>
      </c>
      <c r="O367"/>
    </row>
    <row r="368" spans="1:15" x14ac:dyDescent="0.25">
      <c r="A368">
        <v>367</v>
      </c>
      <c r="B368">
        <v>20000</v>
      </c>
      <c r="C368" t="s">
        <v>440</v>
      </c>
      <c r="O368"/>
    </row>
    <row r="369" spans="1:15" x14ac:dyDescent="0.25">
      <c r="A369">
        <v>368</v>
      </c>
      <c r="B369">
        <v>20000</v>
      </c>
      <c r="C369" t="s">
        <v>441</v>
      </c>
      <c r="O369"/>
    </row>
    <row r="370" spans="1:15" x14ac:dyDescent="0.25">
      <c r="A370">
        <v>369</v>
      </c>
      <c r="B370">
        <v>20020</v>
      </c>
      <c r="C370" t="s">
        <v>442</v>
      </c>
      <c r="O370"/>
    </row>
    <row r="371" spans="1:15" x14ac:dyDescent="0.25">
      <c r="A371">
        <v>370</v>
      </c>
      <c r="B371">
        <v>20000</v>
      </c>
      <c r="C371" t="s">
        <v>443</v>
      </c>
      <c r="O371"/>
    </row>
    <row r="372" spans="1:15" x14ac:dyDescent="0.25">
      <c r="A372">
        <v>371</v>
      </c>
      <c r="B372">
        <v>20000</v>
      </c>
      <c r="C372" t="s">
        <v>444</v>
      </c>
      <c r="O372"/>
    </row>
    <row r="373" spans="1:15" x14ac:dyDescent="0.25">
      <c r="A373">
        <v>372</v>
      </c>
      <c r="B373">
        <v>20000</v>
      </c>
      <c r="C373" t="s">
        <v>445</v>
      </c>
      <c r="O373"/>
    </row>
    <row r="374" spans="1:15" x14ac:dyDescent="0.25">
      <c r="A374">
        <v>373</v>
      </c>
      <c r="B374">
        <v>20020</v>
      </c>
      <c r="C374" t="s">
        <v>446</v>
      </c>
      <c r="O374"/>
    </row>
    <row r="375" spans="1:15" x14ac:dyDescent="0.25">
      <c r="A375">
        <v>374</v>
      </c>
      <c r="B375">
        <v>19980</v>
      </c>
      <c r="C375" t="s">
        <v>447</v>
      </c>
      <c r="O375"/>
    </row>
    <row r="376" spans="1:15" x14ac:dyDescent="0.25">
      <c r="A376">
        <v>375</v>
      </c>
      <c r="B376">
        <v>19980</v>
      </c>
      <c r="C376" t="s">
        <v>448</v>
      </c>
      <c r="O376"/>
    </row>
    <row r="377" spans="1:15" x14ac:dyDescent="0.25">
      <c r="A377">
        <v>376</v>
      </c>
      <c r="B377">
        <v>20020</v>
      </c>
      <c r="C377" t="s">
        <v>449</v>
      </c>
      <c r="O377"/>
    </row>
    <row r="378" spans="1:15" x14ac:dyDescent="0.25">
      <c r="A378">
        <v>377</v>
      </c>
      <c r="B378">
        <v>20020</v>
      </c>
      <c r="C378" t="s">
        <v>450</v>
      </c>
      <c r="O378"/>
    </row>
    <row r="379" spans="1:15" x14ac:dyDescent="0.25">
      <c r="A379">
        <v>378</v>
      </c>
      <c r="B379">
        <v>19980</v>
      </c>
      <c r="C379" t="s">
        <v>451</v>
      </c>
      <c r="O379"/>
    </row>
    <row r="380" spans="1:15" x14ac:dyDescent="0.25">
      <c r="A380">
        <v>379</v>
      </c>
      <c r="B380">
        <v>20000</v>
      </c>
      <c r="C380" t="s">
        <v>452</v>
      </c>
      <c r="O380"/>
    </row>
    <row r="381" spans="1:15" x14ac:dyDescent="0.25">
      <c r="A381">
        <v>380</v>
      </c>
      <c r="B381">
        <v>20000</v>
      </c>
      <c r="C381" t="s">
        <v>453</v>
      </c>
      <c r="O381"/>
    </row>
    <row r="382" spans="1:15" x14ac:dyDescent="0.25">
      <c r="A382">
        <v>381</v>
      </c>
      <c r="B382">
        <v>20000</v>
      </c>
      <c r="C382" t="s">
        <v>454</v>
      </c>
      <c r="O382"/>
    </row>
    <row r="383" spans="1:15" x14ac:dyDescent="0.25">
      <c r="A383">
        <v>382</v>
      </c>
      <c r="B383">
        <v>20000</v>
      </c>
      <c r="C383" t="s">
        <v>455</v>
      </c>
      <c r="O383"/>
    </row>
    <row r="384" spans="1:15" x14ac:dyDescent="0.25">
      <c r="A384">
        <v>383</v>
      </c>
      <c r="B384">
        <v>20000</v>
      </c>
      <c r="C384" t="s">
        <v>456</v>
      </c>
      <c r="O384"/>
    </row>
    <row r="385" spans="1:15" x14ac:dyDescent="0.25">
      <c r="A385">
        <v>384</v>
      </c>
      <c r="B385">
        <v>20000</v>
      </c>
      <c r="C385" t="s">
        <v>457</v>
      </c>
      <c r="O385"/>
    </row>
    <row r="386" spans="1:15" x14ac:dyDescent="0.25">
      <c r="A386">
        <v>385</v>
      </c>
      <c r="B386">
        <v>20000</v>
      </c>
      <c r="C386" t="s">
        <v>458</v>
      </c>
      <c r="O386"/>
    </row>
    <row r="387" spans="1:15" x14ac:dyDescent="0.25">
      <c r="A387">
        <v>386</v>
      </c>
      <c r="B387">
        <v>20000</v>
      </c>
      <c r="C387" t="s">
        <v>459</v>
      </c>
      <c r="O387"/>
    </row>
    <row r="388" spans="1:15" x14ac:dyDescent="0.25">
      <c r="A388">
        <v>387</v>
      </c>
      <c r="B388">
        <v>20020</v>
      </c>
      <c r="C388" t="s">
        <v>460</v>
      </c>
      <c r="O388"/>
    </row>
    <row r="389" spans="1:15" x14ac:dyDescent="0.25">
      <c r="A389">
        <v>388</v>
      </c>
      <c r="B389">
        <v>19980</v>
      </c>
      <c r="C389" t="s">
        <v>461</v>
      </c>
      <c r="O389"/>
    </row>
    <row r="390" spans="1:15" x14ac:dyDescent="0.25">
      <c r="A390">
        <v>389</v>
      </c>
      <c r="B390">
        <v>19980</v>
      </c>
      <c r="C390" t="s">
        <v>462</v>
      </c>
      <c r="O390"/>
    </row>
    <row r="391" spans="1:15" x14ac:dyDescent="0.25">
      <c r="A391">
        <v>390</v>
      </c>
      <c r="B391">
        <v>20000</v>
      </c>
      <c r="C391" t="s">
        <v>463</v>
      </c>
      <c r="O391"/>
    </row>
    <row r="392" spans="1:15" x14ac:dyDescent="0.25">
      <c r="A392">
        <v>391</v>
      </c>
      <c r="B392">
        <v>19980</v>
      </c>
      <c r="C392" t="s">
        <v>464</v>
      </c>
      <c r="O392"/>
    </row>
    <row r="393" spans="1:15" x14ac:dyDescent="0.25">
      <c r="A393">
        <v>392</v>
      </c>
      <c r="B393">
        <v>20020</v>
      </c>
      <c r="C393" t="s">
        <v>465</v>
      </c>
      <c r="O393"/>
    </row>
    <row r="394" spans="1:15" x14ac:dyDescent="0.25">
      <c r="A394">
        <v>393</v>
      </c>
      <c r="B394">
        <v>20000</v>
      </c>
      <c r="C394" t="s">
        <v>466</v>
      </c>
      <c r="O394"/>
    </row>
    <row r="395" spans="1:15" x14ac:dyDescent="0.25">
      <c r="A395">
        <v>394</v>
      </c>
      <c r="B395">
        <v>20020</v>
      </c>
      <c r="C395" t="s">
        <v>467</v>
      </c>
      <c r="O395"/>
    </row>
    <row r="396" spans="1:15" x14ac:dyDescent="0.25">
      <c r="A396">
        <v>395</v>
      </c>
      <c r="B396">
        <v>20020</v>
      </c>
      <c r="C396" t="s">
        <v>468</v>
      </c>
      <c r="O396"/>
    </row>
    <row r="397" spans="1:15" x14ac:dyDescent="0.25">
      <c r="A397">
        <v>396</v>
      </c>
      <c r="B397">
        <v>20000</v>
      </c>
      <c r="C397" t="s">
        <v>469</v>
      </c>
      <c r="O397"/>
    </row>
    <row r="398" spans="1:15" x14ac:dyDescent="0.25">
      <c r="A398">
        <v>397</v>
      </c>
      <c r="B398">
        <v>20000</v>
      </c>
      <c r="C398" t="s">
        <v>470</v>
      </c>
      <c r="O398"/>
    </row>
    <row r="399" spans="1:15" x14ac:dyDescent="0.25">
      <c r="A399">
        <v>398</v>
      </c>
      <c r="B399">
        <v>20000</v>
      </c>
      <c r="C399" t="s">
        <v>471</v>
      </c>
      <c r="O399"/>
    </row>
    <row r="400" spans="1:15" x14ac:dyDescent="0.25">
      <c r="A400">
        <v>399</v>
      </c>
      <c r="B400">
        <v>20000</v>
      </c>
      <c r="C400" t="s">
        <v>472</v>
      </c>
      <c r="O400"/>
    </row>
    <row r="401" spans="1:15" x14ac:dyDescent="0.25">
      <c r="A401">
        <v>400</v>
      </c>
      <c r="B401">
        <v>20020</v>
      </c>
      <c r="C401" t="s">
        <v>473</v>
      </c>
      <c r="O401"/>
    </row>
    <row r="402" spans="1:15" x14ac:dyDescent="0.25">
      <c r="A402">
        <v>401</v>
      </c>
      <c r="B402">
        <v>20020</v>
      </c>
      <c r="C402" t="s">
        <v>474</v>
      </c>
      <c r="O402"/>
    </row>
    <row r="403" spans="1:15" x14ac:dyDescent="0.25">
      <c r="A403">
        <v>402</v>
      </c>
      <c r="B403">
        <v>19980</v>
      </c>
      <c r="C403" t="s">
        <v>475</v>
      </c>
      <c r="O403"/>
    </row>
    <row r="404" spans="1:15" x14ac:dyDescent="0.25">
      <c r="A404">
        <v>403</v>
      </c>
      <c r="B404">
        <v>20020</v>
      </c>
      <c r="C404" t="s">
        <v>476</v>
      </c>
      <c r="O404"/>
    </row>
    <row r="405" spans="1:15" x14ac:dyDescent="0.25">
      <c r="A405">
        <v>404</v>
      </c>
      <c r="B405">
        <v>19980</v>
      </c>
      <c r="C405" t="s">
        <v>477</v>
      </c>
      <c r="O405"/>
    </row>
    <row r="406" spans="1:15" x14ac:dyDescent="0.25">
      <c r="A406">
        <v>405</v>
      </c>
      <c r="B406">
        <v>20020</v>
      </c>
      <c r="C406" t="s">
        <v>478</v>
      </c>
      <c r="O406"/>
    </row>
    <row r="407" spans="1:15" x14ac:dyDescent="0.25">
      <c r="A407">
        <v>406</v>
      </c>
      <c r="B407">
        <v>19980</v>
      </c>
      <c r="C407" t="s">
        <v>479</v>
      </c>
      <c r="O407"/>
    </row>
    <row r="408" spans="1:15" x14ac:dyDescent="0.25">
      <c r="A408">
        <v>407</v>
      </c>
      <c r="B408">
        <v>20000</v>
      </c>
      <c r="C408" t="s">
        <v>480</v>
      </c>
      <c r="O408"/>
    </row>
    <row r="409" spans="1:15" x14ac:dyDescent="0.25">
      <c r="A409">
        <v>408</v>
      </c>
      <c r="B409">
        <v>19980</v>
      </c>
      <c r="C409" t="s">
        <v>481</v>
      </c>
      <c r="O409"/>
    </row>
    <row r="410" spans="1:15" x14ac:dyDescent="0.25">
      <c r="A410">
        <v>409</v>
      </c>
      <c r="B410">
        <v>20000</v>
      </c>
      <c r="C410" t="s">
        <v>482</v>
      </c>
      <c r="O410"/>
    </row>
    <row r="411" spans="1:15" x14ac:dyDescent="0.25">
      <c r="A411">
        <v>410</v>
      </c>
      <c r="B411">
        <v>19980</v>
      </c>
      <c r="C411" t="s">
        <v>483</v>
      </c>
      <c r="O411"/>
    </row>
    <row r="412" spans="1:15" x14ac:dyDescent="0.25">
      <c r="A412">
        <v>411</v>
      </c>
      <c r="B412">
        <v>20000</v>
      </c>
      <c r="C412" t="s">
        <v>484</v>
      </c>
      <c r="O412"/>
    </row>
    <row r="413" spans="1:15" x14ac:dyDescent="0.25">
      <c r="A413">
        <v>412</v>
      </c>
      <c r="B413">
        <v>20000</v>
      </c>
      <c r="C413" t="s">
        <v>485</v>
      </c>
      <c r="O413"/>
    </row>
    <row r="414" spans="1:15" x14ac:dyDescent="0.25">
      <c r="A414">
        <v>413</v>
      </c>
      <c r="B414">
        <v>20020</v>
      </c>
      <c r="C414" t="s">
        <v>486</v>
      </c>
      <c r="O414"/>
    </row>
    <row r="415" spans="1:15" x14ac:dyDescent="0.25">
      <c r="A415">
        <v>414</v>
      </c>
      <c r="B415">
        <v>20000</v>
      </c>
      <c r="C415" t="s">
        <v>487</v>
      </c>
      <c r="O415"/>
    </row>
    <row r="416" spans="1:15" x14ac:dyDescent="0.25">
      <c r="A416">
        <v>415</v>
      </c>
      <c r="B416">
        <v>20000</v>
      </c>
      <c r="O416"/>
    </row>
    <row r="417" spans="1:15" x14ac:dyDescent="0.25">
      <c r="A417">
        <v>416</v>
      </c>
      <c r="B417">
        <v>19980</v>
      </c>
      <c r="C417" t="s">
        <v>488</v>
      </c>
      <c r="O417"/>
    </row>
    <row r="418" spans="1:15" x14ac:dyDescent="0.25">
      <c r="A418">
        <v>417</v>
      </c>
      <c r="B418">
        <v>20020</v>
      </c>
      <c r="C418" t="s">
        <v>489</v>
      </c>
      <c r="O418"/>
    </row>
    <row r="419" spans="1:15" x14ac:dyDescent="0.25">
      <c r="A419">
        <v>418</v>
      </c>
      <c r="B419">
        <v>20000</v>
      </c>
      <c r="C419" t="s">
        <v>490</v>
      </c>
      <c r="O419"/>
    </row>
    <row r="420" spans="1:15" x14ac:dyDescent="0.25">
      <c r="A420">
        <v>419</v>
      </c>
      <c r="B420">
        <v>20040</v>
      </c>
      <c r="C420" t="s">
        <v>491</v>
      </c>
      <c r="O420"/>
    </row>
    <row r="421" spans="1:15" x14ac:dyDescent="0.25">
      <c r="A421">
        <v>420</v>
      </c>
      <c r="B421">
        <v>20000</v>
      </c>
      <c r="C421" t="s">
        <v>492</v>
      </c>
      <c r="O421"/>
    </row>
    <row r="422" spans="1:15" x14ac:dyDescent="0.25">
      <c r="A422">
        <v>421</v>
      </c>
      <c r="B422">
        <v>20000</v>
      </c>
      <c r="C422" t="s">
        <v>493</v>
      </c>
      <c r="O422"/>
    </row>
    <row r="423" spans="1:15" x14ac:dyDescent="0.25">
      <c r="A423">
        <v>422</v>
      </c>
      <c r="B423">
        <v>20000</v>
      </c>
      <c r="C423" t="s">
        <v>494</v>
      </c>
      <c r="O423"/>
    </row>
    <row r="424" spans="1:15" x14ac:dyDescent="0.25">
      <c r="A424">
        <v>423</v>
      </c>
      <c r="B424">
        <v>20020</v>
      </c>
      <c r="C424" t="s">
        <v>495</v>
      </c>
      <c r="O424"/>
    </row>
    <row r="425" spans="1:15" x14ac:dyDescent="0.25">
      <c r="A425">
        <v>424</v>
      </c>
      <c r="B425">
        <v>20000</v>
      </c>
      <c r="C425" t="s">
        <v>496</v>
      </c>
      <c r="O425"/>
    </row>
    <row r="426" spans="1:15" x14ac:dyDescent="0.25">
      <c r="A426">
        <v>425</v>
      </c>
      <c r="B426">
        <v>20020</v>
      </c>
      <c r="C426" t="s">
        <v>497</v>
      </c>
      <c r="O426"/>
    </row>
    <row r="427" spans="1:15" x14ac:dyDescent="0.25">
      <c r="A427">
        <v>426</v>
      </c>
      <c r="B427">
        <v>19980</v>
      </c>
      <c r="C427" t="s">
        <v>498</v>
      </c>
      <c r="O427"/>
    </row>
    <row r="428" spans="1:15" x14ac:dyDescent="0.25">
      <c r="A428">
        <v>427</v>
      </c>
      <c r="B428">
        <v>20040</v>
      </c>
      <c r="C428" t="s">
        <v>499</v>
      </c>
      <c r="O428"/>
    </row>
    <row r="429" spans="1:15" x14ac:dyDescent="0.25">
      <c r="A429">
        <v>428</v>
      </c>
      <c r="B429">
        <v>20040</v>
      </c>
      <c r="C429" t="s">
        <v>500</v>
      </c>
      <c r="O429"/>
    </row>
    <row r="430" spans="1:15" x14ac:dyDescent="0.25">
      <c r="A430">
        <v>429</v>
      </c>
      <c r="B430">
        <v>20040</v>
      </c>
      <c r="C430" t="s">
        <v>501</v>
      </c>
      <c r="O430"/>
    </row>
    <row r="431" spans="1:15" x14ac:dyDescent="0.25">
      <c r="A431">
        <v>430</v>
      </c>
      <c r="B431">
        <v>20000</v>
      </c>
      <c r="C431" t="s">
        <v>502</v>
      </c>
      <c r="O431"/>
    </row>
    <row r="432" spans="1:15" x14ac:dyDescent="0.25">
      <c r="A432">
        <v>431</v>
      </c>
      <c r="B432">
        <v>20040</v>
      </c>
      <c r="C432" t="s">
        <v>503</v>
      </c>
      <c r="O432"/>
    </row>
    <row r="433" spans="1:15" x14ac:dyDescent="0.25">
      <c r="A433">
        <v>432</v>
      </c>
      <c r="B433">
        <v>19980</v>
      </c>
      <c r="C433" t="s">
        <v>504</v>
      </c>
      <c r="O433"/>
    </row>
    <row r="434" spans="1:15" x14ac:dyDescent="0.25">
      <c r="A434">
        <v>433</v>
      </c>
      <c r="B434">
        <v>20040</v>
      </c>
      <c r="C434" t="s">
        <v>505</v>
      </c>
      <c r="O434"/>
    </row>
    <row r="435" spans="1:15" x14ac:dyDescent="0.25">
      <c r="A435">
        <v>434</v>
      </c>
      <c r="B435">
        <v>20000</v>
      </c>
      <c r="C435" t="s">
        <v>506</v>
      </c>
      <c r="O435"/>
    </row>
    <row r="436" spans="1:15" x14ac:dyDescent="0.25">
      <c r="A436">
        <v>435</v>
      </c>
      <c r="B436">
        <v>20020</v>
      </c>
      <c r="C436" t="s">
        <v>507</v>
      </c>
      <c r="O436"/>
    </row>
    <row r="437" spans="1:15" x14ac:dyDescent="0.25">
      <c r="A437">
        <v>436</v>
      </c>
      <c r="B437">
        <v>20000</v>
      </c>
      <c r="C437" t="s">
        <v>508</v>
      </c>
      <c r="O437"/>
    </row>
    <row r="438" spans="1:15" x14ac:dyDescent="0.25">
      <c r="A438">
        <v>437</v>
      </c>
      <c r="B438">
        <v>20020</v>
      </c>
      <c r="C438" t="s">
        <v>509</v>
      </c>
      <c r="O438"/>
    </row>
    <row r="439" spans="1:15" x14ac:dyDescent="0.25">
      <c r="A439">
        <v>438</v>
      </c>
      <c r="B439">
        <v>20020</v>
      </c>
      <c r="C439" t="s">
        <v>510</v>
      </c>
      <c r="O439"/>
    </row>
    <row r="440" spans="1:15" x14ac:dyDescent="0.25">
      <c r="A440">
        <v>439</v>
      </c>
      <c r="B440">
        <v>20000</v>
      </c>
      <c r="C440" t="s">
        <v>511</v>
      </c>
      <c r="O440"/>
    </row>
    <row r="441" spans="1:15" x14ac:dyDescent="0.25">
      <c r="A441">
        <v>440</v>
      </c>
      <c r="B441">
        <v>20020</v>
      </c>
      <c r="C441" t="s">
        <v>512</v>
      </c>
      <c r="O441"/>
    </row>
    <row r="442" spans="1:15" x14ac:dyDescent="0.25">
      <c r="A442">
        <v>441</v>
      </c>
      <c r="B442">
        <v>20040</v>
      </c>
      <c r="C442" t="s">
        <v>513</v>
      </c>
      <c r="O442"/>
    </row>
    <row r="443" spans="1:15" x14ac:dyDescent="0.25">
      <c r="A443">
        <v>442</v>
      </c>
      <c r="B443">
        <v>20020</v>
      </c>
      <c r="C443" t="s">
        <v>514</v>
      </c>
      <c r="O443"/>
    </row>
    <row r="444" spans="1:15" x14ac:dyDescent="0.25">
      <c r="A444">
        <v>443</v>
      </c>
      <c r="B444">
        <v>20000</v>
      </c>
      <c r="C444" t="s">
        <v>515</v>
      </c>
      <c r="O444"/>
    </row>
    <row r="445" spans="1:15" x14ac:dyDescent="0.25">
      <c r="A445">
        <v>444</v>
      </c>
      <c r="B445">
        <v>20000</v>
      </c>
      <c r="C445" t="s">
        <v>516</v>
      </c>
      <c r="O445"/>
    </row>
    <row r="446" spans="1:15" x14ac:dyDescent="0.25">
      <c r="A446">
        <v>445</v>
      </c>
      <c r="B446">
        <v>20020</v>
      </c>
      <c r="C446" t="s">
        <v>517</v>
      </c>
      <c r="O446"/>
    </row>
    <row r="447" spans="1:15" x14ac:dyDescent="0.25">
      <c r="A447">
        <v>446</v>
      </c>
      <c r="B447">
        <v>20020</v>
      </c>
      <c r="C447" t="s">
        <v>518</v>
      </c>
      <c r="O447"/>
    </row>
    <row r="448" spans="1:15" x14ac:dyDescent="0.25">
      <c r="A448">
        <v>447</v>
      </c>
      <c r="B448">
        <v>20000</v>
      </c>
      <c r="C448" t="s">
        <v>519</v>
      </c>
      <c r="O448"/>
    </row>
    <row r="449" spans="1:15" x14ac:dyDescent="0.25">
      <c r="A449">
        <v>448</v>
      </c>
      <c r="B449">
        <v>19980</v>
      </c>
      <c r="C449" t="s">
        <v>520</v>
      </c>
      <c r="O449"/>
    </row>
    <row r="450" spans="1:15" x14ac:dyDescent="0.25">
      <c r="A450">
        <v>449</v>
      </c>
      <c r="B450">
        <v>20000</v>
      </c>
      <c r="C450" t="s">
        <v>521</v>
      </c>
      <c r="O450"/>
    </row>
    <row r="451" spans="1:15" x14ac:dyDescent="0.25">
      <c r="A451">
        <v>450</v>
      </c>
      <c r="B451">
        <v>20020</v>
      </c>
      <c r="C451" t="s">
        <v>522</v>
      </c>
      <c r="O451"/>
    </row>
    <row r="452" spans="1:15" x14ac:dyDescent="0.25">
      <c r="A452">
        <v>451</v>
      </c>
      <c r="B452">
        <v>20020</v>
      </c>
      <c r="C452" t="s">
        <v>523</v>
      </c>
      <c r="O452"/>
    </row>
    <row r="453" spans="1:15" x14ac:dyDescent="0.25">
      <c r="A453">
        <v>452</v>
      </c>
      <c r="B453">
        <v>20020</v>
      </c>
      <c r="C453" t="s">
        <v>524</v>
      </c>
      <c r="O453"/>
    </row>
    <row r="454" spans="1:15" x14ac:dyDescent="0.25">
      <c r="A454">
        <v>453</v>
      </c>
      <c r="B454">
        <v>20020</v>
      </c>
      <c r="C454" t="s">
        <v>525</v>
      </c>
      <c r="O454"/>
    </row>
    <row r="455" spans="1:15" x14ac:dyDescent="0.25">
      <c r="A455">
        <v>454</v>
      </c>
      <c r="B455">
        <v>20000</v>
      </c>
      <c r="O455"/>
    </row>
    <row r="456" spans="1:15" x14ac:dyDescent="0.25">
      <c r="A456">
        <v>455</v>
      </c>
      <c r="B456">
        <v>20000</v>
      </c>
      <c r="O456"/>
    </row>
    <row r="457" spans="1:15" x14ac:dyDescent="0.25">
      <c r="A457">
        <v>456</v>
      </c>
      <c r="B457">
        <v>20020</v>
      </c>
      <c r="C457" t="s">
        <v>526</v>
      </c>
      <c r="O457"/>
    </row>
    <row r="458" spans="1:15" x14ac:dyDescent="0.25">
      <c r="A458">
        <v>457</v>
      </c>
      <c r="B458">
        <v>20020</v>
      </c>
      <c r="C458" t="s">
        <v>527</v>
      </c>
      <c r="O458"/>
    </row>
    <row r="459" spans="1:15" x14ac:dyDescent="0.25">
      <c r="A459">
        <v>458</v>
      </c>
      <c r="B459">
        <v>20020</v>
      </c>
      <c r="C459" t="s">
        <v>528</v>
      </c>
      <c r="O459"/>
    </row>
    <row r="460" spans="1:15" x14ac:dyDescent="0.25">
      <c r="A460">
        <v>459</v>
      </c>
      <c r="B460">
        <v>20000</v>
      </c>
      <c r="C460" t="s">
        <v>529</v>
      </c>
      <c r="O460"/>
    </row>
    <row r="461" spans="1:15" x14ac:dyDescent="0.25">
      <c r="A461">
        <v>460</v>
      </c>
      <c r="B461">
        <v>20020</v>
      </c>
      <c r="C461" t="s">
        <v>530</v>
      </c>
      <c r="O461"/>
    </row>
    <row r="462" spans="1:15" x14ac:dyDescent="0.25">
      <c r="A462">
        <v>461</v>
      </c>
      <c r="B462">
        <v>20000</v>
      </c>
      <c r="C462" t="s">
        <v>531</v>
      </c>
      <c r="O462"/>
    </row>
    <row r="463" spans="1:15" x14ac:dyDescent="0.25">
      <c r="A463">
        <v>462</v>
      </c>
      <c r="B463">
        <v>20020</v>
      </c>
      <c r="C463" t="s">
        <v>532</v>
      </c>
      <c r="O463"/>
    </row>
    <row r="464" spans="1:15" x14ac:dyDescent="0.25">
      <c r="A464">
        <v>463</v>
      </c>
      <c r="B464">
        <v>20040</v>
      </c>
      <c r="C464" t="s">
        <v>533</v>
      </c>
      <c r="O464"/>
    </row>
    <row r="465" spans="1:15" x14ac:dyDescent="0.25">
      <c r="A465">
        <v>464</v>
      </c>
      <c r="B465">
        <v>20020</v>
      </c>
      <c r="C465" t="s">
        <v>534</v>
      </c>
      <c r="O465"/>
    </row>
    <row r="466" spans="1:15" x14ac:dyDescent="0.25">
      <c r="A466">
        <v>465</v>
      </c>
      <c r="B466">
        <v>19960</v>
      </c>
      <c r="C466" t="s">
        <v>535</v>
      </c>
      <c r="O466"/>
    </row>
    <row r="467" spans="1:15" x14ac:dyDescent="0.25">
      <c r="A467">
        <v>466</v>
      </c>
      <c r="B467">
        <v>20000</v>
      </c>
      <c r="O467"/>
    </row>
    <row r="468" spans="1:15" x14ac:dyDescent="0.25">
      <c r="A468">
        <v>467</v>
      </c>
      <c r="B468">
        <v>20020</v>
      </c>
      <c r="C468" t="s">
        <v>536</v>
      </c>
      <c r="O468"/>
    </row>
    <row r="469" spans="1:15" x14ac:dyDescent="0.25">
      <c r="A469">
        <v>468</v>
      </c>
      <c r="B469">
        <v>20000</v>
      </c>
      <c r="C469" t="s">
        <v>537</v>
      </c>
      <c r="O469"/>
    </row>
    <row r="470" spans="1:15" x14ac:dyDescent="0.25">
      <c r="A470">
        <v>469</v>
      </c>
      <c r="B470">
        <v>20000</v>
      </c>
      <c r="C470" t="s">
        <v>538</v>
      </c>
      <c r="O470"/>
    </row>
    <row r="471" spans="1:15" x14ac:dyDescent="0.25">
      <c r="A471">
        <v>470</v>
      </c>
      <c r="B471">
        <v>19980</v>
      </c>
      <c r="C471" t="s">
        <v>539</v>
      </c>
      <c r="O471"/>
    </row>
    <row r="472" spans="1:15" x14ac:dyDescent="0.25">
      <c r="A472">
        <v>471</v>
      </c>
      <c r="B472">
        <v>20000</v>
      </c>
      <c r="C472" t="s">
        <v>540</v>
      </c>
      <c r="O472"/>
    </row>
    <row r="473" spans="1:15" x14ac:dyDescent="0.25">
      <c r="A473">
        <v>472</v>
      </c>
      <c r="B473">
        <v>19980</v>
      </c>
      <c r="C473" t="s">
        <v>541</v>
      </c>
      <c r="O473"/>
    </row>
    <row r="474" spans="1:15" x14ac:dyDescent="0.25">
      <c r="A474">
        <v>473</v>
      </c>
      <c r="B474">
        <v>19980</v>
      </c>
      <c r="C474" t="s">
        <v>542</v>
      </c>
      <c r="O474"/>
    </row>
    <row r="475" spans="1:15" x14ac:dyDescent="0.25">
      <c r="A475">
        <v>474</v>
      </c>
      <c r="B475">
        <v>20000</v>
      </c>
      <c r="C475" t="s">
        <v>543</v>
      </c>
      <c r="O475"/>
    </row>
    <row r="476" spans="1:15" x14ac:dyDescent="0.25">
      <c r="A476">
        <v>475</v>
      </c>
      <c r="B476">
        <v>19980</v>
      </c>
      <c r="C476" t="s">
        <v>544</v>
      </c>
      <c r="O476"/>
    </row>
    <row r="477" spans="1:15" x14ac:dyDescent="0.25">
      <c r="A477">
        <v>476</v>
      </c>
      <c r="B477">
        <v>20000</v>
      </c>
      <c r="C477" t="s">
        <v>545</v>
      </c>
      <c r="O477"/>
    </row>
    <row r="478" spans="1:15" x14ac:dyDescent="0.25">
      <c r="A478">
        <v>477</v>
      </c>
      <c r="B478">
        <v>20020</v>
      </c>
      <c r="C478" t="s">
        <v>546</v>
      </c>
      <c r="O478"/>
    </row>
    <row r="479" spans="1:15" x14ac:dyDescent="0.25">
      <c r="A479">
        <v>478</v>
      </c>
      <c r="B479">
        <v>20000</v>
      </c>
      <c r="C479" t="s">
        <v>547</v>
      </c>
      <c r="O479"/>
    </row>
    <row r="480" spans="1:15" x14ac:dyDescent="0.25">
      <c r="A480">
        <v>479</v>
      </c>
      <c r="B480">
        <v>19980</v>
      </c>
      <c r="C480" t="s">
        <v>548</v>
      </c>
      <c r="O480"/>
    </row>
    <row r="481" spans="1:15" x14ac:dyDescent="0.25">
      <c r="A481">
        <v>480</v>
      </c>
      <c r="B481">
        <v>20000</v>
      </c>
      <c r="C481" t="s">
        <v>549</v>
      </c>
      <c r="O481"/>
    </row>
    <row r="482" spans="1:15" x14ac:dyDescent="0.25">
      <c r="A482">
        <v>481</v>
      </c>
      <c r="B482">
        <v>20000</v>
      </c>
      <c r="C482" t="s">
        <v>550</v>
      </c>
      <c r="O482"/>
    </row>
    <row r="483" spans="1:15" x14ac:dyDescent="0.25">
      <c r="A483">
        <v>482</v>
      </c>
      <c r="B483">
        <v>20040</v>
      </c>
      <c r="C483" t="s">
        <v>551</v>
      </c>
      <c r="O483"/>
    </row>
    <row r="484" spans="1:15" x14ac:dyDescent="0.25">
      <c r="A484">
        <v>483</v>
      </c>
      <c r="B484">
        <v>20020</v>
      </c>
      <c r="C484" t="s">
        <v>552</v>
      </c>
      <c r="O484"/>
    </row>
    <row r="485" spans="1:15" x14ac:dyDescent="0.25">
      <c r="A485">
        <v>484</v>
      </c>
      <c r="B485">
        <v>19980</v>
      </c>
      <c r="C485" t="s">
        <v>553</v>
      </c>
      <c r="O485"/>
    </row>
    <row r="486" spans="1:15" x14ac:dyDescent="0.25">
      <c r="A486">
        <v>485</v>
      </c>
      <c r="B486">
        <v>20000</v>
      </c>
      <c r="O486"/>
    </row>
    <row r="487" spans="1:15" x14ac:dyDescent="0.25">
      <c r="A487">
        <v>486</v>
      </c>
      <c r="B487">
        <v>20040</v>
      </c>
      <c r="C487" t="s">
        <v>554</v>
      </c>
      <c r="O487"/>
    </row>
    <row r="488" spans="1:15" x14ac:dyDescent="0.25">
      <c r="A488">
        <v>487</v>
      </c>
      <c r="B488">
        <v>20020</v>
      </c>
      <c r="C488" t="s">
        <v>555</v>
      </c>
      <c r="O488"/>
    </row>
    <row r="489" spans="1:15" x14ac:dyDescent="0.25">
      <c r="A489">
        <v>488</v>
      </c>
      <c r="B489">
        <v>20000</v>
      </c>
      <c r="C489" t="s">
        <v>556</v>
      </c>
      <c r="O489"/>
    </row>
    <row r="490" spans="1:15" x14ac:dyDescent="0.25">
      <c r="A490">
        <v>489</v>
      </c>
      <c r="B490">
        <v>20000</v>
      </c>
      <c r="C490" t="s">
        <v>557</v>
      </c>
      <c r="O490"/>
    </row>
    <row r="491" spans="1:15" x14ac:dyDescent="0.25">
      <c r="A491">
        <v>490</v>
      </c>
      <c r="B491">
        <v>20020</v>
      </c>
      <c r="C491" t="s">
        <v>558</v>
      </c>
      <c r="O491"/>
    </row>
    <row r="492" spans="1:15" x14ac:dyDescent="0.25">
      <c r="A492">
        <v>491</v>
      </c>
      <c r="B492">
        <v>20020</v>
      </c>
      <c r="C492" t="s">
        <v>559</v>
      </c>
      <c r="O492"/>
    </row>
    <row r="493" spans="1:15" x14ac:dyDescent="0.25">
      <c r="A493">
        <v>492</v>
      </c>
      <c r="B493">
        <v>20020</v>
      </c>
      <c r="C493" t="s">
        <v>560</v>
      </c>
      <c r="O493"/>
    </row>
    <row r="494" spans="1:15" x14ac:dyDescent="0.25">
      <c r="A494">
        <v>493</v>
      </c>
      <c r="B494">
        <v>20020</v>
      </c>
      <c r="C494" t="s">
        <v>561</v>
      </c>
      <c r="O494"/>
    </row>
    <row r="495" spans="1:15" x14ac:dyDescent="0.25">
      <c r="A495">
        <v>494</v>
      </c>
      <c r="B495">
        <v>20000</v>
      </c>
      <c r="C495" t="s">
        <v>562</v>
      </c>
      <c r="O495"/>
    </row>
    <row r="496" spans="1:15" x14ac:dyDescent="0.25">
      <c r="A496">
        <v>495</v>
      </c>
      <c r="B496">
        <v>20000</v>
      </c>
      <c r="O496"/>
    </row>
    <row r="497" spans="1:15" x14ac:dyDescent="0.25">
      <c r="A497">
        <v>496</v>
      </c>
      <c r="B497">
        <v>20000</v>
      </c>
      <c r="C497" t="s">
        <v>563</v>
      </c>
      <c r="O497"/>
    </row>
    <row r="498" spans="1:15" x14ac:dyDescent="0.25">
      <c r="A498">
        <v>497</v>
      </c>
      <c r="B498">
        <v>20020</v>
      </c>
      <c r="C498" t="s">
        <v>564</v>
      </c>
      <c r="O498"/>
    </row>
    <row r="499" spans="1:15" x14ac:dyDescent="0.25">
      <c r="A499">
        <v>498</v>
      </c>
      <c r="B499">
        <v>19980</v>
      </c>
      <c r="C499" t="s">
        <v>565</v>
      </c>
      <c r="O499"/>
    </row>
    <row r="500" spans="1:15" x14ac:dyDescent="0.25">
      <c r="A500">
        <v>499</v>
      </c>
      <c r="B500">
        <v>20020</v>
      </c>
      <c r="C500" t="s">
        <v>566</v>
      </c>
      <c r="O500"/>
    </row>
    <row r="501" spans="1:15" x14ac:dyDescent="0.25">
      <c r="A501">
        <v>500</v>
      </c>
      <c r="B501">
        <v>20000</v>
      </c>
      <c r="C501" t="s">
        <v>567</v>
      </c>
      <c r="O501"/>
    </row>
    <row r="502" spans="1:15" x14ac:dyDescent="0.25">
      <c r="A502">
        <v>501</v>
      </c>
      <c r="B502">
        <v>20000</v>
      </c>
      <c r="C502" t="s">
        <v>568</v>
      </c>
      <c r="O502"/>
    </row>
    <row r="503" spans="1:15" x14ac:dyDescent="0.25">
      <c r="A503">
        <v>502</v>
      </c>
      <c r="B503">
        <v>19980</v>
      </c>
      <c r="C503" t="s">
        <v>569</v>
      </c>
      <c r="O503"/>
    </row>
    <row r="504" spans="1:15" x14ac:dyDescent="0.25">
      <c r="A504">
        <v>503</v>
      </c>
      <c r="B504">
        <v>20020</v>
      </c>
      <c r="C504" t="s">
        <v>570</v>
      </c>
      <c r="O504"/>
    </row>
    <row r="505" spans="1:15" x14ac:dyDescent="0.25">
      <c r="A505">
        <v>504</v>
      </c>
      <c r="B505">
        <v>20020</v>
      </c>
      <c r="C505" t="s">
        <v>571</v>
      </c>
      <c r="O505"/>
    </row>
    <row r="506" spans="1:15" x14ac:dyDescent="0.25">
      <c r="A506">
        <v>505</v>
      </c>
      <c r="B506">
        <v>20020</v>
      </c>
      <c r="C506" t="s">
        <v>572</v>
      </c>
      <c r="O506"/>
    </row>
    <row r="507" spans="1:15" x14ac:dyDescent="0.25">
      <c r="A507">
        <v>506</v>
      </c>
      <c r="B507">
        <v>20000</v>
      </c>
      <c r="C507" t="s">
        <v>573</v>
      </c>
      <c r="O507"/>
    </row>
    <row r="508" spans="1:15" x14ac:dyDescent="0.25">
      <c r="A508">
        <v>507</v>
      </c>
      <c r="B508">
        <v>20000</v>
      </c>
      <c r="C508" t="s">
        <v>574</v>
      </c>
      <c r="O508"/>
    </row>
    <row r="509" spans="1:15" x14ac:dyDescent="0.25">
      <c r="A509">
        <v>508</v>
      </c>
      <c r="B509">
        <v>20000</v>
      </c>
      <c r="C509" t="s">
        <v>575</v>
      </c>
      <c r="O509"/>
    </row>
    <row r="510" spans="1:15" x14ac:dyDescent="0.25">
      <c r="A510">
        <v>509</v>
      </c>
      <c r="B510">
        <v>20000</v>
      </c>
      <c r="C510" t="s">
        <v>576</v>
      </c>
      <c r="O510"/>
    </row>
    <row r="511" spans="1:15" x14ac:dyDescent="0.25">
      <c r="A511">
        <v>510</v>
      </c>
      <c r="B511">
        <v>20020</v>
      </c>
      <c r="C511" t="s">
        <v>577</v>
      </c>
      <c r="O511"/>
    </row>
    <row r="512" spans="1:15" x14ac:dyDescent="0.25">
      <c r="A512">
        <v>511</v>
      </c>
      <c r="B512">
        <v>20000</v>
      </c>
      <c r="C512" t="s">
        <v>578</v>
      </c>
      <c r="O512"/>
    </row>
    <row r="513" spans="1:15" x14ac:dyDescent="0.25">
      <c r="A513">
        <v>512</v>
      </c>
      <c r="B513">
        <v>19980</v>
      </c>
      <c r="C513" t="s">
        <v>579</v>
      </c>
      <c r="O513"/>
    </row>
    <row r="514" spans="1:15" x14ac:dyDescent="0.25">
      <c r="A514">
        <v>513</v>
      </c>
      <c r="B514">
        <v>20040</v>
      </c>
      <c r="C514" t="s">
        <v>580</v>
      </c>
      <c r="O514"/>
    </row>
    <row r="515" spans="1:15" x14ac:dyDescent="0.25">
      <c r="A515">
        <v>514</v>
      </c>
      <c r="B515">
        <v>20040</v>
      </c>
      <c r="C515" t="s">
        <v>581</v>
      </c>
      <c r="O515"/>
    </row>
    <row r="516" spans="1:15" x14ac:dyDescent="0.25">
      <c r="A516">
        <v>515</v>
      </c>
      <c r="B516">
        <v>20020</v>
      </c>
      <c r="C516" t="s">
        <v>582</v>
      </c>
      <c r="O516"/>
    </row>
    <row r="517" spans="1:15" x14ac:dyDescent="0.25">
      <c r="A517">
        <v>516</v>
      </c>
      <c r="B517">
        <v>20020</v>
      </c>
      <c r="C517" t="s">
        <v>583</v>
      </c>
      <c r="O517"/>
    </row>
    <row r="518" spans="1:15" x14ac:dyDescent="0.25">
      <c r="A518">
        <v>517</v>
      </c>
      <c r="B518">
        <v>20020</v>
      </c>
      <c r="C518" t="s">
        <v>584</v>
      </c>
      <c r="O518"/>
    </row>
    <row r="519" spans="1:15" x14ac:dyDescent="0.25">
      <c r="A519">
        <v>518</v>
      </c>
      <c r="B519">
        <v>19980</v>
      </c>
      <c r="C519" t="s">
        <v>585</v>
      </c>
      <c r="O519"/>
    </row>
    <row r="520" spans="1:15" x14ac:dyDescent="0.25">
      <c r="A520">
        <v>519</v>
      </c>
      <c r="B520">
        <v>20020</v>
      </c>
      <c r="C520" t="s">
        <v>586</v>
      </c>
      <c r="O520"/>
    </row>
    <row r="521" spans="1:15" x14ac:dyDescent="0.25">
      <c r="A521">
        <v>520</v>
      </c>
      <c r="B521">
        <v>20020</v>
      </c>
      <c r="C521" t="s">
        <v>587</v>
      </c>
      <c r="O521"/>
    </row>
    <row r="522" spans="1:15" x14ac:dyDescent="0.25">
      <c r="A522">
        <v>521</v>
      </c>
      <c r="B522">
        <v>19980</v>
      </c>
      <c r="C522" t="s">
        <v>588</v>
      </c>
      <c r="O522"/>
    </row>
    <row r="523" spans="1:15" x14ac:dyDescent="0.25">
      <c r="A523">
        <v>522</v>
      </c>
      <c r="B523">
        <v>20040</v>
      </c>
      <c r="C523" t="s">
        <v>589</v>
      </c>
      <c r="O523"/>
    </row>
    <row r="524" spans="1:15" x14ac:dyDescent="0.25">
      <c r="A524">
        <v>523</v>
      </c>
      <c r="B524">
        <v>20020</v>
      </c>
      <c r="C524" t="s">
        <v>590</v>
      </c>
      <c r="O524"/>
    </row>
    <row r="525" spans="1:15" x14ac:dyDescent="0.25">
      <c r="A525">
        <v>524</v>
      </c>
      <c r="B525">
        <v>20020</v>
      </c>
      <c r="C525" t="s">
        <v>591</v>
      </c>
      <c r="O525"/>
    </row>
    <row r="526" spans="1:15" x14ac:dyDescent="0.25">
      <c r="A526">
        <v>525</v>
      </c>
      <c r="B526">
        <v>20020</v>
      </c>
      <c r="C526" t="s">
        <v>592</v>
      </c>
      <c r="O526"/>
    </row>
    <row r="527" spans="1:15" x14ac:dyDescent="0.25">
      <c r="A527">
        <v>526</v>
      </c>
      <c r="B527">
        <v>20000</v>
      </c>
      <c r="C527" t="s">
        <v>593</v>
      </c>
      <c r="O527"/>
    </row>
    <row r="528" spans="1:15" x14ac:dyDescent="0.25">
      <c r="A528">
        <v>527</v>
      </c>
      <c r="B528">
        <v>19980</v>
      </c>
      <c r="C528" t="s">
        <v>594</v>
      </c>
      <c r="O528"/>
    </row>
    <row r="529" spans="1:15" x14ac:dyDescent="0.25">
      <c r="A529">
        <v>528</v>
      </c>
      <c r="B529">
        <v>20000</v>
      </c>
      <c r="C529" t="s">
        <v>595</v>
      </c>
      <c r="O529"/>
    </row>
    <row r="530" spans="1:15" x14ac:dyDescent="0.25">
      <c r="A530">
        <v>529</v>
      </c>
      <c r="B530">
        <v>20020</v>
      </c>
      <c r="C530" t="s">
        <v>596</v>
      </c>
      <c r="O530"/>
    </row>
    <row r="531" spans="1:15" x14ac:dyDescent="0.25">
      <c r="A531">
        <v>530</v>
      </c>
      <c r="B531">
        <v>19980</v>
      </c>
      <c r="C531" t="s">
        <v>597</v>
      </c>
      <c r="O531"/>
    </row>
    <row r="532" spans="1:15" x14ac:dyDescent="0.25">
      <c r="A532">
        <v>531</v>
      </c>
      <c r="B532">
        <v>20020</v>
      </c>
      <c r="C532" t="s">
        <v>598</v>
      </c>
      <c r="O532"/>
    </row>
    <row r="533" spans="1:15" x14ac:dyDescent="0.25">
      <c r="A533">
        <v>532</v>
      </c>
      <c r="B533">
        <v>20000</v>
      </c>
      <c r="O533"/>
    </row>
    <row r="534" spans="1:15" x14ac:dyDescent="0.25">
      <c r="A534">
        <v>533</v>
      </c>
      <c r="B534">
        <v>20040</v>
      </c>
      <c r="C534" t="s">
        <v>599</v>
      </c>
      <c r="O534"/>
    </row>
    <row r="535" spans="1:15" x14ac:dyDescent="0.25">
      <c r="A535">
        <v>534</v>
      </c>
      <c r="B535">
        <v>20000</v>
      </c>
      <c r="O535"/>
    </row>
    <row r="536" spans="1:15" x14ac:dyDescent="0.25">
      <c r="A536">
        <v>535</v>
      </c>
      <c r="B536">
        <v>20020</v>
      </c>
      <c r="C536" t="s">
        <v>600</v>
      </c>
      <c r="O536"/>
    </row>
    <row r="537" spans="1:15" x14ac:dyDescent="0.25">
      <c r="A537">
        <v>536</v>
      </c>
      <c r="B537">
        <v>20020</v>
      </c>
      <c r="C537" t="s">
        <v>601</v>
      </c>
      <c r="O537"/>
    </row>
    <row r="538" spans="1:15" x14ac:dyDescent="0.25">
      <c r="A538">
        <v>537</v>
      </c>
      <c r="B538">
        <v>20020</v>
      </c>
      <c r="C538" t="s">
        <v>602</v>
      </c>
      <c r="O538"/>
    </row>
    <row r="539" spans="1:15" x14ac:dyDescent="0.25">
      <c r="A539">
        <v>538</v>
      </c>
      <c r="B539">
        <v>20040</v>
      </c>
      <c r="C539" t="s">
        <v>603</v>
      </c>
      <c r="O539"/>
    </row>
    <row r="540" spans="1:15" x14ac:dyDescent="0.25">
      <c r="A540">
        <v>539</v>
      </c>
      <c r="B540">
        <v>20000</v>
      </c>
      <c r="C540" t="s">
        <v>604</v>
      </c>
      <c r="O540"/>
    </row>
    <row r="541" spans="1:15" x14ac:dyDescent="0.25">
      <c r="A541">
        <v>540</v>
      </c>
      <c r="B541">
        <v>20020</v>
      </c>
      <c r="C541" t="s">
        <v>605</v>
      </c>
      <c r="O541"/>
    </row>
    <row r="542" spans="1:15" x14ac:dyDescent="0.25">
      <c r="A542">
        <v>541</v>
      </c>
      <c r="B542">
        <v>19980</v>
      </c>
      <c r="C542" t="s">
        <v>606</v>
      </c>
      <c r="O542"/>
    </row>
    <row r="543" spans="1:15" x14ac:dyDescent="0.25">
      <c r="A543">
        <v>542</v>
      </c>
      <c r="B543">
        <v>19980</v>
      </c>
      <c r="C543" t="s">
        <v>607</v>
      </c>
      <c r="O543"/>
    </row>
    <row r="544" spans="1:15" x14ac:dyDescent="0.25">
      <c r="A544">
        <v>543</v>
      </c>
      <c r="B544">
        <v>19980</v>
      </c>
      <c r="C544" t="s">
        <v>608</v>
      </c>
      <c r="O544"/>
    </row>
    <row r="545" spans="1:15" x14ac:dyDescent="0.25">
      <c r="A545">
        <v>544</v>
      </c>
      <c r="B545">
        <v>20060</v>
      </c>
      <c r="C545" t="s">
        <v>609</v>
      </c>
      <c r="O545"/>
    </row>
    <row r="546" spans="1:15" x14ac:dyDescent="0.25">
      <c r="A546">
        <v>545</v>
      </c>
      <c r="B546">
        <v>20020</v>
      </c>
      <c r="C546" t="s">
        <v>610</v>
      </c>
      <c r="O546"/>
    </row>
    <row r="547" spans="1:15" x14ac:dyDescent="0.25">
      <c r="A547">
        <v>546</v>
      </c>
      <c r="B547">
        <v>20000</v>
      </c>
      <c r="C547" t="s">
        <v>611</v>
      </c>
      <c r="O547"/>
    </row>
    <row r="548" spans="1:15" x14ac:dyDescent="0.25">
      <c r="A548">
        <v>547</v>
      </c>
      <c r="B548">
        <v>20000</v>
      </c>
      <c r="C548" t="s">
        <v>612</v>
      </c>
      <c r="O548"/>
    </row>
    <row r="549" spans="1:15" x14ac:dyDescent="0.25">
      <c r="A549">
        <v>548</v>
      </c>
      <c r="B549">
        <v>20020</v>
      </c>
      <c r="C549" t="s">
        <v>613</v>
      </c>
      <c r="O549"/>
    </row>
    <row r="550" spans="1:15" x14ac:dyDescent="0.25">
      <c r="A550">
        <v>549</v>
      </c>
      <c r="B550">
        <v>20000</v>
      </c>
      <c r="C550" t="s">
        <v>614</v>
      </c>
      <c r="O550"/>
    </row>
    <row r="551" spans="1:15" x14ac:dyDescent="0.25">
      <c r="A551">
        <v>550</v>
      </c>
      <c r="B551">
        <v>20040</v>
      </c>
      <c r="C551" t="s">
        <v>615</v>
      </c>
      <c r="O551"/>
    </row>
    <row r="552" spans="1:15" x14ac:dyDescent="0.25">
      <c r="A552">
        <v>551</v>
      </c>
      <c r="B552">
        <v>20000</v>
      </c>
      <c r="C552" t="s">
        <v>616</v>
      </c>
      <c r="O552"/>
    </row>
    <row r="553" spans="1:15" x14ac:dyDescent="0.25">
      <c r="A553">
        <v>552</v>
      </c>
      <c r="B553">
        <v>20020</v>
      </c>
      <c r="C553" t="s">
        <v>617</v>
      </c>
      <c r="O553"/>
    </row>
    <row r="554" spans="1:15" x14ac:dyDescent="0.25">
      <c r="A554">
        <v>553</v>
      </c>
      <c r="B554">
        <v>20000</v>
      </c>
      <c r="O554"/>
    </row>
    <row r="555" spans="1:15" x14ac:dyDescent="0.25">
      <c r="A555">
        <v>554</v>
      </c>
      <c r="B555">
        <v>20020</v>
      </c>
      <c r="C555" t="s">
        <v>618</v>
      </c>
      <c r="O555"/>
    </row>
    <row r="556" spans="1:15" x14ac:dyDescent="0.25">
      <c r="A556">
        <v>555</v>
      </c>
      <c r="B556">
        <v>20000</v>
      </c>
      <c r="C556" t="s">
        <v>619</v>
      </c>
      <c r="O556"/>
    </row>
    <row r="557" spans="1:15" x14ac:dyDescent="0.25">
      <c r="A557">
        <v>556</v>
      </c>
      <c r="B557">
        <v>20000</v>
      </c>
      <c r="C557" t="s">
        <v>620</v>
      </c>
      <c r="O557"/>
    </row>
    <row r="558" spans="1:15" x14ac:dyDescent="0.25">
      <c r="A558">
        <v>557</v>
      </c>
      <c r="B558">
        <v>20000</v>
      </c>
      <c r="C558" t="s">
        <v>621</v>
      </c>
      <c r="O558"/>
    </row>
    <row r="559" spans="1:15" x14ac:dyDescent="0.25">
      <c r="A559">
        <v>558</v>
      </c>
      <c r="B559">
        <v>20020</v>
      </c>
      <c r="C559" t="s">
        <v>622</v>
      </c>
      <c r="O559"/>
    </row>
    <row r="560" spans="1:15" x14ac:dyDescent="0.25">
      <c r="A560">
        <v>559</v>
      </c>
      <c r="B560">
        <v>20000</v>
      </c>
      <c r="C560" t="s">
        <v>623</v>
      </c>
      <c r="O560"/>
    </row>
    <row r="561" spans="1:15" x14ac:dyDescent="0.25">
      <c r="A561">
        <v>560</v>
      </c>
      <c r="B561">
        <v>19980</v>
      </c>
      <c r="C561" t="s">
        <v>624</v>
      </c>
      <c r="O561"/>
    </row>
    <row r="562" spans="1:15" x14ac:dyDescent="0.25">
      <c r="A562">
        <v>561</v>
      </c>
      <c r="B562">
        <v>20000</v>
      </c>
      <c r="C562" t="s">
        <v>625</v>
      </c>
      <c r="O562"/>
    </row>
    <row r="563" spans="1:15" x14ac:dyDescent="0.25">
      <c r="A563">
        <v>562</v>
      </c>
      <c r="B563">
        <v>20020</v>
      </c>
      <c r="C563" t="s">
        <v>626</v>
      </c>
      <c r="O563"/>
    </row>
    <row r="564" spans="1:15" x14ac:dyDescent="0.25">
      <c r="A564">
        <v>563</v>
      </c>
      <c r="B564">
        <v>20000</v>
      </c>
      <c r="C564" t="s">
        <v>627</v>
      </c>
      <c r="O564"/>
    </row>
    <row r="565" spans="1:15" x14ac:dyDescent="0.25">
      <c r="A565">
        <v>564</v>
      </c>
      <c r="B565">
        <v>19980</v>
      </c>
      <c r="C565" t="s">
        <v>628</v>
      </c>
      <c r="O565"/>
    </row>
    <row r="566" spans="1:15" x14ac:dyDescent="0.25">
      <c r="A566">
        <v>565</v>
      </c>
      <c r="B566">
        <v>20000</v>
      </c>
      <c r="C566" t="s">
        <v>629</v>
      </c>
      <c r="O566"/>
    </row>
    <row r="567" spans="1:15" x14ac:dyDescent="0.25">
      <c r="A567">
        <v>566</v>
      </c>
      <c r="B567">
        <v>19980</v>
      </c>
      <c r="C567" t="s">
        <v>630</v>
      </c>
      <c r="O567"/>
    </row>
    <row r="568" spans="1:15" x14ac:dyDescent="0.25">
      <c r="A568">
        <v>567</v>
      </c>
      <c r="B568">
        <v>20000</v>
      </c>
      <c r="C568" t="s">
        <v>631</v>
      </c>
      <c r="O568"/>
    </row>
    <row r="569" spans="1:15" x14ac:dyDescent="0.25">
      <c r="A569">
        <v>568</v>
      </c>
      <c r="B569">
        <v>19980</v>
      </c>
      <c r="C569" t="s">
        <v>632</v>
      </c>
      <c r="O569"/>
    </row>
    <row r="570" spans="1:15" x14ac:dyDescent="0.25">
      <c r="A570">
        <v>569</v>
      </c>
      <c r="B570">
        <v>20020</v>
      </c>
      <c r="C570" t="s">
        <v>633</v>
      </c>
      <c r="O570"/>
    </row>
    <row r="571" spans="1:15" x14ac:dyDescent="0.25">
      <c r="A571">
        <v>570</v>
      </c>
      <c r="B571">
        <v>20000</v>
      </c>
      <c r="C571" t="s">
        <v>634</v>
      </c>
      <c r="O571"/>
    </row>
    <row r="572" spans="1:15" x14ac:dyDescent="0.25">
      <c r="A572">
        <v>571</v>
      </c>
      <c r="B572">
        <v>20020</v>
      </c>
      <c r="C572" t="s">
        <v>635</v>
      </c>
      <c r="O572"/>
    </row>
    <row r="573" spans="1:15" x14ac:dyDescent="0.25">
      <c r="A573">
        <v>572</v>
      </c>
      <c r="B573">
        <v>20000</v>
      </c>
      <c r="C573" t="s">
        <v>636</v>
      </c>
      <c r="O573"/>
    </row>
    <row r="574" spans="1:15" x14ac:dyDescent="0.25">
      <c r="A574">
        <v>573</v>
      </c>
      <c r="B574">
        <v>20020</v>
      </c>
      <c r="C574" t="s">
        <v>637</v>
      </c>
      <c r="O574"/>
    </row>
    <row r="575" spans="1:15" x14ac:dyDescent="0.25">
      <c r="A575">
        <v>574</v>
      </c>
      <c r="B575">
        <v>20000</v>
      </c>
      <c r="O575"/>
    </row>
    <row r="576" spans="1:15" x14ac:dyDescent="0.25">
      <c r="A576">
        <v>575</v>
      </c>
      <c r="B576">
        <v>19980</v>
      </c>
      <c r="C576" t="s">
        <v>638</v>
      </c>
      <c r="O576"/>
    </row>
    <row r="577" spans="1:15" x14ac:dyDescent="0.25">
      <c r="A577">
        <v>576</v>
      </c>
      <c r="B577">
        <v>20040</v>
      </c>
      <c r="C577" t="s">
        <v>639</v>
      </c>
      <c r="O577"/>
    </row>
    <row r="578" spans="1:15" x14ac:dyDescent="0.25">
      <c r="A578">
        <v>577</v>
      </c>
      <c r="B578">
        <v>20000</v>
      </c>
      <c r="C578" t="s">
        <v>640</v>
      </c>
      <c r="O578"/>
    </row>
    <row r="579" spans="1:15" x14ac:dyDescent="0.25">
      <c r="A579">
        <v>578</v>
      </c>
      <c r="B579">
        <v>20000</v>
      </c>
      <c r="C579" t="s">
        <v>641</v>
      </c>
      <c r="O579"/>
    </row>
    <row r="580" spans="1:15" x14ac:dyDescent="0.25">
      <c r="A580">
        <v>579</v>
      </c>
      <c r="B580">
        <v>19980</v>
      </c>
      <c r="C580" t="s">
        <v>642</v>
      </c>
      <c r="O580"/>
    </row>
    <row r="581" spans="1:15" x14ac:dyDescent="0.25">
      <c r="A581">
        <v>580</v>
      </c>
      <c r="B581">
        <v>20000</v>
      </c>
      <c r="C581" t="s">
        <v>643</v>
      </c>
      <c r="O581"/>
    </row>
    <row r="582" spans="1:15" x14ac:dyDescent="0.25">
      <c r="A582">
        <v>581</v>
      </c>
      <c r="B582">
        <v>19980</v>
      </c>
      <c r="C582" t="s">
        <v>644</v>
      </c>
      <c r="O582"/>
    </row>
    <row r="583" spans="1:15" x14ac:dyDescent="0.25">
      <c r="A583">
        <v>582</v>
      </c>
      <c r="B583">
        <v>20040</v>
      </c>
      <c r="C583" t="s">
        <v>645</v>
      </c>
      <c r="O583"/>
    </row>
    <row r="584" spans="1:15" x14ac:dyDescent="0.25">
      <c r="A584">
        <v>583</v>
      </c>
      <c r="B584">
        <v>20020</v>
      </c>
      <c r="C584" t="s">
        <v>646</v>
      </c>
      <c r="O584"/>
    </row>
    <row r="585" spans="1:15" x14ac:dyDescent="0.25">
      <c r="A585">
        <v>584</v>
      </c>
      <c r="B585">
        <v>19980</v>
      </c>
      <c r="C585" t="s">
        <v>647</v>
      </c>
      <c r="O585"/>
    </row>
    <row r="586" spans="1:15" x14ac:dyDescent="0.25">
      <c r="A586">
        <v>585</v>
      </c>
      <c r="B586">
        <v>20000</v>
      </c>
      <c r="C586" t="s">
        <v>648</v>
      </c>
      <c r="O586"/>
    </row>
    <row r="587" spans="1:15" x14ac:dyDescent="0.25">
      <c r="A587">
        <v>586</v>
      </c>
      <c r="B587">
        <v>20000</v>
      </c>
      <c r="C587" t="s">
        <v>649</v>
      </c>
      <c r="O587"/>
    </row>
    <row r="588" spans="1:15" x14ac:dyDescent="0.25">
      <c r="A588">
        <v>587</v>
      </c>
      <c r="B588">
        <v>20000</v>
      </c>
      <c r="C588" t="s">
        <v>650</v>
      </c>
      <c r="O588"/>
    </row>
    <row r="589" spans="1:15" x14ac:dyDescent="0.25">
      <c r="A589">
        <v>588</v>
      </c>
      <c r="B589">
        <v>20000</v>
      </c>
      <c r="C589" t="s">
        <v>651</v>
      </c>
      <c r="O589"/>
    </row>
    <row r="590" spans="1:15" x14ac:dyDescent="0.25">
      <c r="A590">
        <v>589</v>
      </c>
      <c r="B590">
        <v>20020</v>
      </c>
      <c r="C590" t="s">
        <v>652</v>
      </c>
      <c r="O590"/>
    </row>
    <row r="591" spans="1:15" x14ac:dyDescent="0.25">
      <c r="A591">
        <v>590</v>
      </c>
      <c r="B591">
        <v>20000</v>
      </c>
      <c r="O591"/>
    </row>
    <row r="592" spans="1:15" x14ac:dyDescent="0.25">
      <c r="A592">
        <v>591</v>
      </c>
      <c r="B592">
        <v>20000</v>
      </c>
      <c r="C592" t="s">
        <v>653</v>
      </c>
      <c r="O592"/>
    </row>
    <row r="593" spans="1:15" x14ac:dyDescent="0.25">
      <c r="A593">
        <v>592</v>
      </c>
      <c r="B593">
        <v>20020</v>
      </c>
      <c r="C593" t="s">
        <v>654</v>
      </c>
      <c r="O593"/>
    </row>
    <row r="594" spans="1:15" x14ac:dyDescent="0.25">
      <c r="A594">
        <v>593</v>
      </c>
      <c r="B594">
        <v>20020</v>
      </c>
      <c r="C594" t="s">
        <v>655</v>
      </c>
      <c r="O594"/>
    </row>
    <row r="595" spans="1:15" x14ac:dyDescent="0.25">
      <c r="A595">
        <v>594</v>
      </c>
      <c r="B595">
        <v>20000</v>
      </c>
      <c r="C595" t="s">
        <v>656</v>
      </c>
      <c r="O595"/>
    </row>
    <row r="596" spans="1:15" x14ac:dyDescent="0.25">
      <c r="A596">
        <v>595</v>
      </c>
      <c r="B596">
        <v>20000</v>
      </c>
      <c r="C596" t="s">
        <v>657</v>
      </c>
      <c r="O596"/>
    </row>
    <row r="597" spans="1:15" x14ac:dyDescent="0.25">
      <c r="A597">
        <v>596</v>
      </c>
      <c r="B597">
        <v>19980</v>
      </c>
      <c r="C597" t="s">
        <v>658</v>
      </c>
      <c r="O597"/>
    </row>
    <row r="598" spans="1:15" x14ac:dyDescent="0.25">
      <c r="A598">
        <v>597</v>
      </c>
      <c r="B598">
        <v>20020</v>
      </c>
      <c r="C598" t="s">
        <v>659</v>
      </c>
      <c r="O598"/>
    </row>
    <row r="599" spans="1:15" x14ac:dyDescent="0.25">
      <c r="A599">
        <v>598</v>
      </c>
      <c r="B599">
        <v>20000</v>
      </c>
      <c r="C599" t="s">
        <v>660</v>
      </c>
      <c r="O599"/>
    </row>
    <row r="600" spans="1:15" x14ac:dyDescent="0.25">
      <c r="A600">
        <v>599</v>
      </c>
      <c r="B600">
        <v>20000</v>
      </c>
      <c r="C600" t="s">
        <v>661</v>
      </c>
      <c r="O600"/>
    </row>
    <row r="601" spans="1:15" x14ac:dyDescent="0.25">
      <c r="A601">
        <v>600</v>
      </c>
      <c r="B601">
        <v>20020</v>
      </c>
      <c r="C601" t="s">
        <v>662</v>
      </c>
      <c r="O601"/>
    </row>
    <row r="602" spans="1:15" x14ac:dyDescent="0.25">
      <c r="A602">
        <v>601</v>
      </c>
      <c r="B602">
        <v>20040</v>
      </c>
      <c r="C602" t="s">
        <v>663</v>
      </c>
      <c r="O602"/>
    </row>
    <row r="603" spans="1:15" x14ac:dyDescent="0.25">
      <c r="A603">
        <v>602</v>
      </c>
      <c r="B603">
        <v>20020</v>
      </c>
      <c r="C603" t="s">
        <v>664</v>
      </c>
      <c r="O603"/>
    </row>
    <row r="604" spans="1:15" x14ac:dyDescent="0.25">
      <c r="A604">
        <v>603</v>
      </c>
      <c r="B604">
        <v>20020</v>
      </c>
      <c r="C604" t="s">
        <v>665</v>
      </c>
      <c r="O604"/>
    </row>
    <row r="605" spans="1:15" x14ac:dyDescent="0.25">
      <c r="A605">
        <v>604</v>
      </c>
      <c r="B605">
        <v>20020</v>
      </c>
      <c r="C605" t="s">
        <v>666</v>
      </c>
      <c r="O605"/>
    </row>
    <row r="606" spans="1:15" x14ac:dyDescent="0.25">
      <c r="A606">
        <v>605</v>
      </c>
      <c r="B606">
        <v>20020</v>
      </c>
      <c r="C606" t="s">
        <v>667</v>
      </c>
      <c r="O606"/>
    </row>
    <row r="607" spans="1:15" x14ac:dyDescent="0.25">
      <c r="A607">
        <v>606</v>
      </c>
      <c r="B607">
        <v>20000</v>
      </c>
      <c r="C607" t="s">
        <v>668</v>
      </c>
      <c r="O607"/>
    </row>
    <row r="608" spans="1:15" x14ac:dyDescent="0.25">
      <c r="A608">
        <v>607</v>
      </c>
      <c r="B608">
        <v>20020</v>
      </c>
      <c r="C608" t="s">
        <v>669</v>
      </c>
      <c r="O608"/>
    </row>
    <row r="609" spans="1:15" x14ac:dyDescent="0.25">
      <c r="A609">
        <v>608</v>
      </c>
      <c r="B609">
        <v>20000</v>
      </c>
      <c r="C609" t="s">
        <v>670</v>
      </c>
      <c r="O609"/>
    </row>
    <row r="610" spans="1:15" x14ac:dyDescent="0.25">
      <c r="A610">
        <v>609</v>
      </c>
      <c r="B610">
        <v>20020</v>
      </c>
      <c r="C610" t="s">
        <v>671</v>
      </c>
      <c r="O610"/>
    </row>
    <row r="611" spans="1:15" x14ac:dyDescent="0.25">
      <c r="A611">
        <v>610</v>
      </c>
      <c r="B611">
        <v>20020</v>
      </c>
      <c r="C611" t="s">
        <v>672</v>
      </c>
      <c r="O611"/>
    </row>
    <row r="612" spans="1:15" x14ac:dyDescent="0.25">
      <c r="A612">
        <v>611</v>
      </c>
      <c r="B612">
        <v>20000</v>
      </c>
      <c r="C612" t="s">
        <v>673</v>
      </c>
      <c r="O612"/>
    </row>
    <row r="613" spans="1:15" x14ac:dyDescent="0.25">
      <c r="A613">
        <v>612</v>
      </c>
      <c r="B613">
        <v>20020</v>
      </c>
      <c r="C613" t="s">
        <v>674</v>
      </c>
      <c r="O613"/>
    </row>
    <row r="614" spans="1:15" x14ac:dyDescent="0.25">
      <c r="A614">
        <v>613</v>
      </c>
      <c r="B614">
        <v>20000</v>
      </c>
      <c r="C614" t="s">
        <v>675</v>
      </c>
      <c r="O614"/>
    </row>
    <row r="615" spans="1:15" x14ac:dyDescent="0.25">
      <c r="A615">
        <v>614</v>
      </c>
      <c r="B615">
        <v>20060</v>
      </c>
      <c r="C615" t="s">
        <v>676</v>
      </c>
      <c r="O615"/>
    </row>
    <row r="616" spans="1:15" x14ac:dyDescent="0.25">
      <c r="A616">
        <v>615</v>
      </c>
      <c r="B616">
        <v>20000</v>
      </c>
      <c r="C616" t="s">
        <v>677</v>
      </c>
      <c r="O616"/>
    </row>
    <row r="617" spans="1:15" x14ac:dyDescent="0.25">
      <c r="A617">
        <v>616</v>
      </c>
      <c r="B617">
        <v>20040</v>
      </c>
      <c r="C617" t="s">
        <v>678</v>
      </c>
      <c r="O617"/>
    </row>
    <row r="618" spans="1:15" x14ac:dyDescent="0.25">
      <c r="A618">
        <v>617</v>
      </c>
      <c r="B618">
        <v>20020</v>
      </c>
      <c r="C618" t="s">
        <v>679</v>
      </c>
      <c r="O618"/>
    </row>
    <row r="619" spans="1:15" x14ac:dyDescent="0.25">
      <c r="A619">
        <v>618</v>
      </c>
      <c r="B619">
        <v>20000</v>
      </c>
      <c r="C619" t="s">
        <v>680</v>
      </c>
      <c r="O619"/>
    </row>
    <row r="620" spans="1:15" x14ac:dyDescent="0.25">
      <c r="A620">
        <v>619</v>
      </c>
      <c r="B620">
        <v>20040</v>
      </c>
      <c r="C620" t="s">
        <v>681</v>
      </c>
      <c r="O620"/>
    </row>
    <row r="621" spans="1:15" x14ac:dyDescent="0.25">
      <c r="A621">
        <v>620</v>
      </c>
      <c r="B621">
        <v>20000</v>
      </c>
      <c r="O621"/>
    </row>
    <row r="622" spans="1:15" x14ac:dyDescent="0.25">
      <c r="A622">
        <v>621</v>
      </c>
      <c r="B622">
        <v>20040</v>
      </c>
      <c r="C622" t="s">
        <v>682</v>
      </c>
      <c r="O622"/>
    </row>
    <row r="623" spans="1:15" x14ac:dyDescent="0.25">
      <c r="A623">
        <v>622</v>
      </c>
      <c r="B623">
        <v>20020</v>
      </c>
      <c r="C623" t="s">
        <v>683</v>
      </c>
      <c r="O623"/>
    </row>
    <row r="624" spans="1:15" x14ac:dyDescent="0.25">
      <c r="A624">
        <v>623</v>
      </c>
      <c r="B624">
        <v>20020</v>
      </c>
      <c r="C624" t="s">
        <v>684</v>
      </c>
      <c r="O624"/>
    </row>
    <row r="625" spans="1:15" x14ac:dyDescent="0.25">
      <c r="A625">
        <v>624</v>
      </c>
      <c r="B625">
        <v>19980</v>
      </c>
      <c r="C625" t="s">
        <v>685</v>
      </c>
      <c r="O625"/>
    </row>
    <row r="626" spans="1:15" x14ac:dyDescent="0.25">
      <c r="A626">
        <v>625</v>
      </c>
      <c r="B626">
        <v>20040</v>
      </c>
      <c r="C626" t="s">
        <v>686</v>
      </c>
      <c r="O626"/>
    </row>
    <row r="627" spans="1:15" x14ac:dyDescent="0.25">
      <c r="A627">
        <v>626</v>
      </c>
      <c r="B627">
        <v>20020</v>
      </c>
      <c r="C627" t="s">
        <v>687</v>
      </c>
      <c r="O627"/>
    </row>
    <row r="628" spans="1:15" x14ac:dyDescent="0.25">
      <c r="A628">
        <v>627</v>
      </c>
      <c r="B628">
        <v>20020</v>
      </c>
      <c r="C628" t="s">
        <v>688</v>
      </c>
      <c r="O628"/>
    </row>
    <row r="629" spans="1:15" x14ac:dyDescent="0.25">
      <c r="A629">
        <v>628</v>
      </c>
      <c r="B629">
        <v>20020</v>
      </c>
      <c r="C629" t="s">
        <v>689</v>
      </c>
      <c r="O629"/>
    </row>
    <row r="630" spans="1:15" x14ac:dyDescent="0.25">
      <c r="A630">
        <v>629</v>
      </c>
      <c r="B630">
        <v>20000</v>
      </c>
      <c r="C630" t="s">
        <v>690</v>
      </c>
      <c r="O630"/>
    </row>
    <row r="631" spans="1:15" x14ac:dyDescent="0.25">
      <c r="A631">
        <v>630</v>
      </c>
      <c r="B631">
        <v>20000</v>
      </c>
      <c r="C631" t="s">
        <v>691</v>
      </c>
      <c r="O631"/>
    </row>
    <row r="632" spans="1:15" x14ac:dyDescent="0.25">
      <c r="A632">
        <v>631</v>
      </c>
      <c r="B632">
        <v>19980</v>
      </c>
      <c r="C632" t="s">
        <v>692</v>
      </c>
      <c r="O632"/>
    </row>
    <row r="633" spans="1:15" x14ac:dyDescent="0.25">
      <c r="A633">
        <v>632</v>
      </c>
      <c r="B633">
        <v>20000</v>
      </c>
      <c r="C633" t="s">
        <v>693</v>
      </c>
      <c r="O633"/>
    </row>
    <row r="634" spans="1:15" x14ac:dyDescent="0.25">
      <c r="A634">
        <v>633</v>
      </c>
      <c r="B634">
        <v>20040</v>
      </c>
      <c r="C634" t="s">
        <v>694</v>
      </c>
      <c r="O634"/>
    </row>
    <row r="635" spans="1:15" x14ac:dyDescent="0.25">
      <c r="A635">
        <v>634</v>
      </c>
      <c r="B635">
        <v>20020</v>
      </c>
      <c r="C635" t="s">
        <v>695</v>
      </c>
      <c r="O635"/>
    </row>
    <row r="636" spans="1:15" x14ac:dyDescent="0.25">
      <c r="A636">
        <v>635</v>
      </c>
      <c r="B636">
        <v>19980</v>
      </c>
      <c r="C636" t="s">
        <v>696</v>
      </c>
      <c r="O636"/>
    </row>
    <row r="637" spans="1:15" x14ac:dyDescent="0.25">
      <c r="A637">
        <v>636</v>
      </c>
      <c r="B637">
        <v>19960</v>
      </c>
      <c r="C637" t="s">
        <v>697</v>
      </c>
      <c r="O637"/>
    </row>
    <row r="638" spans="1:15" x14ac:dyDescent="0.25">
      <c r="A638">
        <v>637</v>
      </c>
      <c r="B638">
        <v>20040</v>
      </c>
      <c r="C638" t="s">
        <v>698</v>
      </c>
      <c r="O638"/>
    </row>
    <row r="639" spans="1:15" x14ac:dyDescent="0.25">
      <c r="A639">
        <v>638</v>
      </c>
      <c r="B639">
        <v>19960</v>
      </c>
      <c r="C639" t="s">
        <v>699</v>
      </c>
      <c r="O639"/>
    </row>
    <row r="640" spans="1:15" x14ac:dyDescent="0.25">
      <c r="A640">
        <v>639</v>
      </c>
      <c r="B640">
        <v>20040</v>
      </c>
      <c r="C640" t="s">
        <v>700</v>
      </c>
      <c r="O640"/>
    </row>
    <row r="641" spans="1:15" x14ac:dyDescent="0.25">
      <c r="A641">
        <v>640</v>
      </c>
      <c r="B641">
        <v>20020</v>
      </c>
      <c r="C641" t="s">
        <v>701</v>
      </c>
      <c r="O641"/>
    </row>
    <row r="642" spans="1:15" x14ac:dyDescent="0.25">
      <c r="A642">
        <v>641</v>
      </c>
      <c r="B642">
        <v>20020</v>
      </c>
      <c r="C642" t="s">
        <v>702</v>
      </c>
      <c r="O642"/>
    </row>
    <row r="643" spans="1:15" x14ac:dyDescent="0.25">
      <c r="A643">
        <v>642</v>
      </c>
      <c r="B643">
        <v>20020</v>
      </c>
      <c r="C643" t="s">
        <v>703</v>
      </c>
      <c r="O643"/>
    </row>
    <row r="644" spans="1:15" x14ac:dyDescent="0.25">
      <c r="A644">
        <v>643</v>
      </c>
      <c r="B644">
        <v>19980</v>
      </c>
      <c r="C644" t="s">
        <v>704</v>
      </c>
      <c r="O644"/>
    </row>
    <row r="645" spans="1:15" x14ac:dyDescent="0.25">
      <c r="A645">
        <v>644</v>
      </c>
      <c r="B645">
        <v>20020</v>
      </c>
      <c r="C645" t="s">
        <v>705</v>
      </c>
      <c r="O645"/>
    </row>
    <row r="646" spans="1:15" x14ac:dyDescent="0.25">
      <c r="A646">
        <v>645</v>
      </c>
      <c r="B646">
        <v>19980</v>
      </c>
      <c r="C646" t="s">
        <v>706</v>
      </c>
      <c r="O646"/>
    </row>
    <row r="647" spans="1:15" x14ac:dyDescent="0.25">
      <c r="A647">
        <v>646</v>
      </c>
      <c r="B647">
        <v>20020</v>
      </c>
      <c r="C647" t="s">
        <v>707</v>
      </c>
      <c r="O647"/>
    </row>
    <row r="648" spans="1:15" x14ac:dyDescent="0.25">
      <c r="A648">
        <v>647</v>
      </c>
      <c r="B648">
        <v>20020</v>
      </c>
      <c r="C648" t="s">
        <v>708</v>
      </c>
      <c r="O648"/>
    </row>
    <row r="649" spans="1:15" x14ac:dyDescent="0.25">
      <c r="A649">
        <v>648</v>
      </c>
      <c r="B649">
        <v>20020</v>
      </c>
      <c r="C649" t="s">
        <v>709</v>
      </c>
      <c r="O649"/>
    </row>
    <row r="650" spans="1:15" x14ac:dyDescent="0.25">
      <c r="A650">
        <v>649</v>
      </c>
      <c r="B650">
        <v>20040</v>
      </c>
      <c r="C650" t="s">
        <v>710</v>
      </c>
      <c r="O650"/>
    </row>
    <row r="651" spans="1:15" x14ac:dyDescent="0.25">
      <c r="A651">
        <v>650</v>
      </c>
      <c r="B651">
        <v>20000</v>
      </c>
      <c r="C651" t="s">
        <v>711</v>
      </c>
      <c r="O651"/>
    </row>
    <row r="652" spans="1:15" x14ac:dyDescent="0.25">
      <c r="A652">
        <v>651</v>
      </c>
      <c r="B652">
        <v>20020</v>
      </c>
      <c r="C652" t="s">
        <v>712</v>
      </c>
      <c r="O652"/>
    </row>
    <row r="653" spans="1:15" x14ac:dyDescent="0.25">
      <c r="A653">
        <v>652</v>
      </c>
      <c r="B653">
        <v>20000</v>
      </c>
      <c r="C653" t="s">
        <v>713</v>
      </c>
      <c r="O653"/>
    </row>
    <row r="654" spans="1:15" x14ac:dyDescent="0.25">
      <c r="A654">
        <v>653</v>
      </c>
      <c r="B654">
        <v>20020</v>
      </c>
      <c r="C654" t="s">
        <v>714</v>
      </c>
      <c r="O654"/>
    </row>
    <row r="655" spans="1:15" x14ac:dyDescent="0.25">
      <c r="A655">
        <v>654</v>
      </c>
      <c r="B655">
        <v>19980</v>
      </c>
      <c r="C655" t="s">
        <v>715</v>
      </c>
      <c r="O655"/>
    </row>
    <row r="656" spans="1:15" x14ac:dyDescent="0.25">
      <c r="A656">
        <v>655</v>
      </c>
      <c r="B656">
        <v>20020</v>
      </c>
      <c r="C656" t="s">
        <v>716</v>
      </c>
      <c r="O656"/>
    </row>
    <row r="657" spans="1:15" x14ac:dyDescent="0.25">
      <c r="A657">
        <v>656</v>
      </c>
      <c r="B657">
        <v>19980</v>
      </c>
      <c r="C657" t="s">
        <v>717</v>
      </c>
      <c r="O657"/>
    </row>
    <row r="658" spans="1:15" x14ac:dyDescent="0.25">
      <c r="A658">
        <v>657</v>
      </c>
      <c r="B658">
        <v>20000</v>
      </c>
      <c r="C658" t="s">
        <v>718</v>
      </c>
      <c r="O658"/>
    </row>
    <row r="659" spans="1:15" x14ac:dyDescent="0.25">
      <c r="A659">
        <v>658</v>
      </c>
      <c r="B659">
        <v>20040</v>
      </c>
      <c r="C659" t="s">
        <v>719</v>
      </c>
      <c r="O659"/>
    </row>
    <row r="660" spans="1:15" x14ac:dyDescent="0.25">
      <c r="A660">
        <v>659</v>
      </c>
      <c r="B660">
        <v>20020</v>
      </c>
      <c r="C660" t="s">
        <v>720</v>
      </c>
      <c r="O660"/>
    </row>
    <row r="661" spans="1:15" x14ac:dyDescent="0.25">
      <c r="A661">
        <v>660</v>
      </c>
      <c r="B661">
        <v>20000</v>
      </c>
      <c r="C661" t="s">
        <v>721</v>
      </c>
      <c r="O661"/>
    </row>
    <row r="662" spans="1:15" x14ac:dyDescent="0.25">
      <c r="A662">
        <v>661</v>
      </c>
      <c r="B662">
        <v>19980</v>
      </c>
      <c r="C662" t="s">
        <v>722</v>
      </c>
      <c r="O662"/>
    </row>
    <row r="663" spans="1:15" x14ac:dyDescent="0.25">
      <c r="A663">
        <v>662</v>
      </c>
      <c r="B663">
        <v>20020</v>
      </c>
      <c r="C663" t="s">
        <v>723</v>
      </c>
      <c r="O663"/>
    </row>
    <row r="664" spans="1:15" x14ac:dyDescent="0.25">
      <c r="A664">
        <v>663</v>
      </c>
      <c r="B664">
        <v>20020</v>
      </c>
      <c r="C664" t="s">
        <v>724</v>
      </c>
      <c r="O664"/>
    </row>
    <row r="665" spans="1:15" x14ac:dyDescent="0.25">
      <c r="A665">
        <v>664</v>
      </c>
      <c r="B665">
        <v>20000</v>
      </c>
      <c r="C665" t="s">
        <v>725</v>
      </c>
      <c r="O665"/>
    </row>
    <row r="666" spans="1:15" x14ac:dyDescent="0.25">
      <c r="A666">
        <v>665</v>
      </c>
      <c r="B666">
        <v>20020</v>
      </c>
      <c r="C666" t="s">
        <v>726</v>
      </c>
      <c r="O666"/>
    </row>
    <row r="667" spans="1:15" x14ac:dyDescent="0.25">
      <c r="A667">
        <v>666</v>
      </c>
      <c r="B667">
        <v>19980</v>
      </c>
      <c r="C667" t="s">
        <v>727</v>
      </c>
      <c r="O667"/>
    </row>
    <row r="668" spans="1:15" x14ac:dyDescent="0.25">
      <c r="A668">
        <v>667</v>
      </c>
      <c r="B668">
        <v>20000</v>
      </c>
      <c r="C668" t="s">
        <v>728</v>
      </c>
      <c r="O668"/>
    </row>
    <row r="669" spans="1:15" x14ac:dyDescent="0.25">
      <c r="A669">
        <v>668</v>
      </c>
      <c r="B669">
        <v>20040</v>
      </c>
      <c r="C669" t="s">
        <v>729</v>
      </c>
      <c r="O669"/>
    </row>
    <row r="670" spans="1:15" x14ac:dyDescent="0.25">
      <c r="A670">
        <v>669</v>
      </c>
      <c r="B670">
        <v>19980</v>
      </c>
      <c r="C670" t="s">
        <v>730</v>
      </c>
      <c r="O670"/>
    </row>
    <row r="671" spans="1:15" x14ac:dyDescent="0.25">
      <c r="A671">
        <v>670</v>
      </c>
      <c r="B671">
        <v>20040</v>
      </c>
      <c r="C671" t="s">
        <v>731</v>
      </c>
      <c r="O671"/>
    </row>
    <row r="672" spans="1:15" x14ac:dyDescent="0.25">
      <c r="A672">
        <v>671</v>
      </c>
      <c r="B672">
        <v>20040</v>
      </c>
      <c r="C672" t="s">
        <v>732</v>
      </c>
      <c r="O672"/>
    </row>
    <row r="673" spans="1:15" x14ac:dyDescent="0.25">
      <c r="A673">
        <v>672</v>
      </c>
      <c r="B673">
        <v>19980</v>
      </c>
      <c r="C673" t="s">
        <v>733</v>
      </c>
      <c r="O673"/>
    </row>
    <row r="674" spans="1:15" x14ac:dyDescent="0.25">
      <c r="A674">
        <v>673</v>
      </c>
      <c r="B674">
        <v>20020</v>
      </c>
      <c r="C674" t="s">
        <v>734</v>
      </c>
      <c r="O674"/>
    </row>
    <row r="675" spans="1:15" x14ac:dyDescent="0.25">
      <c r="A675">
        <v>674</v>
      </c>
      <c r="B675">
        <v>20000</v>
      </c>
      <c r="C675" t="s">
        <v>735</v>
      </c>
      <c r="O675"/>
    </row>
    <row r="676" spans="1:15" x14ac:dyDescent="0.25">
      <c r="A676">
        <v>675</v>
      </c>
      <c r="B676">
        <v>20000</v>
      </c>
      <c r="C676" t="s">
        <v>736</v>
      </c>
      <c r="O676"/>
    </row>
    <row r="677" spans="1:15" x14ac:dyDescent="0.25">
      <c r="A677">
        <v>676</v>
      </c>
      <c r="B677">
        <v>20020</v>
      </c>
      <c r="C677" t="s">
        <v>737</v>
      </c>
      <c r="O677"/>
    </row>
    <row r="678" spans="1:15" x14ac:dyDescent="0.25">
      <c r="A678">
        <v>677</v>
      </c>
      <c r="B678">
        <v>20000</v>
      </c>
      <c r="C678" t="s">
        <v>738</v>
      </c>
      <c r="O678"/>
    </row>
    <row r="679" spans="1:15" x14ac:dyDescent="0.25">
      <c r="A679">
        <v>678</v>
      </c>
      <c r="B679">
        <v>20000</v>
      </c>
      <c r="C679" t="s">
        <v>739</v>
      </c>
      <c r="O679"/>
    </row>
    <row r="680" spans="1:15" x14ac:dyDescent="0.25">
      <c r="A680">
        <v>679</v>
      </c>
      <c r="B680">
        <v>19980</v>
      </c>
      <c r="C680" t="s">
        <v>740</v>
      </c>
      <c r="O680"/>
    </row>
    <row r="681" spans="1:15" x14ac:dyDescent="0.25">
      <c r="A681">
        <v>680</v>
      </c>
      <c r="B681">
        <v>20000</v>
      </c>
      <c r="C681" t="s">
        <v>741</v>
      </c>
      <c r="O681"/>
    </row>
    <row r="682" spans="1:15" x14ac:dyDescent="0.25">
      <c r="A682">
        <v>681</v>
      </c>
      <c r="B682">
        <v>20080</v>
      </c>
      <c r="C682" t="s">
        <v>742</v>
      </c>
      <c r="O682"/>
    </row>
    <row r="683" spans="1:15" x14ac:dyDescent="0.25">
      <c r="A683">
        <v>682</v>
      </c>
      <c r="B683">
        <v>19980</v>
      </c>
      <c r="C683" t="s">
        <v>743</v>
      </c>
      <c r="O683"/>
    </row>
    <row r="684" spans="1:15" x14ac:dyDescent="0.25">
      <c r="A684">
        <v>683</v>
      </c>
      <c r="B684">
        <v>20000</v>
      </c>
      <c r="C684" t="s">
        <v>744</v>
      </c>
      <c r="O684"/>
    </row>
    <row r="685" spans="1:15" x14ac:dyDescent="0.25">
      <c r="A685">
        <v>684</v>
      </c>
      <c r="B685">
        <v>20000</v>
      </c>
      <c r="C685" t="s">
        <v>745</v>
      </c>
      <c r="O685"/>
    </row>
    <row r="686" spans="1:15" x14ac:dyDescent="0.25">
      <c r="A686">
        <v>685</v>
      </c>
      <c r="B686">
        <v>20000</v>
      </c>
      <c r="C686" t="s">
        <v>746</v>
      </c>
      <c r="O686"/>
    </row>
    <row r="687" spans="1:15" x14ac:dyDescent="0.25">
      <c r="A687">
        <v>686</v>
      </c>
      <c r="B687">
        <v>20000</v>
      </c>
      <c r="C687" t="s">
        <v>747</v>
      </c>
      <c r="O687"/>
    </row>
    <row r="688" spans="1:15" x14ac:dyDescent="0.25">
      <c r="A688">
        <v>687</v>
      </c>
      <c r="B688">
        <v>19960</v>
      </c>
      <c r="C688" t="s">
        <v>748</v>
      </c>
      <c r="O688"/>
    </row>
    <row r="689" spans="1:15" x14ac:dyDescent="0.25">
      <c r="A689">
        <v>688</v>
      </c>
      <c r="B689">
        <v>20000</v>
      </c>
      <c r="C689" t="s">
        <v>749</v>
      </c>
      <c r="O689"/>
    </row>
    <row r="690" spans="1:15" x14ac:dyDescent="0.25">
      <c r="A690">
        <v>689</v>
      </c>
      <c r="B690">
        <v>20000</v>
      </c>
      <c r="C690" t="s">
        <v>750</v>
      </c>
      <c r="O690"/>
    </row>
    <row r="691" spans="1:15" x14ac:dyDescent="0.25">
      <c r="A691">
        <v>690</v>
      </c>
      <c r="B691">
        <v>19980</v>
      </c>
      <c r="C691" t="s">
        <v>751</v>
      </c>
      <c r="O691"/>
    </row>
    <row r="692" spans="1:15" x14ac:dyDescent="0.25">
      <c r="A692">
        <v>691</v>
      </c>
      <c r="B692">
        <v>20000</v>
      </c>
      <c r="C692" t="s">
        <v>752</v>
      </c>
      <c r="O692"/>
    </row>
    <row r="693" spans="1:15" x14ac:dyDescent="0.25">
      <c r="A693">
        <v>692</v>
      </c>
      <c r="B693">
        <v>19980</v>
      </c>
      <c r="C693" t="s">
        <v>753</v>
      </c>
      <c r="O693"/>
    </row>
    <row r="694" spans="1:15" x14ac:dyDescent="0.25">
      <c r="A694">
        <v>693</v>
      </c>
      <c r="B694">
        <v>19980</v>
      </c>
      <c r="C694" t="s">
        <v>754</v>
      </c>
      <c r="O694"/>
    </row>
    <row r="695" spans="1:15" x14ac:dyDescent="0.25">
      <c r="A695">
        <v>694</v>
      </c>
      <c r="B695">
        <v>20000</v>
      </c>
      <c r="C695" t="s">
        <v>755</v>
      </c>
      <c r="O695"/>
    </row>
    <row r="696" spans="1:15" x14ac:dyDescent="0.25">
      <c r="A696">
        <v>695</v>
      </c>
      <c r="B696">
        <v>20000</v>
      </c>
      <c r="C696" t="s">
        <v>756</v>
      </c>
      <c r="O696"/>
    </row>
    <row r="697" spans="1:15" x14ac:dyDescent="0.25">
      <c r="A697">
        <v>696</v>
      </c>
      <c r="B697">
        <v>20020</v>
      </c>
      <c r="C697" t="s">
        <v>757</v>
      </c>
      <c r="O697"/>
    </row>
    <row r="698" spans="1:15" x14ac:dyDescent="0.25">
      <c r="A698">
        <v>697</v>
      </c>
      <c r="B698">
        <v>20000</v>
      </c>
      <c r="O698"/>
    </row>
    <row r="699" spans="1:15" x14ac:dyDescent="0.25">
      <c r="A699">
        <v>698</v>
      </c>
      <c r="B699">
        <v>20020</v>
      </c>
      <c r="C699" t="s">
        <v>758</v>
      </c>
      <c r="O699"/>
    </row>
    <row r="700" spans="1:15" x14ac:dyDescent="0.25">
      <c r="A700">
        <v>699</v>
      </c>
      <c r="B700">
        <v>20040</v>
      </c>
      <c r="C700" t="s">
        <v>759</v>
      </c>
      <c r="O700"/>
    </row>
    <row r="701" spans="1:15" x14ac:dyDescent="0.25">
      <c r="A701">
        <v>700</v>
      </c>
      <c r="B701">
        <v>20020</v>
      </c>
      <c r="C701" t="s">
        <v>760</v>
      </c>
      <c r="O701"/>
    </row>
    <row r="702" spans="1:15" x14ac:dyDescent="0.25">
      <c r="A702">
        <v>701</v>
      </c>
      <c r="B702">
        <v>19980</v>
      </c>
      <c r="C702" t="s">
        <v>761</v>
      </c>
      <c r="O702"/>
    </row>
    <row r="703" spans="1:15" x14ac:dyDescent="0.25">
      <c r="A703">
        <v>702</v>
      </c>
      <c r="B703">
        <v>20020</v>
      </c>
      <c r="C703" t="s">
        <v>762</v>
      </c>
      <c r="O703"/>
    </row>
    <row r="704" spans="1:15" x14ac:dyDescent="0.25">
      <c r="A704">
        <v>703</v>
      </c>
      <c r="B704">
        <v>20000</v>
      </c>
      <c r="C704" t="s">
        <v>763</v>
      </c>
      <c r="O704"/>
    </row>
    <row r="705" spans="1:15" x14ac:dyDescent="0.25">
      <c r="A705">
        <v>704</v>
      </c>
      <c r="B705">
        <v>20000</v>
      </c>
      <c r="C705" t="s">
        <v>764</v>
      </c>
      <c r="O705"/>
    </row>
    <row r="706" spans="1:15" x14ac:dyDescent="0.25">
      <c r="A706">
        <v>705</v>
      </c>
      <c r="B706">
        <v>20000</v>
      </c>
      <c r="C706" t="s">
        <v>765</v>
      </c>
      <c r="O706"/>
    </row>
    <row r="707" spans="1:15" x14ac:dyDescent="0.25">
      <c r="A707">
        <v>706</v>
      </c>
      <c r="B707">
        <v>20040</v>
      </c>
      <c r="C707" t="s">
        <v>766</v>
      </c>
      <c r="O707"/>
    </row>
    <row r="708" spans="1:15" x14ac:dyDescent="0.25">
      <c r="A708">
        <v>707</v>
      </c>
      <c r="B708">
        <v>20000</v>
      </c>
      <c r="C708" t="s">
        <v>767</v>
      </c>
      <c r="O708"/>
    </row>
    <row r="709" spans="1:15" x14ac:dyDescent="0.25">
      <c r="A709">
        <v>708</v>
      </c>
      <c r="B709">
        <v>20020</v>
      </c>
      <c r="C709" t="s">
        <v>768</v>
      </c>
      <c r="O709"/>
    </row>
    <row r="710" spans="1:15" x14ac:dyDescent="0.25">
      <c r="A710">
        <v>709</v>
      </c>
      <c r="B710">
        <v>20020</v>
      </c>
      <c r="C710" t="s">
        <v>769</v>
      </c>
      <c r="O710"/>
    </row>
    <row r="711" spans="1:15" x14ac:dyDescent="0.25">
      <c r="A711">
        <v>710</v>
      </c>
      <c r="B711">
        <v>20000</v>
      </c>
      <c r="C711" t="s">
        <v>770</v>
      </c>
      <c r="O711"/>
    </row>
    <row r="712" spans="1:15" x14ac:dyDescent="0.25">
      <c r="A712">
        <v>711</v>
      </c>
      <c r="B712">
        <v>20000</v>
      </c>
      <c r="C712" t="s">
        <v>771</v>
      </c>
      <c r="O712"/>
    </row>
    <row r="713" spans="1:15" x14ac:dyDescent="0.25">
      <c r="A713">
        <v>712</v>
      </c>
      <c r="B713">
        <v>20040</v>
      </c>
      <c r="C713" t="s">
        <v>772</v>
      </c>
      <c r="O713"/>
    </row>
    <row r="714" spans="1:15" x14ac:dyDescent="0.25">
      <c r="A714">
        <v>713</v>
      </c>
      <c r="B714">
        <v>20000</v>
      </c>
      <c r="C714" t="s">
        <v>773</v>
      </c>
      <c r="O714"/>
    </row>
    <row r="715" spans="1:15" x14ac:dyDescent="0.25">
      <c r="A715">
        <v>714</v>
      </c>
      <c r="B715">
        <v>20000</v>
      </c>
      <c r="C715" t="s">
        <v>774</v>
      </c>
      <c r="O715"/>
    </row>
    <row r="716" spans="1:15" x14ac:dyDescent="0.25">
      <c r="A716">
        <v>715</v>
      </c>
      <c r="B716">
        <v>20020</v>
      </c>
      <c r="C716" t="s">
        <v>775</v>
      </c>
      <c r="O716"/>
    </row>
    <row r="717" spans="1:15" x14ac:dyDescent="0.25">
      <c r="A717">
        <v>716</v>
      </c>
      <c r="B717">
        <v>20020</v>
      </c>
      <c r="C717" t="s">
        <v>776</v>
      </c>
      <c r="O717"/>
    </row>
    <row r="718" spans="1:15" x14ac:dyDescent="0.25">
      <c r="A718">
        <v>717</v>
      </c>
      <c r="B718">
        <v>19980</v>
      </c>
      <c r="C718" t="s">
        <v>777</v>
      </c>
      <c r="O718"/>
    </row>
    <row r="719" spans="1:15" x14ac:dyDescent="0.25">
      <c r="A719">
        <v>718</v>
      </c>
      <c r="B719">
        <v>19980</v>
      </c>
      <c r="C719" t="s">
        <v>778</v>
      </c>
      <c r="O719"/>
    </row>
    <row r="720" spans="1:15" x14ac:dyDescent="0.25">
      <c r="A720">
        <v>719</v>
      </c>
      <c r="B720">
        <v>20040</v>
      </c>
      <c r="C720" t="s">
        <v>779</v>
      </c>
      <c r="O720"/>
    </row>
    <row r="721" spans="1:15" x14ac:dyDescent="0.25">
      <c r="A721">
        <v>720</v>
      </c>
      <c r="B721">
        <v>19980</v>
      </c>
      <c r="C721" t="s">
        <v>780</v>
      </c>
      <c r="O721"/>
    </row>
    <row r="722" spans="1:15" x14ac:dyDescent="0.25">
      <c r="A722">
        <v>721</v>
      </c>
      <c r="B722">
        <v>20000</v>
      </c>
      <c r="O722"/>
    </row>
    <row r="723" spans="1:15" x14ac:dyDescent="0.25">
      <c r="A723">
        <v>722</v>
      </c>
      <c r="B723">
        <v>20040</v>
      </c>
      <c r="C723" t="s">
        <v>781</v>
      </c>
      <c r="O723"/>
    </row>
    <row r="724" spans="1:15" x14ac:dyDescent="0.25">
      <c r="A724">
        <v>723</v>
      </c>
      <c r="B724">
        <v>20020</v>
      </c>
      <c r="C724" t="s">
        <v>782</v>
      </c>
      <c r="O724"/>
    </row>
    <row r="725" spans="1:15" x14ac:dyDescent="0.25">
      <c r="A725">
        <v>724</v>
      </c>
      <c r="B725">
        <v>20020</v>
      </c>
      <c r="C725" t="s">
        <v>783</v>
      </c>
      <c r="O725"/>
    </row>
    <row r="726" spans="1:15" x14ac:dyDescent="0.25">
      <c r="A726">
        <v>725</v>
      </c>
      <c r="B726">
        <v>20000</v>
      </c>
      <c r="C726" t="s">
        <v>784</v>
      </c>
      <c r="O726"/>
    </row>
    <row r="727" spans="1:15" x14ac:dyDescent="0.25">
      <c r="A727">
        <v>726</v>
      </c>
      <c r="B727">
        <v>19980</v>
      </c>
      <c r="C727" t="s">
        <v>785</v>
      </c>
      <c r="O727"/>
    </row>
    <row r="728" spans="1:15" x14ac:dyDescent="0.25">
      <c r="A728">
        <v>727</v>
      </c>
      <c r="B728">
        <v>20000</v>
      </c>
      <c r="C728" t="s">
        <v>786</v>
      </c>
      <c r="O728"/>
    </row>
    <row r="729" spans="1:15" x14ac:dyDescent="0.25">
      <c r="O729"/>
    </row>
    <row r="730" spans="1:15" x14ac:dyDescent="0.25">
      <c r="O730"/>
    </row>
    <row r="731" spans="1:15" x14ac:dyDescent="0.25">
      <c r="O731"/>
    </row>
    <row r="732" spans="1:15" x14ac:dyDescent="0.25">
      <c r="O732"/>
    </row>
    <row r="733" spans="1:15" x14ac:dyDescent="0.25">
      <c r="O733"/>
    </row>
    <row r="734" spans="1:15" x14ac:dyDescent="0.25">
      <c r="O734"/>
    </row>
    <row r="735" spans="1:15" x14ac:dyDescent="0.25">
      <c r="O735"/>
    </row>
    <row r="736" spans="1:15" x14ac:dyDescent="0.25">
      <c r="O736"/>
    </row>
    <row r="737" spans="15:15" x14ac:dyDescent="0.25">
      <c r="O737"/>
    </row>
    <row r="738" spans="15:15" x14ac:dyDescent="0.25">
      <c r="O738"/>
    </row>
    <row r="739" spans="15:15" x14ac:dyDescent="0.25">
      <c r="O739"/>
    </row>
    <row r="740" spans="15:15" x14ac:dyDescent="0.25">
      <c r="O740"/>
    </row>
    <row r="741" spans="15:15" x14ac:dyDescent="0.25">
      <c r="O741"/>
    </row>
    <row r="742" spans="15:15" x14ac:dyDescent="0.25">
      <c r="O742"/>
    </row>
    <row r="743" spans="15:15" x14ac:dyDescent="0.25">
      <c r="O743"/>
    </row>
    <row r="744" spans="15:15" x14ac:dyDescent="0.25">
      <c r="O744"/>
    </row>
    <row r="745" spans="15:15" x14ac:dyDescent="0.25">
      <c r="O745"/>
    </row>
    <row r="746" spans="15:15" x14ac:dyDescent="0.25">
      <c r="O746"/>
    </row>
    <row r="747" spans="15:15" x14ac:dyDescent="0.25">
      <c r="O747"/>
    </row>
    <row r="748" spans="15:15" x14ac:dyDescent="0.25">
      <c r="O748"/>
    </row>
    <row r="749" spans="15:15" x14ac:dyDescent="0.25">
      <c r="O749"/>
    </row>
    <row r="750" spans="15:15" x14ac:dyDescent="0.25">
      <c r="O750"/>
    </row>
    <row r="751" spans="15:15" x14ac:dyDescent="0.25">
      <c r="O751"/>
    </row>
    <row r="752" spans="15:15" x14ac:dyDescent="0.25">
      <c r="O752"/>
    </row>
    <row r="753" spans="15:15" x14ac:dyDescent="0.25">
      <c r="O753"/>
    </row>
    <row r="754" spans="15:15" x14ac:dyDescent="0.25">
      <c r="O754"/>
    </row>
    <row r="755" spans="15:15" x14ac:dyDescent="0.25">
      <c r="O755"/>
    </row>
    <row r="756" spans="15:15" x14ac:dyDescent="0.25">
      <c r="O756"/>
    </row>
    <row r="757" spans="15:15" x14ac:dyDescent="0.25">
      <c r="O757"/>
    </row>
    <row r="758" spans="15:15" x14ac:dyDescent="0.25">
      <c r="O758"/>
    </row>
    <row r="759" spans="15:15" x14ac:dyDescent="0.25">
      <c r="O759"/>
    </row>
    <row r="760" spans="15:15" x14ac:dyDescent="0.25">
      <c r="O760"/>
    </row>
    <row r="761" spans="15:15" x14ac:dyDescent="0.25">
      <c r="O761"/>
    </row>
    <row r="762" spans="15:15" x14ac:dyDescent="0.25">
      <c r="O762"/>
    </row>
    <row r="763" spans="15:15" x14ac:dyDescent="0.25">
      <c r="O763"/>
    </row>
    <row r="764" spans="15:15" x14ac:dyDescent="0.25">
      <c r="O764"/>
    </row>
    <row r="765" spans="15:15" x14ac:dyDescent="0.25">
      <c r="O765"/>
    </row>
    <row r="766" spans="15:15" x14ac:dyDescent="0.25">
      <c r="O766"/>
    </row>
    <row r="767" spans="15:15" x14ac:dyDescent="0.25">
      <c r="O767"/>
    </row>
    <row r="768" spans="15:15" x14ac:dyDescent="0.25">
      <c r="O768"/>
    </row>
    <row r="769" spans="15:15" x14ac:dyDescent="0.25">
      <c r="O769"/>
    </row>
    <row r="770" spans="15:15" x14ac:dyDescent="0.25">
      <c r="O770"/>
    </row>
    <row r="771" spans="15:15" x14ac:dyDescent="0.25">
      <c r="O771"/>
    </row>
    <row r="772" spans="15:15" x14ac:dyDescent="0.25">
      <c r="O772"/>
    </row>
    <row r="773" spans="15:15" x14ac:dyDescent="0.25">
      <c r="O773"/>
    </row>
    <row r="774" spans="15:15" x14ac:dyDescent="0.25">
      <c r="O774"/>
    </row>
    <row r="775" spans="15:15" x14ac:dyDescent="0.25">
      <c r="O775"/>
    </row>
    <row r="776" spans="15:15" x14ac:dyDescent="0.25">
      <c r="O776"/>
    </row>
    <row r="777" spans="15:15" x14ac:dyDescent="0.25">
      <c r="O777"/>
    </row>
    <row r="778" spans="15:15" x14ac:dyDescent="0.25">
      <c r="O778"/>
    </row>
    <row r="779" spans="15:15" x14ac:dyDescent="0.25">
      <c r="O779"/>
    </row>
    <row r="780" spans="15:15" x14ac:dyDescent="0.25">
      <c r="O780"/>
    </row>
    <row r="781" spans="15:15" x14ac:dyDescent="0.25">
      <c r="O781"/>
    </row>
    <row r="782" spans="15:15" x14ac:dyDescent="0.25">
      <c r="O782"/>
    </row>
    <row r="783" spans="15:15" x14ac:dyDescent="0.25">
      <c r="O783"/>
    </row>
    <row r="784" spans="15:15" x14ac:dyDescent="0.25">
      <c r="O784"/>
    </row>
    <row r="785" spans="15:15" x14ac:dyDescent="0.25">
      <c r="O785"/>
    </row>
    <row r="786" spans="15:15" x14ac:dyDescent="0.25">
      <c r="O786"/>
    </row>
    <row r="787" spans="15:15" x14ac:dyDescent="0.25">
      <c r="O787"/>
    </row>
    <row r="788" spans="15:15" x14ac:dyDescent="0.25">
      <c r="O788"/>
    </row>
    <row r="789" spans="15:15" x14ac:dyDescent="0.25">
      <c r="O789"/>
    </row>
    <row r="790" spans="15:15" x14ac:dyDescent="0.25">
      <c r="O790"/>
    </row>
    <row r="791" spans="15:15" x14ac:dyDescent="0.25">
      <c r="O791"/>
    </row>
    <row r="792" spans="15:15" x14ac:dyDescent="0.25">
      <c r="O792"/>
    </row>
    <row r="793" spans="15:15" x14ac:dyDescent="0.25">
      <c r="O793"/>
    </row>
    <row r="794" spans="15:15" x14ac:dyDescent="0.25">
      <c r="O794"/>
    </row>
    <row r="795" spans="15:15" x14ac:dyDescent="0.25">
      <c r="O795"/>
    </row>
    <row r="796" spans="15:15" x14ac:dyDescent="0.25">
      <c r="O796"/>
    </row>
    <row r="797" spans="15:15" x14ac:dyDescent="0.25">
      <c r="O797"/>
    </row>
    <row r="798" spans="15:15" x14ac:dyDescent="0.25">
      <c r="O798"/>
    </row>
    <row r="799" spans="15:15" x14ac:dyDescent="0.25">
      <c r="O799"/>
    </row>
    <row r="800" spans="15:15" x14ac:dyDescent="0.25">
      <c r="O800"/>
    </row>
    <row r="801" spans="15:15" x14ac:dyDescent="0.25">
      <c r="O801"/>
    </row>
    <row r="802" spans="15:15" x14ac:dyDescent="0.25">
      <c r="O802"/>
    </row>
    <row r="803" spans="15:15" x14ac:dyDescent="0.25">
      <c r="O803"/>
    </row>
    <row r="804" spans="15:15" x14ac:dyDescent="0.25">
      <c r="O804"/>
    </row>
    <row r="805" spans="15:15" x14ac:dyDescent="0.25">
      <c r="O805"/>
    </row>
    <row r="806" spans="15:15" x14ac:dyDescent="0.25">
      <c r="O806"/>
    </row>
    <row r="807" spans="15:15" x14ac:dyDescent="0.25">
      <c r="O807"/>
    </row>
    <row r="808" spans="15:15" x14ac:dyDescent="0.25">
      <c r="O808"/>
    </row>
    <row r="809" spans="15:15" x14ac:dyDescent="0.25">
      <c r="O809"/>
    </row>
    <row r="810" spans="15:15" x14ac:dyDescent="0.25">
      <c r="O810"/>
    </row>
    <row r="811" spans="15:15" x14ac:dyDescent="0.25">
      <c r="O811"/>
    </row>
    <row r="812" spans="15:15" x14ac:dyDescent="0.25">
      <c r="O812"/>
    </row>
    <row r="813" spans="15:15" x14ac:dyDescent="0.25">
      <c r="O813"/>
    </row>
    <row r="814" spans="15:15" x14ac:dyDescent="0.25">
      <c r="O814"/>
    </row>
    <row r="815" spans="15:15" x14ac:dyDescent="0.25">
      <c r="O815"/>
    </row>
    <row r="816" spans="15:15" x14ac:dyDescent="0.25">
      <c r="O816"/>
    </row>
    <row r="817" spans="15:15" x14ac:dyDescent="0.25">
      <c r="O817"/>
    </row>
    <row r="818" spans="15:15" x14ac:dyDescent="0.25">
      <c r="O818"/>
    </row>
    <row r="819" spans="15:15" x14ac:dyDescent="0.25">
      <c r="O819"/>
    </row>
    <row r="820" spans="15:15" x14ac:dyDescent="0.25">
      <c r="O820"/>
    </row>
    <row r="821" spans="15:15" x14ac:dyDescent="0.25">
      <c r="O821"/>
    </row>
    <row r="822" spans="15:15" x14ac:dyDescent="0.25">
      <c r="O822"/>
    </row>
    <row r="823" spans="15:15" x14ac:dyDescent="0.25">
      <c r="O823"/>
    </row>
    <row r="824" spans="15:15" x14ac:dyDescent="0.25">
      <c r="O824"/>
    </row>
    <row r="825" spans="15:15" x14ac:dyDescent="0.25">
      <c r="O825"/>
    </row>
    <row r="826" spans="15:15" x14ac:dyDescent="0.25">
      <c r="O826"/>
    </row>
    <row r="827" spans="15:15" x14ac:dyDescent="0.25">
      <c r="O827"/>
    </row>
    <row r="828" spans="15:15" x14ac:dyDescent="0.25">
      <c r="O828"/>
    </row>
    <row r="829" spans="15:15" x14ac:dyDescent="0.25">
      <c r="O829"/>
    </row>
    <row r="830" spans="15:15" x14ac:dyDescent="0.25">
      <c r="O830"/>
    </row>
    <row r="831" spans="15:15" x14ac:dyDescent="0.25">
      <c r="O831"/>
    </row>
    <row r="832" spans="15:15" x14ac:dyDescent="0.25">
      <c r="O832"/>
    </row>
    <row r="833" spans="15:15" x14ac:dyDescent="0.25">
      <c r="O833"/>
    </row>
    <row r="834" spans="15:15" x14ac:dyDescent="0.25">
      <c r="O834"/>
    </row>
    <row r="835" spans="15:15" x14ac:dyDescent="0.25">
      <c r="O835"/>
    </row>
    <row r="836" spans="15:15" x14ac:dyDescent="0.25">
      <c r="O836"/>
    </row>
    <row r="837" spans="15:15" x14ac:dyDescent="0.25">
      <c r="O837"/>
    </row>
    <row r="838" spans="15:15" x14ac:dyDescent="0.25">
      <c r="O838"/>
    </row>
    <row r="839" spans="15:15" x14ac:dyDescent="0.25">
      <c r="O839"/>
    </row>
    <row r="840" spans="15:15" x14ac:dyDescent="0.25">
      <c r="O840"/>
    </row>
    <row r="841" spans="15:15" x14ac:dyDescent="0.25">
      <c r="O841"/>
    </row>
    <row r="842" spans="15:15" x14ac:dyDescent="0.25">
      <c r="O842"/>
    </row>
    <row r="843" spans="15:15" x14ac:dyDescent="0.25">
      <c r="O843"/>
    </row>
    <row r="844" spans="15:15" x14ac:dyDescent="0.25">
      <c r="O844"/>
    </row>
    <row r="845" spans="15:15" x14ac:dyDescent="0.25">
      <c r="O845"/>
    </row>
    <row r="846" spans="15:15" x14ac:dyDescent="0.25">
      <c r="O846"/>
    </row>
    <row r="847" spans="15:15" x14ac:dyDescent="0.25">
      <c r="O847"/>
    </row>
    <row r="848" spans="15:15" x14ac:dyDescent="0.25">
      <c r="O848"/>
    </row>
    <row r="849" spans="15:15" x14ac:dyDescent="0.25">
      <c r="O849"/>
    </row>
    <row r="850" spans="15:15" x14ac:dyDescent="0.25">
      <c r="O850"/>
    </row>
    <row r="851" spans="15:15" x14ac:dyDescent="0.25">
      <c r="O851"/>
    </row>
    <row r="852" spans="15:15" x14ac:dyDescent="0.25">
      <c r="O852"/>
    </row>
    <row r="853" spans="15:15" x14ac:dyDescent="0.25">
      <c r="O853"/>
    </row>
    <row r="854" spans="15:15" x14ac:dyDescent="0.25">
      <c r="O854"/>
    </row>
    <row r="855" spans="15:15" x14ac:dyDescent="0.25">
      <c r="O855"/>
    </row>
    <row r="856" spans="15:15" x14ac:dyDescent="0.25">
      <c r="O856"/>
    </row>
    <row r="857" spans="15:15" x14ac:dyDescent="0.25">
      <c r="O857"/>
    </row>
    <row r="858" spans="15:15" x14ac:dyDescent="0.25">
      <c r="O858"/>
    </row>
    <row r="859" spans="15:15" x14ac:dyDescent="0.25">
      <c r="O859"/>
    </row>
    <row r="860" spans="15:15" x14ac:dyDescent="0.25">
      <c r="O860"/>
    </row>
    <row r="861" spans="15:15" x14ac:dyDescent="0.25">
      <c r="O861"/>
    </row>
    <row r="862" spans="15:15" x14ac:dyDescent="0.25">
      <c r="O862"/>
    </row>
    <row r="863" spans="15:15" x14ac:dyDescent="0.25">
      <c r="O863"/>
    </row>
    <row r="864" spans="15:15" x14ac:dyDescent="0.25">
      <c r="O864"/>
    </row>
    <row r="865" spans="15:15" x14ac:dyDescent="0.25">
      <c r="O865"/>
    </row>
    <row r="866" spans="15:15" x14ac:dyDescent="0.25">
      <c r="O866"/>
    </row>
    <row r="867" spans="15:15" x14ac:dyDescent="0.25">
      <c r="O867"/>
    </row>
    <row r="868" spans="15:15" x14ac:dyDescent="0.25">
      <c r="O868"/>
    </row>
    <row r="869" spans="15:15" x14ac:dyDescent="0.25">
      <c r="O869"/>
    </row>
    <row r="870" spans="15:15" x14ac:dyDescent="0.25">
      <c r="O870"/>
    </row>
    <row r="871" spans="15:15" x14ac:dyDescent="0.25">
      <c r="O871"/>
    </row>
    <row r="872" spans="15:15" x14ac:dyDescent="0.25">
      <c r="O872"/>
    </row>
    <row r="873" spans="15:15" x14ac:dyDescent="0.25">
      <c r="O873"/>
    </row>
    <row r="874" spans="15:15" x14ac:dyDescent="0.25">
      <c r="O874"/>
    </row>
    <row r="875" spans="15:15" x14ac:dyDescent="0.25">
      <c r="O875"/>
    </row>
    <row r="876" spans="15:15" x14ac:dyDescent="0.25">
      <c r="O876"/>
    </row>
    <row r="877" spans="15:15" x14ac:dyDescent="0.25">
      <c r="O877"/>
    </row>
    <row r="878" spans="15:15" x14ac:dyDescent="0.25">
      <c r="O878"/>
    </row>
    <row r="879" spans="15:15" x14ac:dyDescent="0.25">
      <c r="O879"/>
    </row>
    <row r="880" spans="15:15" x14ac:dyDescent="0.25">
      <c r="O880"/>
    </row>
    <row r="881" spans="15:15" x14ac:dyDescent="0.25">
      <c r="O881"/>
    </row>
    <row r="882" spans="15:15" x14ac:dyDescent="0.25">
      <c r="O882"/>
    </row>
    <row r="883" spans="15:15" x14ac:dyDescent="0.25">
      <c r="O883"/>
    </row>
    <row r="884" spans="15:15" x14ac:dyDescent="0.25">
      <c r="O884"/>
    </row>
    <row r="885" spans="15:15" x14ac:dyDescent="0.25">
      <c r="O885"/>
    </row>
    <row r="886" spans="15:15" x14ac:dyDescent="0.25">
      <c r="O886"/>
    </row>
    <row r="887" spans="15:15" x14ac:dyDescent="0.25">
      <c r="O887"/>
    </row>
    <row r="888" spans="15:15" x14ac:dyDescent="0.25">
      <c r="O888"/>
    </row>
    <row r="889" spans="15:15" x14ac:dyDescent="0.25">
      <c r="O889"/>
    </row>
    <row r="890" spans="15:15" x14ac:dyDescent="0.25">
      <c r="O890"/>
    </row>
    <row r="891" spans="15:15" x14ac:dyDescent="0.25">
      <c r="O891"/>
    </row>
    <row r="892" spans="15:15" x14ac:dyDescent="0.25">
      <c r="O892"/>
    </row>
    <row r="893" spans="15:15" x14ac:dyDescent="0.25">
      <c r="O893"/>
    </row>
    <row r="894" spans="15:15" x14ac:dyDescent="0.25">
      <c r="O894"/>
    </row>
    <row r="895" spans="15:15" x14ac:dyDescent="0.25">
      <c r="O895"/>
    </row>
    <row r="896" spans="15:15" x14ac:dyDescent="0.25">
      <c r="O896"/>
    </row>
    <row r="897" spans="15:15" x14ac:dyDescent="0.25">
      <c r="O897"/>
    </row>
    <row r="898" spans="15:15" x14ac:dyDescent="0.25">
      <c r="O898"/>
    </row>
    <row r="899" spans="15:15" x14ac:dyDescent="0.25">
      <c r="O899"/>
    </row>
    <row r="900" spans="15:15" x14ac:dyDescent="0.25">
      <c r="O900"/>
    </row>
    <row r="901" spans="15:15" x14ac:dyDescent="0.25">
      <c r="O901"/>
    </row>
    <row r="902" spans="15:15" x14ac:dyDescent="0.25">
      <c r="O902"/>
    </row>
    <row r="903" spans="15:15" x14ac:dyDescent="0.25">
      <c r="O903"/>
    </row>
    <row r="904" spans="15:15" x14ac:dyDescent="0.25">
      <c r="O904"/>
    </row>
    <row r="905" spans="15:15" x14ac:dyDescent="0.25">
      <c r="O905"/>
    </row>
    <row r="906" spans="15:15" x14ac:dyDescent="0.25">
      <c r="O906"/>
    </row>
    <row r="907" spans="15:15" x14ac:dyDescent="0.25">
      <c r="O907"/>
    </row>
    <row r="908" spans="15:15" x14ac:dyDescent="0.25">
      <c r="O908"/>
    </row>
    <row r="909" spans="15:15" x14ac:dyDescent="0.25">
      <c r="O909"/>
    </row>
    <row r="910" spans="15:15" x14ac:dyDescent="0.25">
      <c r="O910"/>
    </row>
    <row r="911" spans="15:15" x14ac:dyDescent="0.25">
      <c r="O911"/>
    </row>
    <row r="912" spans="15:15" x14ac:dyDescent="0.25">
      <c r="O912"/>
    </row>
    <row r="913" spans="15:15" x14ac:dyDescent="0.25">
      <c r="O913"/>
    </row>
    <row r="914" spans="15:15" x14ac:dyDescent="0.25">
      <c r="O914"/>
    </row>
    <row r="915" spans="15:15" x14ac:dyDescent="0.25">
      <c r="O915"/>
    </row>
    <row r="916" spans="15:15" x14ac:dyDescent="0.25">
      <c r="O916"/>
    </row>
    <row r="917" spans="15:15" x14ac:dyDescent="0.25">
      <c r="O917"/>
    </row>
    <row r="918" spans="15:15" x14ac:dyDescent="0.25">
      <c r="O918"/>
    </row>
    <row r="919" spans="15:15" x14ac:dyDescent="0.25">
      <c r="O919"/>
    </row>
    <row r="920" spans="15:15" x14ac:dyDescent="0.25">
      <c r="O920"/>
    </row>
    <row r="921" spans="15:15" x14ac:dyDescent="0.25">
      <c r="O921"/>
    </row>
    <row r="922" spans="15:15" x14ac:dyDescent="0.25">
      <c r="O922"/>
    </row>
    <row r="923" spans="15:15" x14ac:dyDescent="0.25">
      <c r="O923"/>
    </row>
    <row r="924" spans="15:15" x14ac:dyDescent="0.25">
      <c r="O924"/>
    </row>
    <row r="925" spans="15:15" x14ac:dyDescent="0.25">
      <c r="O925"/>
    </row>
    <row r="926" spans="15:15" x14ac:dyDescent="0.25">
      <c r="O926"/>
    </row>
    <row r="927" spans="15:15" x14ac:dyDescent="0.25">
      <c r="O927"/>
    </row>
    <row r="928" spans="15:15" x14ac:dyDescent="0.25">
      <c r="O928"/>
    </row>
    <row r="929" spans="15:15" x14ac:dyDescent="0.25">
      <c r="O929"/>
    </row>
    <row r="930" spans="15:15" x14ac:dyDescent="0.25">
      <c r="O930"/>
    </row>
    <row r="931" spans="15:15" x14ac:dyDescent="0.25">
      <c r="O931"/>
    </row>
    <row r="932" spans="15:15" x14ac:dyDescent="0.25">
      <c r="O932"/>
    </row>
    <row r="933" spans="15:15" x14ac:dyDescent="0.25">
      <c r="O933"/>
    </row>
    <row r="934" spans="15:15" x14ac:dyDescent="0.25">
      <c r="O934"/>
    </row>
    <row r="935" spans="15:15" x14ac:dyDescent="0.25">
      <c r="O935"/>
    </row>
    <row r="936" spans="15:15" x14ac:dyDescent="0.25">
      <c r="O936"/>
    </row>
    <row r="937" spans="15:15" x14ac:dyDescent="0.25">
      <c r="O937"/>
    </row>
    <row r="938" spans="15:15" x14ac:dyDescent="0.25">
      <c r="O938"/>
    </row>
    <row r="939" spans="15:15" x14ac:dyDescent="0.25">
      <c r="O939"/>
    </row>
    <row r="940" spans="15:15" x14ac:dyDescent="0.25">
      <c r="O940"/>
    </row>
    <row r="941" spans="15:15" x14ac:dyDescent="0.25">
      <c r="O941"/>
    </row>
    <row r="942" spans="15:15" x14ac:dyDescent="0.25">
      <c r="O942"/>
    </row>
    <row r="943" spans="15:15" x14ac:dyDescent="0.25">
      <c r="O943"/>
    </row>
    <row r="944" spans="15:15" x14ac:dyDescent="0.25">
      <c r="O944"/>
    </row>
    <row r="945" spans="15:15" x14ac:dyDescent="0.25">
      <c r="O945"/>
    </row>
    <row r="946" spans="15:15" x14ac:dyDescent="0.25">
      <c r="O946"/>
    </row>
    <row r="947" spans="15:15" x14ac:dyDescent="0.25">
      <c r="O947"/>
    </row>
    <row r="948" spans="15:15" x14ac:dyDescent="0.25">
      <c r="O948"/>
    </row>
    <row r="949" spans="15:15" x14ac:dyDescent="0.25">
      <c r="O949"/>
    </row>
    <row r="950" spans="15:15" x14ac:dyDescent="0.25">
      <c r="O950"/>
    </row>
    <row r="951" spans="15:15" x14ac:dyDescent="0.25">
      <c r="O951"/>
    </row>
    <row r="952" spans="15:15" x14ac:dyDescent="0.25">
      <c r="O952"/>
    </row>
    <row r="953" spans="15:15" x14ac:dyDescent="0.25">
      <c r="O953"/>
    </row>
    <row r="954" spans="15:15" x14ac:dyDescent="0.25">
      <c r="O954"/>
    </row>
    <row r="955" spans="15:15" x14ac:dyDescent="0.25">
      <c r="O955"/>
    </row>
    <row r="956" spans="15:15" x14ac:dyDescent="0.25">
      <c r="O956"/>
    </row>
    <row r="957" spans="15:15" x14ac:dyDescent="0.25">
      <c r="O957"/>
    </row>
    <row r="958" spans="15:15" x14ac:dyDescent="0.25">
      <c r="O958"/>
    </row>
    <row r="959" spans="15:15" x14ac:dyDescent="0.25">
      <c r="O959"/>
    </row>
    <row r="960" spans="15:15" x14ac:dyDescent="0.25">
      <c r="O960"/>
    </row>
    <row r="961" spans="15:15" x14ac:dyDescent="0.25">
      <c r="O961"/>
    </row>
    <row r="962" spans="15:15" x14ac:dyDescent="0.25">
      <c r="O962"/>
    </row>
    <row r="963" spans="15:15" x14ac:dyDescent="0.25">
      <c r="O963"/>
    </row>
    <row r="964" spans="15:15" x14ac:dyDescent="0.25">
      <c r="O964"/>
    </row>
    <row r="965" spans="15:15" x14ac:dyDescent="0.25">
      <c r="O965"/>
    </row>
    <row r="966" spans="15:15" x14ac:dyDescent="0.25">
      <c r="O966"/>
    </row>
    <row r="967" spans="15:15" x14ac:dyDescent="0.25">
      <c r="O967"/>
    </row>
    <row r="968" spans="15:15" x14ac:dyDescent="0.25">
      <c r="O968"/>
    </row>
    <row r="969" spans="15:15" x14ac:dyDescent="0.25">
      <c r="O969"/>
    </row>
    <row r="970" spans="15:15" x14ac:dyDescent="0.25">
      <c r="O970"/>
    </row>
    <row r="971" spans="15:15" x14ac:dyDescent="0.25">
      <c r="O971"/>
    </row>
    <row r="972" spans="15:15" x14ac:dyDescent="0.25">
      <c r="O972"/>
    </row>
    <row r="973" spans="15:15" x14ac:dyDescent="0.25">
      <c r="O973"/>
    </row>
    <row r="974" spans="15:15" x14ac:dyDescent="0.25">
      <c r="O974"/>
    </row>
    <row r="975" spans="15:15" x14ac:dyDescent="0.25">
      <c r="O975"/>
    </row>
    <row r="976" spans="15:15" x14ac:dyDescent="0.25">
      <c r="O976"/>
    </row>
    <row r="977" spans="15:15" x14ac:dyDescent="0.25">
      <c r="O977"/>
    </row>
    <row r="978" spans="15:15" x14ac:dyDescent="0.25">
      <c r="O978"/>
    </row>
    <row r="979" spans="15:15" x14ac:dyDescent="0.25">
      <c r="O979"/>
    </row>
    <row r="980" spans="15:15" x14ac:dyDescent="0.25">
      <c r="O980"/>
    </row>
    <row r="981" spans="15:15" x14ac:dyDescent="0.25">
      <c r="O981"/>
    </row>
    <row r="982" spans="15:15" x14ac:dyDescent="0.25">
      <c r="O982"/>
    </row>
    <row r="983" spans="15:15" x14ac:dyDescent="0.25">
      <c r="O983"/>
    </row>
    <row r="984" spans="15:15" x14ac:dyDescent="0.25">
      <c r="O984"/>
    </row>
    <row r="985" spans="15:15" x14ac:dyDescent="0.25">
      <c r="O985"/>
    </row>
    <row r="986" spans="15:15" x14ac:dyDescent="0.25">
      <c r="O986"/>
    </row>
    <row r="987" spans="15:15" x14ac:dyDescent="0.25">
      <c r="O987"/>
    </row>
    <row r="988" spans="15:15" x14ac:dyDescent="0.25">
      <c r="O988"/>
    </row>
    <row r="989" spans="15:15" x14ac:dyDescent="0.25">
      <c r="O989"/>
    </row>
    <row r="990" spans="15:15" x14ac:dyDescent="0.25">
      <c r="O990"/>
    </row>
    <row r="991" spans="15:15" x14ac:dyDescent="0.25">
      <c r="O991"/>
    </row>
    <row r="992" spans="15:15" x14ac:dyDescent="0.25">
      <c r="O992"/>
    </row>
    <row r="993" spans="15:15" x14ac:dyDescent="0.25">
      <c r="O993"/>
    </row>
    <row r="994" spans="15:15" x14ac:dyDescent="0.25">
      <c r="O994"/>
    </row>
    <row r="995" spans="15:15" x14ac:dyDescent="0.25">
      <c r="O995"/>
    </row>
    <row r="996" spans="15:15" x14ac:dyDescent="0.25">
      <c r="O996"/>
    </row>
    <row r="997" spans="15:15" x14ac:dyDescent="0.25">
      <c r="O997"/>
    </row>
    <row r="998" spans="15:15" x14ac:dyDescent="0.25">
      <c r="O998"/>
    </row>
    <row r="999" spans="15:15" x14ac:dyDescent="0.25">
      <c r="O999"/>
    </row>
    <row r="1000" spans="15:15" x14ac:dyDescent="0.25">
      <c r="O1000"/>
    </row>
    <row r="1001" spans="15:15" x14ac:dyDescent="0.25">
      <c r="O1001"/>
    </row>
    <row r="1002" spans="15:15" x14ac:dyDescent="0.25">
      <c r="O1002"/>
    </row>
    <row r="1003" spans="15:15" x14ac:dyDescent="0.25">
      <c r="O1003"/>
    </row>
    <row r="1004" spans="15:15" x14ac:dyDescent="0.25">
      <c r="O1004"/>
    </row>
    <row r="1005" spans="15:15" x14ac:dyDescent="0.25">
      <c r="O1005"/>
    </row>
    <row r="1006" spans="15:15" x14ac:dyDescent="0.25">
      <c r="O1006"/>
    </row>
    <row r="1007" spans="15:15" x14ac:dyDescent="0.25">
      <c r="O1007"/>
    </row>
    <row r="1008" spans="15:15" x14ac:dyDescent="0.25">
      <c r="O1008"/>
    </row>
    <row r="1009" spans="15:15" x14ac:dyDescent="0.25">
      <c r="O1009"/>
    </row>
    <row r="1010" spans="15:15" x14ac:dyDescent="0.25">
      <c r="O1010"/>
    </row>
    <row r="1011" spans="15:15" x14ac:dyDescent="0.25">
      <c r="O1011"/>
    </row>
    <row r="1012" spans="15:15" x14ac:dyDescent="0.25">
      <c r="O1012"/>
    </row>
    <row r="1013" spans="15:15" x14ac:dyDescent="0.25">
      <c r="O1013"/>
    </row>
    <row r="1014" spans="15:15" x14ac:dyDescent="0.25">
      <c r="O1014"/>
    </row>
    <row r="1015" spans="15:15" x14ac:dyDescent="0.25">
      <c r="O1015"/>
    </row>
    <row r="1016" spans="15:15" x14ac:dyDescent="0.25">
      <c r="O1016"/>
    </row>
    <row r="1017" spans="15:15" x14ac:dyDescent="0.25">
      <c r="O1017"/>
    </row>
    <row r="1018" spans="15:15" x14ac:dyDescent="0.25">
      <c r="O1018"/>
    </row>
    <row r="1019" spans="15:15" x14ac:dyDescent="0.25">
      <c r="O1019"/>
    </row>
    <row r="1020" spans="15:15" x14ac:dyDescent="0.25">
      <c r="O1020"/>
    </row>
    <row r="1021" spans="15:15" x14ac:dyDescent="0.25">
      <c r="O1021"/>
    </row>
    <row r="1022" spans="15:15" x14ac:dyDescent="0.25">
      <c r="O1022"/>
    </row>
    <row r="1023" spans="15:15" x14ac:dyDescent="0.25">
      <c r="O1023"/>
    </row>
    <row r="1024" spans="15:15" x14ac:dyDescent="0.25">
      <c r="O1024"/>
    </row>
    <row r="1025" spans="15:15" x14ac:dyDescent="0.25">
      <c r="O1025"/>
    </row>
    <row r="1026" spans="15:15" x14ac:dyDescent="0.25">
      <c r="O1026"/>
    </row>
    <row r="1027" spans="15:15" x14ac:dyDescent="0.25">
      <c r="O1027"/>
    </row>
    <row r="1028" spans="15:15" x14ac:dyDescent="0.25">
      <c r="O1028"/>
    </row>
    <row r="1029" spans="15:15" x14ac:dyDescent="0.25">
      <c r="O1029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K26"/>
  <sheetViews>
    <sheetView topLeftCell="A4" workbookViewId="0">
      <selection activeCell="B23" sqref="B23"/>
    </sheetView>
  </sheetViews>
  <sheetFormatPr defaultRowHeight="15" x14ac:dyDescent="0.25"/>
  <cols>
    <col min="1" max="1" width="53.28515625" customWidth="1"/>
    <col min="2" max="2" width="85" bestFit="1" customWidth="1"/>
    <col min="5" max="5" width="9.140625" customWidth="1"/>
    <col min="7" max="7" width="10.28515625" customWidth="1"/>
    <col min="8" max="8" width="12.5703125" customWidth="1"/>
    <col min="9" max="9" width="14.7109375" customWidth="1"/>
    <col min="10" max="10" width="13.140625" customWidth="1"/>
    <col min="11" max="11" width="21.140625" customWidth="1"/>
    <col min="14" max="14" width="15.140625" bestFit="1" customWidth="1"/>
    <col min="15" max="15" width="14" bestFit="1" customWidth="1"/>
  </cols>
  <sheetData>
    <row r="2" spans="1:11" ht="15.75" x14ac:dyDescent="0.25">
      <c r="A2" s="8" t="s">
        <v>10</v>
      </c>
      <c r="B2" s="8" t="s">
        <v>11</v>
      </c>
      <c r="G2" s="23" t="s">
        <v>37</v>
      </c>
      <c r="H2" s="23"/>
      <c r="I2" s="23"/>
      <c r="J2" s="23"/>
      <c r="K2" s="23"/>
    </row>
    <row r="3" spans="1:11" x14ac:dyDescent="0.25">
      <c r="A3" s="9" t="s">
        <v>67</v>
      </c>
      <c r="B3" s="10" t="s">
        <v>12</v>
      </c>
      <c r="G3" s="83" t="s">
        <v>38</v>
      </c>
      <c r="H3" s="83"/>
      <c r="I3" s="83"/>
      <c r="J3" s="24" t="s">
        <v>39</v>
      </c>
      <c r="K3" s="25"/>
    </row>
    <row r="4" spans="1:11" x14ac:dyDescent="0.25">
      <c r="A4" s="9" t="s">
        <v>9</v>
      </c>
      <c r="B4" s="10" t="s">
        <v>13</v>
      </c>
      <c r="G4" s="83"/>
      <c r="H4" s="83"/>
      <c r="I4" s="83"/>
      <c r="J4" s="26" t="s">
        <v>40</v>
      </c>
      <c r="K4" s="26" t="s">
        <v>41</v>
      </c>
    </row>
    <row r="5" spans="1:11" x14ac:dyDescent="0.25">
      <c r="A5" s="9" t="s">
        <v>50</v>
      </c>
      <c r="B5" s="10" t="s">
        <v>14</v>
      </c>
      <c r="G5" s="27">
        <v>5</v>
      </c>
      <c r="H5" s="26" t="s">
        <v>42</v>
      </c>
      <c r="I5" s="24">
        <v>50</v>
      </c>
      <c r="J5" s="26">
        <v>9</v>
      </c>
      <c r="K5" s="26" t="s">
        <v>43</v>
      </c>
    </row>
    <row r="6" spans="1:11" x14ac:dyDescent="0.25">
      <c r="A6" s="9" t="s">
        <v>49</v>
      </c>
      <c r="B6" s="10" t="s">
        <v>15</v>
      </c>
      <c r="G6" s="27">
        <v>50</v>
      </c>
      <c r="H6" s="26" t="s">
        <v>42</v>
      </c>
      <c r="I6" s="24">
        <v>100</v>
      </c>
      <c r="J6" s="26" t="s">
        <v>43</v>
      </c>
      <c r="K6" s="26">
        <v>4.5</v>
      </c>
    </row>
    <row r="7" spans="1:11" ht="30" x14ac:dyDescent="0.25">
      <c r="A7" s="11" t="s">
        <v>51</v>
      </c>
      <c r="B7" s="10" t="s">
        <v>16</v>
      </c>
      <c r="G7" s="27">
        <v>100</v>
      </c>
      <c r="H7" s="26" t="s">
        <v>42</v>
      </c>
      <c r="I7" s="24">
        <v>200</v>
      </c>
      <c r="J7" s="26">
        <v>4.5</v>
      </c>
      <c r="K7" s="26" t="s">
        <v>43</v>
      </c>
    </row>
    <row r="8" spans="1:11" ht="45" x14ac:dyDescent="0.25">
      <c r="A8" s="40" t="s">
        <v>68</v>
      </c>
      <c r="B8" s="10" t="s">
        <v>17</v>
      </c>
      <c r="G8" s="27">
        <v>200</v>
      </c>
      <c r="H8" s="26" t="s">
        <v>42</v>
      </c>
      <c r="I8" s="24">
        <v>300</v>
      </c>
      <c r="J8" s="25" t="s">
        <v>43</v>
      </c>
      <c r="K8" s="26">
        <v>9</v>
      </c>
    </row>
    <row r="9" spans="1:11" ht="45" x14ac:dyDescent="0.25">
      <c r="A9" s="40" t="s">
        <v>55</v>
      </c>
      <c r="B9" s="10" t="s">
        <v>18</v>
      </c>
      <c r="G9" s="27">
        <v>300</v>
      </c>
      <c r="H9" s="26" t="s">
        <v>42</v>
      </c>
      <c r="I9" s="24">
        <v>500</v>
      </c>
      <c r="J9" s="26">
        <v>3</v>
      </c>
      <c r="K9" s="25" t="s">
        <v>43</v>
      </c>
    </row>
    <row r="10" spans="1:11" ht="30" x14ac:dyDescent="0.25">
      <c r="A10" s="40" t="s">
        <v>52</v>
      </c>
      <c r="B10" s="10" t="s">
        <v>19</v>
      </c>
      <c r="G10" s="27">
        <v>500</v>
      </c>
      <c r="H10" s="26" t="s">
        <v>42</v>
      </c>
      <c r="I10" s="24">
        <v>1000</v>
      </c>
      <c r="J10" s="26"/>
      <c r="K10" s="26">
        <v>15</v>
      </c>
    </row>
    <row r="11" spans="1:11" ht="45" x14ac:dyDescent="0.25">
      <c r="A11" s="41" t="s">
        <v>69</v>
      </c>
      <c r="B11" s="10" t="s">
        <v>20</v>
      </c>
      <c r="G11" s="27">
        <v>1000</v>
      </c>
      <c r="H11" s="26" t="s">
        <v>42</v>
      </c>
      <c r="I11" s="24">
        <v>10000</v>
      </c>
      <c r="J11" s="26">
        <v>1.5</v>
      </c>
      <c r="K11" s="25" t="s">
        <v>43</v>
      </c>
    </row>
    <row r="12" spans="1:11" ht="45" x14ac:dyDescent="0.25">
      <c r="A12" s="42" t="s">
        <v>56</v>
      </c>
      <c r="B12" s="10" t="s">
        <v>21</v>
      </c>
    </row>
    <row r="13" spans="1:11" ht="30" x14ac:dyDescent="0.25">
      <c r="A13" s="42" t="s">
        <v>53</v>
      </c>
      <c r="B13" s="10" t="s">
        <v>22</v>
      </c>
    </row>
    <row r="14" spans="1:11" ht="38.25" x14ac:dyDescent="0.25">
      <c r="A14" s="43" t="s">
        <v>70</v>
      </c>
      <c r="B14" s="12" t="s">
        <v>23</v>
      </c>
    </row>
    <row r="15" spans="1:11" ht="45" x14ac:dyDescent="0.25">
      <c r="A15" s="44" t="s">
        <v>57</v>
      </c>
      <c r="B15" s="10" t="s">
        <v>24</v>
      </c>
    </row>
    <row r="16" spans="1:11" x14ac:dyDescent="0.25">
      <c r="A16" s="44" t="s">
        <v>25</v>
      </c>
      <c r="B16" s="10" t="s">
        <v>26</v>
      </c>
    </row>
    <row r="17" spans="1:2" x14ac:dyDescent="0.25">
      <c r="A17" s="44" t="s">
        <v>27</v>
      </c>
      <c r="B17" s="10" t="s">
        <v>28</v>
      </c>
    </row>
    <row r="18" spans="1:2" x14ac:dyDescent="0.25">
      <c r="A18" s="13"/>
      <c r="B18" s="13"/>
    </row>
    <row r="19" spans="1:2" ht="15.75" x14ac:dyDescent="0.25">
      <c r="A19" s="14" t="s">
        <v>76</v>
      </c>
      <c r="B19" s="15" t="s">
        <v>29</v>
      </c>
    </row>
    <row r="20" spans="1:2" x14ac:dyDescent="0.25">
      <c r="A20" s="16" t="s">
        <v>67</v>
      </c>
      <c r="B20" s="17" t="s">
        <v>83</v>
      </c>
    </row>
    <row r="21" spans="1:2" ht="31.5" x14ac:dyDescent="0.25">
      <c r="A21" s="18" t="s">
        <v>77</v>
      </c>
      <c r="B21" s="19" t="s">
        <v>79</v>
      </c>
    </row>
    <row r="22" spans="1:2" ht="31.5" x14ac:dyDescent="0.25">
      <c r="A22" s="18" t="s">
        <v>78</v>
      </c>
      <c r="B22" s="19" t="s">
        <v>80</v>
      </c>
    </row>
    <row r="23" spans="1:2" x14ac:dyDescent="0.25">
      <c r="A23" s="20" t="s">
        <v>81</v>
      </c>
      <c r="B23" s="19" t="s">
        <v>82</v>
      </c>
    </row>
    <row r="24" spans="1:2" x14ac:dyDescent="0.25">
      <c r="A24" s="20" t="s">
        <v>30</v>
      </c>
      <c r="B24" s="19" t="s">
        <v>31</v>
      </c>
    </row>
    <row r="25" spans="1:2" x14ac:dyDescent="0.25">
      <c r="A25" s="20" t="s">
        <v>84</v>
      </c>
      <c r="B25" s="19" t="s">
        <v>32</v>
      </c>
    </row>
    <row r="26" spans="1:2" x14ac:dyDescent="0.25">
      <c r="A26" s="21" t="s">
        <v>33</v>
      </c>
      <c r="B26" s="10" t="s">
        <v>33</v>
      </c>
    </row>
  </sheetData>
  <mergeCells count="1">
    <mergeCell ref="G3:I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26</vt:i4>
      </vt:variant>
    </vt:vector>
  </HeadingPairs>
  <TitlesOfParts>
    <vt:vector size="30" baseType="lpstr">
      <vt:lpstr>Metrologie</vt:lpstr>
      <vt:lpstr>RawData</vt:lpstr>
      <vt:lpstr>Explicatii</vt:lpstr>
      <vt:lpstr>Chart</vt:lpstr>
      <vt:lpstr>CA_1</vt:lpstr>
      <vt:lpstr>CA_2</vt:lpstr>
      <vt:lpstr>CMA</vt:lpstr>
      <vt:lpstr>CR_1</vt:lpstr>
      <vt:lpstr>CR_2</vt:lpstr>
      <vt:lpstr>ENT</vt:lpstr>
      <vt:lpstr>ES_1</vt:lpstr>
      <vt:lpstr>ES_2</vt:lpstr>
      <vt:lpstr>ES_3</vt:lpstr>
      <vt:lpstr>ES1_Status</vt:lpstr>
      <vt:lpstr>ES2_Status</vt:lpstr>
      <vt:lpstr>ES3_OK</vt:lpstr>
      <vt:lpstr>ES3_Status</vt:lpstr>
      <vt:lpstr>LotStatus</vt:lpstr>
      <vt:lpstr>ML</vt:lpstr>
      <vt:lpstr>Metrologie!Print_Area</vt:lpstr>
      <vt:lpstr>Metrologie!Print_Titles</vt:lpstr>
      <vt:lpstr>Qn</vt:lpstr>
      <vt:lpstr>QnES3</vt:lpstr>
      <vt:lpstr>RN_1</vt:lpstr>
      <vt:lpstr>RN_2</vt:lpstr>
      <vt:lpstr>s</vt:lpstr>
      <vt:lpstr>SumOfSquares</vt:lpstr>
      <vt:lpstr>Ta</vt:lpstr>
      <vt:lpstr>RawData!test_1</vt:lpstr>
      <vt:lpstr>Xi</vt:lpstr>
    </vt:vector>
  </TitlesOfParts>
  <Company>Continental AG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uid94668</dc:creator>
  <cp:lastModifiedBy>krs</cp:lastModifiedBy>
  <cp:lastPrinted>2018-09-30T15:18:06Z</cp:lastPrinted>
  <dcterms:created xsi:type="dcterms:W3CDTF">2018-01-03T09:07:19Z</dcterms:created>
  <dcterms:modified xsi:type="dcterms:W3CDTF">2019-03-10T15:26:20Z</dcterms:modified>
</cp:coreProperties>
</file>