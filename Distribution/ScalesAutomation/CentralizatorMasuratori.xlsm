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ScalesAutomation\Resources\"/>
    </mc:Choice>
  </mc:AlternateContent>
  <xr:revisionPtr revIDLastSave="0" documentId="13_ncr:1_{225352FD-52CD-47F1-9FFD-323A6988059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9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DisplayUnit">Metrologie!$L$1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easurementsFileName">Metrologie!$V$10</definedName>
    <definedName name="MeasurementsFilePath">Metrologie!$V$11</definedName>
    <definedName name="ML">Metrologie!$B$6</definedName>
    <definedName name="NumeFisier">Metrologie!$V$10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">Metrologie!$I$1</definedName>
    <definedName name="SourceFolders">Metrologie!$V$3:$V$8</definedName>
    <definedName name="SumOfSquares">Metrologie!$B$20</definedName>
    <definedName name="Ta">Metrologie!$B$9</definedName>
    <definedName name="test_1" localSheetId="1">RawData!$A$1:$I$27</definedName>
    <definedName name="Xi">Metrologie!$B$19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" l="1"/>
  <c r="B20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C21" i="2" l="1"/>
  <c r="C20" i="2"/>
  <c r="C19" i="2"/>
  <c r="C11" i="2"/>
  <c r="C10" i="2"/>
  <c r="C9" i="2"/>
  <c r="C7" i="2"/>
  <c r="B5" i="2" l="1"/>
  <c r="B4" i="2"/>
  <c r="B3" i="2"/>
  <c r="B8" i="2" l="1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krs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xr16:uid="{00000000-0015-0000-FFFF-FFFF01000000}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xr16:uid="{8DFD4DF1-1771-4189-B598-5FD4A25EA371}" name="2023-01-10-10-56-33_5019672_01_Rhapsody Vanilla - Crema cu Vanilie 1Kg_Borcan PET 1L" type="6" refreshedVersion="8" background="1" refreshOnLoad="1" saveData="1">
    <textPr prompt="0" codePage="437" sourceFile="D:\git\ScalesAutomation\Resources\Cantariri_Automate\2023-01-10-10-56-33_5019672_01_Rhapsody Vanilla - Crema cu Vanilie 1Kg_Borcan PET 1L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<sst xmlns="http://schemas.openxmlformats.org/spreadsheetml/2006/main" count="178" uniqueCount="126">
  <si>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</si>
  <si>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</si>
  <si>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</si>
  <si>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</si>
  <si>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</si>
  <si>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</si>
  <si>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</si>
  <si>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</si>
  <si>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</si>
  <si>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</si>
  <si>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</si>
  <si>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</si>
  <si>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</si>
  <si>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</si>
  <si>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</si>
  <si>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</si>
  <si>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</si>
  <si>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</si>
  <si>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</si>
  <si>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</si>
  <si>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</si>
  <si>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</si>
  <si>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</si>
  <si>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</si>
  <si>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</si>
  <si>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</si>
  <si>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</si>
  <si>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</si>
  <si>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</si>
  <si>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</si>
  <si>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</si>
  <si>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</si>
  <si>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</si>
  <si>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</si>
  <si>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</si>
  <si>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</si>
  <si>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</si>
  <si>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</si>
  <si>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</si>
  <si>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</si>
  <si>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</si>
  <si>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</si>
  <si>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</si>
  <si>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</si>
  <si>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</si>
  <si>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</si>
  <si>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</si>
  <si>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</si>
  <si>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</si>
  <si>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</si>
  <si>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</si>
  <si>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</si>
  <si>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</si>
  <si>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</si>
  <si>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</si>
  <si>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</si>
  <si>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</si>
  <si>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</si>
  <si>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</si>
  <si>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</si>
  <si>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</si>
  <si>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</si>
  <si>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</si>
  <si>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</si>
  <si>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</si>
  <si>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</si>
  <si>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</si>
  <si>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</si>
  <si>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</si>
  <si>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</si>
  <si>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</si>
  <si>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</si>
  <si>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</si>
  <si>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</si>
  <si>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</si>
  <si>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</si>
  <si>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</si>
  <si>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</si>
  <si>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</si>
  <si>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</si>
  <si>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</si>
  <si>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</si>
  <si>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</si>
  <si>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</si>
  <si>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</si>
  <si>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</si>
  <si>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</si>
  <si>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</si>
  <si>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</si>
  <si>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Cantariri_Automate</t>
  </si>
  <si>
    <t>Cantariri_Manuale</t>
  </si>
  <si>
    <t>Fara_Metrologie</t>
  </si>
  <si>
    <t>Sursa:</t>
  </si>
  <si>
    <t>g</t>
  </si>
  <si>
    <t>Unitatea de
 Masura:</t>
  </si>
  <si>
    <t>Borcan PET 1L</t>
  </si>
  <si>
    <t>2023-01-10-10-56-33_5019672_01_Rhapsody Vanilla - Crema cu Vanilie 1Kg_Borcan PET 1L.csv</t>
  </si>
  <si>
    <t>D:\git\ScalesAutomation\Resources\Cantariri_Automate\2023-01-10-10-56-33_5019672_01_Rhapsody Vanilla - Crema cu Vanilie 1Kg_Borcan PET 1L.csv</t>
  </si>
  <si>
    <t>5019672_01</t>
  </si>
  <si>
    <t>Rhapsody Vanilla - Crema cu Vanilie 1Kg</t>
  </si>
  <si>
    <t>10:59:43,57</t>
  </si>
  <si>
    <t>10:59:53,89</t>
  </si>
  <si>
    <t>11:00:02,73</t>
  </si>
  <si>
    <t>11:00:10,74</t>
  </si>
  <si>
    <t>11:00:19,90</t>
  </si>
  <si>
    <t>11:00:28,23</t>
  </si>
  <si>
    <t>11:00:36,64</t>
  </si>
  <si>
    <t>11:00:45,58</t>
  </si>
  <si>
    <t>11:00:53,59</t>
  </si>
  <si>
    <t>11:00:59,50</t>
  </si>
  <si>
    <t>11:01:06,78</t>
  </si>
  <si>
    <t>11:01:17,21</t>
  </si>
  <si>
    <t>11:01:26,77</t>
  </si>
  <si>
    <t>10:56:36,42</t>
  </si>
  <si>
    <t>10:56:48,42</t>
  </si>
  <si>
    <t>10:56:56,42</t>
  </si>
  <si>
    <t>10:57:08,25</t>
  </si>
  <si>
    <t>10:57:16,90</t>
  </si>
  <si>
    <t>10:57:20,78</t>
  </si>
  <si>
    <t>10:57:28,16</t>
  </si>
  <si>
    <t>10:57:34,69</t>
  </si>
  <si>
    <t>10:57:41,33</t>
  </si>
  <si>
    <t>10:57:43,42</t>
  </si>
  <si>
    <t>10:57:54,30</t>
  </si>
  <si>
    <t>10:57:58,40</t>
  </si>
  <si>
    <t>10:59:23,20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</si>
</sst>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00"/>
    <numFmt numFmtId="167" formatCode="[$-409]d\-mmm\-yy;@"/>
    <numFmt numFmtId="168" formatCode="#,##0.0000"/>
    <numFmt numFmtId="169" formatCode="#,##0.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/>
    <xf numFmtId="0" fontId="4" fillId="0" borderId="1" xfId="0" applyFont="1" applyBorder="1" applyAlignment="1">
      <alignment horizontal="left" wrapText="1"/>
    </xf>
    <xf numFmtId="0" fontId="6" fillId="0" borderId="1" xfId="0" applyFont="1" applyBorder="1"/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2" borderId="0" xfId="0" applyFill="1"/>
    <xf numFmtId="0" fontId="9" fillId="0" borderId="2" xfId="0" applyFont="1" applyBorder="1" applyAlignment="1">
      <alignment horizontal="center" wrapText="1"/>
    </xf>
    <xf numFmtId="2" fontId="10" fillId="0" borderId="2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9" fillId="0" borderId="2" xfId="0" applyNumberFormat="1" applyFont="1" applyBorder="1" applyAlignment="1">
      <alignment horizontal="center" wrapText="1"/>
    </xf>
    <xf numFmtId="165" fontId="9" fillId="0" borderId="2" xfId="0" applyNumberFormat="1" applyFont="1" applyBorder="1" applyAlignment="1">
      <alignment horizontal="center" wrapText="1"/>
    </xf>
    <xf numFmtId="165" fontId="0" fillId="0" borderId="0" xfId="0" applyNumberFormat="1"/>
    <xf numFmtId="2" fontId="0" fillId="0" borderId="0" xfId="0" applyNumberFormat="1"/>
    <xf numFmtId="2" fontId="9" fillId="0" borderId="2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9" fillId="0" borderId="2" xfId="0" applyNumberFormat="1" applyFont="1" applyBorder="1" applyAlignment="1">
      <alignment horizontal="center" wrapText="1"/>
    </xf>
    <xf numFmtId="1" fontId="0" fillId="0" borderId="0" xfId="0" applyNumberFormat="1"/>
    <xf numFmtId="1" fontId="9" fillId="0" borderId="2" xfId="0" applyNumberFormat="1" applyFont="1" applyBorder="1" applyAlignment="1">
      <alignment horizontal="center" wrapText="1"/>
    </xf>
    <xf numFmtId="1" fontId="0" fillId="2" borderId="0" xfId="0" applyNumberFormat="1" applyFill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4" fontId="0" fillId="0" borderId="0" xfId="0" applyNumberFormat="1"/>
    <xf numFmtId="4" fontId="0" fillId="0" borderId="0" xfId="0" applyNumberFormat="1"/>
    <xf numFmtId="165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166" fontId="20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7" fillId="0" borderId="0" xfId="0" applyNumberFormat="1" applyFo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0" fillId="2" borderId="0" xfId="0" applyNumberFormat="1" applyFill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4" fontId="16" fillId="0" borderId="0" xfId="0" quotePrefix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0" fillId="0" borderId="0" xfId="0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RawData!$B$2:$B$27</c:f>
              <c:numCache>
                <c:formatCode>General</c:formatCode>
                <c:ptCount val="26"/>
                <c:pt idx="0">
                  <c:v>995</c:v>
                </c:pt>
                <c:pt idx="1">
                  <c:v>1035</c:v>
                </c:pt>
                <c:pt idx="2">
                  <c:v>1000</c:v>
                </c:pt>
                <c:pt idx="3">
                  <c:v>1095</c:v>
                </c:pt>
                <c:pt idx="4">
                  <c:v>1095</c:v>
                </c:pt>
                <c:pt idx="5">
                  <c:v>1095</c:v>
                </c:pt>
                <c:pt idx="6">
                  <c:v>1090</c:v>
                </c:pt>
                <c:pt idx="7">
                  <c:v>1090</c:v>
                </c:pt>
                <c:pt idx="8">
                  <c:v>1090</c:v>
                </c:pt>
                <c:pt idx="9">
                  <c:v>945</c:v>
                </c:pt>
                <c:pt idx="10">
                  <c:v>1095</c:v>
                </c:pt>
                <c:pt idx="11">
                  <c:v>1095</c:v>
                </c:pt>
                <c:pt idx="12">
                  <c:v>90</c:v>
                </c:pt>
                <c:pt idx="13">
                  <c:v>1005</c:v>
                </c:pt>
                <c:pt idx="14">
                  <c:v>1000</c:v>
                </c:pt>
                <c:pt idx="15">
                  <c:v>1005</c:v>
                </c:pt>
                <c:pt idx="16">
                  <c:v>1005</c:v>
                </c:pt>
                <c:pt idx="17">
                  <c:v>1005</c:v>
                </c:pt>
                <c:pt idx="18">
                  <c:v>1005</c:v>
                </c:pt>
                <c:pt idx="19">
                  <c:v>1005</c:v>
                </c:pt>
                <c:pt idx="20">
                  <c:v>1005</c:v>
                </c:pt>
                <c:pt idx="21">
                  <c:v>1005</c:v>
                </c:pt>
                <c:pt idx="22">
                  <c:v>1005</c:v>
                </c:pt>
                <c:pt idx="23">
                  <c:v>1005</c:v>
                </c:pt>
                <c:pt idx="24">
                  <c:v>1005</c:v>
                </c:pt>
                <c:pt idx="25">
                  <c:v>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7C-4126-8FD6-983F75A3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048783"/>
        <c:axId val="1198049263"/>
      </c:scatterChart>
      <c:valAx>
        <c:axId val="1198048783"/>
        <c:scaling>
          <c:orientation val="minMax"/>
        </c:scaling>
        <c:delete val="0"/>
        <c:axPos val="b"/>
        <c:majorTickMark val="out"/>
        <c:minorTickMark val="none"/>
        <c:tickLblPos val="nextTo"/>
        <c:crossAx val="1198049263"/>
        <c:crosses val="autoZero"/>
        <c:crossBetween val="midCat"/>
      </c:valAx>
      <c:valAx>
        <c:axId val="11980492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80487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47625</xdr:rowOff>
        </xdr:from>
        <xdr:to>
          <xdr:col>7</xdr:col>
          <xdr:colOff>533400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361950</xdr:colOff>
          <xdr:row>0</xdr:row>
          <xdr:rowOff>266700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A8B678-48FE-40F7-B54C-A2AA3F12D2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1" refreshOnLoad="1" connectionId="3" xr16:uid="{60F0DDCE-F31E-40E7-A805-1BB720B7315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V772"/>
  <sheetViews>
    <sheetView tabSelected="1" zoomScaleNormal="100" zoomScaleSheetLayoutView="130" workbookViewId="0">
      <selection activeCell="I1" sqref="I1:J1"/>
    </sheetView>
  </sheetViews>
  <sheetFormatPr defaultRowHeight="15" x14ac:dyDescent="0.25"/>
  <cols>
    <col min="1" max="1" width="34.7109375" customWidth="1"/>
    <col min="2" max="2" width="58.140625" style="4" customWidth="1"/>
    <col min="3" max="3" width="3.140625" bestFit="1" customWidth="1"/>
    <col min="4" max="4" width="1.5703125" customWidth="1"/>
    <col min="5" max="5" width="6.42578125" style="4" customWidth="1"/>
    <col min="6" max="6" width="10" style="42" customWidth="1"/>
    <col min="7" max="7" width="10.140625" style="4" customWidth="1"/>
    <col min="8" max="8" width="14.7109375" style="3" customWidth="1"/>
    <col min="9" max="9" width="11" style="53" customWidth="1"/>
    <col min="10" max="10" width="10.85546875" style="4" customWidth="1"/>
    <col min="11" max="11" width="12.42578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53" customWidth="1"/>
    <col min="16" max="16" width="14.85546875" style="48" bestFit="1" customWidth="1"/>
    <col min="17" max="17" width="16" style="51" bestFit="1" customWidth="1"/>
    <col min="18" max="18" width="12" style="47" bestFit="1" customWidth="1"/>
    <col min="19" max="19" width="3" bestFit="1" customWidth="1"/>
    <col min="20" max="20" width="8.5703125" bestFit="1" customWidth="1"/>
    <col min="21" max="21" width="32.28515625" customWidth="1"/>
    <col min="22" max="22" width="9.5703125" bestFit="1" customWidth="1"/>
    <col min="23" max="23" width="11.42578125" customWidth="1"/>
  </cols>
  <sheetData>
    <row r="1" spans="1:22" ht="26.45" customHeight="1" x14ac:dyDescent="0.25">
      <c r="A1" s="60"/>
      <c r="H1" s="62" t="s">
        <v>92</v>
      </c>
      <c r="I1" s="71" t="s">
        <v>89</v>
      </c>
      <c r="J1" s="72"/>
      <c r="K1" s="63" t="s">
        <v>94</v>
      </c>
      <c r="L1" s="61" t="s">
        <v>93</v>
      </c>
    </row>
    <row r="2" spans="1:22" ht="38.25" customHeight="1" x14ac:dyDescent="0.25">
      <c r="A2" s="76" t="str">
        <f>IF(AND(OR(ES1_Status = "Ok",ES1_Status = "ES2 Necesar"), ES2_Status &lt;&gt; "Not Ok", ES3_Status = "Ok"), "Lot Acceptat","Lot Respins")</f>
        <v>Lot Respins</v>
      </c>
      <c r="B2" s="77"/>
      <c r="C2" s="2"/>
      <c r="D2" s="2"/>
      <c r="E2" s="3"/>
      <c r="F2" s="43" t="s">
        <v>62</v>
      </c>
      <c r="G2" s="25" t="s">
        <v>44</v>
      </c>
      <c r="H2" s="25" t="s">
        <v>46</v>
      </c>
      <c r="I2" s="56" t="s">
        <v>45</v>
      </c>
      <c r="J2" s="50" t="s">
        <v>47</v>
      </c>
    </row>
    <row r="3" spans="1:22" x14ac:dyDescent="0.25">
      <c r="A3" s="64" t="s">
        <v>2</v>
      </c>
      <c r="B3" s="4" t="str">
        <f>RawData!E1</f>
        <v>Rhapsody Vanilla - Crema cu Vanilie 1Kg</v>
      </c>
      <c r="C3" s="3"/>
      <c r="D3" s="3"/>
      <c r="E3" s="3" t="s">
        <v>63</v>
      </c>
      <c r="F3" s="55">
        <f>IF(ML&lt;=100,ML,IF(ML&gt;3201,80, IF(ML&gt;=501,50, IF(ML&gt;100,30,ML))))</f>
        <v>26</v>
      </c>
      <c r="G3" s="27">
        <f>IF(ML=30,1, IF(ML=50,2, IF(ML=80,3,1)))</f>
        <v>1</v>
      </c>
      <c r="H3" s="29">
        <f>COUNTIF(K:K, "Not Ok")</f>
        <v>2</v>
      </c>
      <c r="I3" s="55">
        <f>IF(ML=30,3, IF(ML=50,5, IF(ML=80,7,3)))</f>
        <v>3</v>
      </c>
      <c r="J3" s="4" t="str">
        <f>IF(ML=0,"Not Ok",IF(CA_1&gt;=RN_1,"Ok",IF(RN_1&gt;=CR_1,"Not Ok",IF(ES_1=ML,"Not Ok","ES2 Necesar"))))</f>
        <v>Not Ok</v>
      </c>
      <c r="V3" t="s">
        <v>89</v>
      </c>
    </row>
    <row r="4" spans="1:22" x14ac:dyDescent="0.25">
      <c r="A4" s="64" t="s">
        <v>1</v>
      </c>
      <c r="B4" s="19" t="str">
        <f>RawData!D1</f>
        <v>5019672_01</v>
      </c>
      <c r="C4" s="3"/>
      <c r="D4" s="3"/>
      <c r="E4" s="3" t="s">
        <v>64</v>
      </c>
      <c r="F4" s="55">
        <v>0</v>
      </c>
      <c r="G4" s="28" t="str">
        <f>IF(ES1_Status="ES2 Necesar",IF(ML=30,4, IF(ML=50,6, IF(ML=80,8,4))),"")</f>
        <v/>
      </c>
      <c r="H4" s="30" t="str">
        <f>IF(ES1_Status="ES2 Necesar",COUNTIF(N:N, "Not Ok"),"")</f>
        <v/>
      </c>
      <c r="I4" s="57" t="str">
        <f>IF(ES1_Status="ES2 Necesar",IF(ML=30,5, IF(ML=50,7, IF(ML=80,9,5))),"")</f>
        <v/>
      </c>
      <c r="J4" s="4" t="str">
        <f>IF(ES1_Status="ES2 Necesar",IF(RN_1+RN_2&lt;=CA_2,"Ok","Not Ok"),"")</f>
        <v/>
      </c>
      <c r="V4" t="s">
        <v>90</v>
      </c>
    </row>
    <row r="5" spans="1:22" x14ac:dyDescent="0.25">
      <c r="A5" s="64" t="s">
        <v>9</v>
      </c>
      <c r="B5" s="58">
        <f>RawData!I1</f>
        <v>44936</v>
      </c>
      <c r="E5" s="3" t="s">
        <v>65</v>
      </c>
      <c r="F5" s="55">
        <v>26</v>
      </c>
      <c r="G5" s="75"/>
      <c r="H5" s="75"/>
      <c r="I5" s="75"/>
      <c r="J5" s="4" t="str">
        <f>IF(ES_3=0,"Not Ok",IF(Xi&gt;=QnES3 - 0.503 * s,"Ok","Not Ok"))</f>
        <v>Ok</v>
      </c>
      <c r="V5" t="s">
        <v>91</v>
      </c>
    </row>
    <row r="6" spans="1:22" x14ac:dyDescent="0.25">
      <c r="A6" s="64" t="s">
        <v>7</v>
      </c>
      <c r="B6" s="19">
        <v>26</v>
      </c>
      <c r="C6" s="3"/>
      <c r="D6" s="3"/>
      <c r="E6"/>
      <c r="F6" s="44"/>
      <c r="K6" s="31"/>
    </row>
    <row r="7" spans="1:22" x14ac:dyDescent="0.25">
      <c r="A7" s="64" t="s">
        <v>4</v>
      </c>
      <c r="B7" s="70">
        <v>1000</v>
      </c>
      <c r="C7" s="3" t="str">
        <f>DisplayUnit</f>
        <v>g</v>
      </c>
      <c r="D7" s="3"/>
      <c r="E7"/>
      <c r="H7" s="1"/>
      <c r="V7" t="s">
        <v>0</v>
      </c>
    </row>
    <row r="8" spans="1:22" x14ac:dyDescent="0.25">
      <c r="A8" s="64" t="s">
        <v>3</v>
      </c>
      <c r="B8" s="4" t="str">
        <f>RawData!F1</f>
        <v>Borcan PET 1L</v>
      </c>
      <c r="C8" s="3"/>
      <c r="D8" s="3"/>
      <c r="E8"/>
      <c r="F8" s="44"/>
      <c r="V8" t="s">
        <v>93</v>
      </c>
    </row>
    <row r="9" spans="1:22" x14ac:dyDescent="0.25">
      <c r="A9" s="60" t="s">
        <v>5</v>
      </c>
      <c r="B9" s="70">
        <v>90</v>
      </c>
      <c r="C9" s="3" t="str">
        <f>DisplayUnit</f>
        <v>g</v>
      </c>
      <c r="E9"/>
      <c r="F9" s="44"/>
    </row>
    <row r="10" spans="1:22" x14ac:dyDescent="0.25">
      <c r="A10" s="64" t="s">
        <v>6</v>
      </c>
      <c r="B10" s="70">
        <v>15</v>
      </c>
      <c r="C10" s="3" t="str">
        <f>DisplayUnit</f>
        <v>g</v>
      </c>
      <c r="E10"/>
      <c r="F10" s="44"/>
      <c r="V10" t="s">
        <v>96</v>
      </c>
    </row>
    <row r="11" spans="1:22" x14ac:dyDescent="0.25">
      <c r="A11" s="2" t="s">
        <v>8</v>
      </c>
      <c r="B11" s="70">
        <f>Qn-ENT</f>
        <v>985</v>
      </c>
      <c r="C11" s="3" t="str">
        <f>DisplayUnit</f>
        <v>g</v>
      </c>
      <c r="D11" s="3"/>
      <c r="E11" s="78" t="s">
        <v>58</v>
      </c>
      <c r="F11" s="79"/>
      <c r="G11" s="79"/>
      <c r="H11" s="79"/>
      <c r="I11" s="80" t="s">
        <v>59</v>
      </c>
      <c r="J11" s="81"/>
      <c r="K11" s="81"/>
      <c r="L11" s="82" t="s">
        <v>60</v>
      </c>
      <c r="M11" s="83"/>
      <c r="N11" s="83"/>
      <c r="O11" s="73" t="s">
        <v>61</v>
      </c>
      <c r="P11" s="74"/>
      <c r="Q11" s="74"/>
      <c r="R11" s="74"/>
      <c r="V11" t="s">
        <v>97</v>
      </c>
    </row>
    <row r="12" spans="1:22" ht="90" x14ac:dyDescent="0.25">
      <c r="E12" s="40" t="s">
        <v>48</v>
      </c>
      <c r="F12" s="45" t="s">
        <v>49</v>
      </c>
      <c r="G12" s="40" t="s">
        <v>50</v>
      </c>
      <c r="H12" s="41" t="s">
        <v>88</v>
      </c>
      <c r="I12" s="54" t="s">
        <v>48</v>
      </c>
      <c r="J12" s="41" t="s">
        <v>72</v>
      </c>
      <c r="K12" s="40" t="s">
        <v>52</v>
      </c>
      <c r="L12" s="40" t="s">
        <v>48</v>
      </c>
      <c r="M12" s="40" t="s">
        <v>71</v>
      </c>
      <c r="N12" s="40" t="s">
        <v>53</v>
      </c>
      <c r="O12" s="54" t="s">
        <v>48</v>
      </c>
      <c r="P12" s="49" t="s">
        <v>73</v>
      </c>
      <c r="Q12" s="52" t="s">
        <v>74</v>
      </c>
      <c r="R12" s="46" t="s">
        <v>75</v>
      </c>
    </row>
    <row r="13" spans="1:22" ht="15" customHeight="1" x14ac:dyDescent="0.25">
      <c r="A13" s="2" t="s">
        <v>85</v>
      </c>
      <c r="B13" s="4" t="str">
        <f>ES1_Status</f>
        <v>Not Ok</v>
      </c>
      <c r="E13">
        <v>1</v>
      </c>
      <c r="F13" s="60">
        <v>1085</v>
      </c>
      <c r="G13" t="s">
        <v>113</v>
      </c>
      <c r="H13" s="3" t="str">
        <f>IF(Qn-(F13-Ta)&gt;2*ENT,"Fara E","Ok")</f>
        <v>Ok</v>
      </c>
      <c r="I13" s="19">
        <f>E13</f>
        <v>1</v>
      </c>
      <c r="J13" s="65">
        <f>F13-Ta</f>
        <v>995</v>
      </c>
      <c r="K13" s="3" t="str">
        <f>IF(J13&gt;=CMA,"Ok","Not Ok")</f>
        <v>Ok</v>
      </c>
      <c r="L13" s="3"/>
      <c r="M13" s="65"/>
      <c r="O13" s="19">
        <f>E13</f>
        <v>1</v>
      </c>
      <c r="P13" s="65">
        <f>F13-Ta</f>
        <v>995</v>
      </c>
      <c r="Q13" s="67">
        <f>P13-Xi</f>
        <v>0</v>
      </c>
      <c r="R13" s="68">
        <f>POWER(Q13,2)</f>
        <v>0</v>
      </c>
    </row>
    <row r="14" spans="1:22" ht="14.25" customHeight="1" x14ac:dyDescent="0.25">
      <c r="A14" s="2" t="s">
        <v>86</v>
      </c>
      <c r="B14" s="4" t="str">
        <f>ES2_Status</f>
        <v/>
      </c>
      <c r="E14">
        <v>2</v>
      </c>
      <c r="F14" s="60">
        <v>1125</v>
      </c>
      <c r="G14" t="s">
        <v>114</v>
      </c>
      <c r="H14" s="3" t="str">
        <f>IF(Qn-(F14-Ta)&gt;2*ENT,"Fara E","Ok")</f>
        <v>Ok</v>
      </c>
      <c r="I14" s="19">
        <f>E14</f>
        <v>2</v>
      </c>
      <c r="J14" s="65">
        <f>F14-Ta</f>
        <v>1035</v>
      </c>
      <c r="K14" s="3" t="str">
        <f>IF(J14&gt;=CMA,"Ok","Not Ok")</f>
        <v>Ok</v>
      </c>
      <c r="L14" s="3"/>
      <c r="M14" s="65"/>
      <c r="O14" s="19">
        <f>E14</f>
        <v>2</v>
      </c>
      <c r="P14" s="65">
        <f>F14-Ta</f>
        <v>1035</v>
      </c>
      <c r="Q14" s="67">
        <f>P14-Xi</f>
        <v>40</v>
      </c>
      <c r="R14" s="68">
        <f>POWER(Q14,2)</f>
        <v>1600</v>
      </c>
    </row>
    <row r="15" spans="1:22" x14ac:dyDescent="0.25">
      <c r="A15" s="2" t="s">
        <v>87</v>
      </c>
      <c r="B15" s="4" t="str">
        <f>ES3_Status</f>
        <v>Ok</v>
      </c>
      <c r="E15">
        <v>3</v>
      </c>
      <c r="F15" s="60">
        <v>1090</v>
      </c>
      <c r="G15" t="s">
        <v>115</v>
      </c>
      <c r="H15" s="3" t="str">
        <f>IF(Qn-(F15-Ta)&gt;2*ENT,"Fara E","Ok")</f>
        <v>Ok</v>
      </c>
      <c r="I15" s="19">
        <f>E15</f>
        <v>3</v>
      </c>
      <c r="J15" s="65">
        <f>F15-Ta</f>
        <v>1000</v>
      </c>
      <c r="K15" s="3" t="str">
        <f>IF(J15&gt;=CMA,"Ok","Not Ok")</f>
        <v>Ok</v>
      </c>
      <c r="L15" s="3"/>
      <c r="M15" s="65"/>
      <c r="O15" s="19">
        <f>E15</f>
        <v>3</v>
      </c>
      <c r="P15" s="65">
        <f>F15-Ta</f>
        <v>1000</v>
      </c>
      <c r="Q15" s="67">
        <f>P15-Xi</f>
        <v>5</v>
      </c>
      <c r="R15" s="68">
        <f>POWER(Q15,2)</f>
        <v>25</v>
      </c>
    </row>
    <row r="16" spans="1:22" ht="14.25" customHeight="1" x14ac:dyDescent="0.25">
      <c r="E16">
        <v>4</v>
      </c>
      <c r="F16" s="60">
        <v>1185</v>
      </c>
      <c r="G16" t="s">
        <v>116</v>
      </c>
      <c r="H16" s="3" t="str">
        <f>IF(Qn-(F16-Ta)&gt;2*ENT,"Fara E","Ok")</f>
        <v>Ok</v>
      </c>
      <c r="I16" s="19">
        <f>E16</f>
        <v>4</v>
      </c>
      <c r="J16" s="65">
        <f>F16-Ta</f>
        <v>1095</v>
      </c>
      <c r="K16" s="3" t="str">
        <f>IF(J16&gt;=CMA,"Ok","Not Ok")</f>
        <v>Ok</v>
      </c>
      <c r="L16" s="3"/>
      <c r="M16" s="65"/>
      <c r="O16" s="19">
        <f>E16</f>
        <v>4</v>
      </c>
      <c r="P16" s="65">
        <f>F16-Ta</f>
        <v>1095</v>
      </c>
      <c r="Q16" s="67">
        <f>P16-Xi</f>
        <v>100</v>
      </c>
      <c r="R16" s="68">
        <f>POWER(Q16,2)</f>
        <v>10000</v>
      </c>
    </row>
    <row r="17" spans="1:18" x14ac:dyDescent="0.25">
      <c r="E17">
        <v>5</v>
      </c>
      <c r="F17" s="60">
        <v>1185</v>
      </c>
      <c r="G17" t="s">
        <v>117</v>
      </c>
      <c r="H17" s="3" t="str">
        <f>IF(Qn-(F17-Ta)&gt;2*ENT,"Fara E","Ok")</f>
        <v>Ok</v>
      </c>
      <c r="I17" s="19">
        <f>E17</f>
        <v>5</v>
      </c>
      <c r="J17" s="65">
        <f>F17-Ta</f>
        <v>1095</v>
      </c>
      <c r="K17" s="3" t="str">
        <f>IF(J17&gt;=CMA,"Ok","Not Ok")</f>
        <v>Ok</v>
      </c>
      <c r="L17" s="3"/>
      <c r="M17" s="65"/>
      <c r="O17" s="19">
        <f>E17</f>
        <v>5</v>
      </c>
      <c r="P17" s="65">
        <f>F17-Ta</f>
        <v>1095</v>
      </c>
      <c r="Q17" s="67">
        <f>P17-Xi</f>
        <v>100</v>
      </c>
      <c r="R17" s="68">
        <f>POWER(Q17,2)</f>
        <v>10000</v>
      </c>
    </row>
    <row r="18" spans="1:18" ht="15" customHeight="1" x14ac:dyDescent="0.25">
      <c r="A18" s="32" t="s">
        <v>66</v>
      </c>
      <c r="B18" s="33"/>
      <c r="E18">
        <v>6</v>
      </c>
      <c r="F18" s="60">
        <v>1185</v>
      </c>
      <c r="G18" t="s">
        <v>118</v>
      </c>
      <c r="H18" s="3" t="str">
        <f>IF(Qn-(F18-Ta)&gt;2*ENT,"Fara E","Ok")</f>
        <v>Ok</v>
      </c>
      <c r="I18" s="53">
        <f>E18</f>
        <v>6</v>
      </c>
      <c r="J18" s="65">
        <f>F18-Ta</f>
        <v>1095</v>
      </c>
      <c r="K18" s="3" t="str">
        <f>IF(J18&gt;=CMA,"Ok","Not Ok")</f>
        <v>Ok</v>
      </c>
      <c r="M18" s="65"/>
      <c r="O18" s="53">
        <f>E18</f>
        <v>6</v>
      </c>
      <c r="P18" s="60">
        <f>F18-Ta</f>
        <v>1095</v>
      </c>
      <c r="Q18" s="68">
        <f>P18-Xi</f>
        <v>100</v>
      </c>
      <c r="R18" s="68">
        <f>POWER(Q18,2)</f>
        <v>10000</v>
      </c>
    </row>
    <row r="19" spans="1:18" x14ac:dyDescent="0.25">
      <c r="A19" s="39" t="s">
        <v>34</v>
      </c>
      <c r="B19" s="69">
        <f>AVERAGE(P13:P39)</f>
        <v>995</v>
      </c>
      <c r="C19" t="str">
        <f>DisplayUnit</f>
        <v>g</v>
      </c>
      <c r="E19">
        <v>7</v>
      </c>
      <c r="F19" s="60">
        <v>1180</v>
      </c>
      <c r="G19" t="s">
        <v>119</v>
      </c>
      <c r="H19" s="3" t="str">
        <f>IF(Qn-(F19-Ta)&gt;2*ENT,"Fara E","Ok")</f>
        <v>Ok</v>
      </c>
      <c r="I19" s="53">
        <f>E19</f>
        <v>7</v>
      </c>
      <c r="J19" s="65">
        <f>F19-Ta</f>
        <v>1090</v>
      </c>
      <c r="K19" s="3" t="str">
        <f>IF(J19&gt;=CMA,"Ok","Not Ok")</f>
        <v>Ok</v>
      </c>
      <c r="M19" s="65"/>
      <c r="O19" s="53">
        <f>E19</f>
        <v>7</v>
      </c>
      <c r="P19" s="66">
        <f>F19-Ta</f>
        <v>1090</v>
      </c>
      <c r="Q19" s="68">
        <f>P19-Xi</f>
        <v>95</v>
      </c>
      <c r="R19" s="68">
        <f>POWER(Q19,2)</f>
        <v>9025</v>
      </c>
    </row>
    <row r="20" spans="1:18" ht="15" customHeight="1" x14ac:dyDescent="0.25">
      <c r="A20" s="24" t="s">
        <v>36</v>
      </c>
      <c r="B20" s="69">
        <f>SUM(R13,R38)</f>
        <v>100</v>
      </c>
      <c r="C20" t="str">
        <f>DisplayUnit</f>
        <v>g</v>
      </c>
      <c r="E20">
        <v>8</v>
      </c>
      <c r="F20" s="60">
        <v>1180</v>
      </c>
      <c r="G20" t="s">
        <v>120</v>
      </c>
      <c r="H20" s="3" t="str">
        <f>IF(Qn-(F20-Ta)&gt;2*ENT,"Fara E","Ok")</f>
        <v>Ok</v>
      </c>
      <c r="I20" s="53">
        <f>E20</f>
        <v>8</v>
      </c>
      <c r="J20" s="65">
        <f>F20-Ta</f>
        <v>1090</v>
      </c>
      <c r="K20" s="3" t="str">
        <f>IF(J20&gt;=CMA,"Ok","Not Ok")</f>
        <v>Ok</v>
      </c>
      <c r="M20" s="65"/>
      <c r="O20" s="53">
        <f>E20</f>
        <v>8</v>
      </c>
      <c r="P20" s="60">
        <f>F20-Ta</f>
        <v>1090</v>
      </c>
      <c r="Q20" s="68">
        <f>P20-Xi</f>
        <v>95</v>
      </c>
      <c r="R20" s="68">
        <f>POWER(Q20,2)</f>
        <v>9025</v>
      </c>
    </row>
    <row r="21" spans="1:18" x14ac:dyDescent="0.25">
      <c r="A21" s="24" t="s">
        <v>35</v>
      </c>
      <c r="B21" s="69">
        <f>SQRT(SumOfSquares/(ES_3-1))</f>
        <v>2</v>
      </c>
      <c r="C21" t="str">
        <f>DisplayUnit</f>
        <v>g</v>
      </c>
      <c r="E21">
        <v>9</v>
      </c>
      <c r="F21" s="60">
        <v>1180</v>
      </c>
      <c r="G21" t="s">
        <v>121</v>
      </c>
      <c r="H21" s="3" t="str">
        <f>IF(Qn-(F21-Ta)&gt;2*ENT,"Fara E","Ok")</f>
        <v>Ok</v>
      </c>
      <c r="I21" s="53">
        <f>E21</f>
        <v>9</v>
      </c>
      <c r="J21" s="65">
        <f>F21-Ta</f>
        <v>1090</v>
      </c>
      <c r="K21" s="3" t="str">
        <f>IF(J21&gt;=CMA,"Ok","Not Ok")</f>
        <v>Ok</v>
      </c>
      <c r="M21" s="65"/>
      <c r="O21" s="53">
        <f>E21</f>
        <v>9</v>
      </c>
      <c r="P21" s="60">
        <f>F21-Ta</f>
        <v>1090</v>
      </c>
      <c r="Q21" s="68">
        <f>P21-Xi</f>
        <v>95</v>
      </c>
      <c r="R21" s="68">
        <f>POWER(Q21,2)</f>
        <v>9025</v>
      </c>
    </row>
    <row r="22" spans="1:18" x14ac:dyDescent="0.25">
      <c r="A22" s="39" t="s">
        <v>54</v>
      </c>
      <c r="B22" s="69">
        <f>s/SQRT(ES_3)*0.995</f>
        <v>0.39027110892498623</v>
      </c>
      <c r="E22">
        <v>10</v>
      </c>
      <c r="F22" s="60">
        <v>1035</v>
      </c>
      <c r="G22" t="s">
        <v>122</v>
      </c>
      <c r="H22" s="3" t="str">
        <f>IF(Qn-(F22-Ta)&gt;2*ENT,"Fara E","Ok")</f>
        <v>Fara E</v>
      </c>
      <c r="I22" s="53">
        <f>E22</f>
        <v>10</v>
      </c>
      <c r="J22" s="65">
        <f>F22-Ta</f>
        <v>945</v>
      </c>
      <c r="K22" s="3" t="str">
        <f>IF(J22&gt;=CMA,"Ok","Not Ok")</f>
        <v>Not Ok</v>
      </c>
      <c r="M22" s="65"/>
      <c r="O22" s="53">
        <f>E22</f>
        <v>10</v>
      </c>
      <c r="P22" s="60">
        <f>F22-Ta</f>
        <v>945</v>
      </c>
      <c r="Q22" s="68">
        <f>P22-Xi</f>
        <v>-50</v>
      </c>
      <c r="R22" s="68">
        <f>POWER(Q22,2)</f>
        <v>2500</v>
      </c>
    </row>
    <row r="23" spans="1:18" x14ac:dyDescent="0.25">
      <c r="A23" s="2"/>
      <c r="E23">
        <v>11</v>
      </c>
      <c r="F23" s="60">
        <v>1185</v>
      </c>
      <c r="G23" t="s">
        <v>123</v>
      </c>
      <c r="H23" s="3" t="str">
        <f>IF(Qn-(F23-Ta)&gt;2*ENT,"Fara E","Ok")</f>
        <v>Ok</v>
      </c>
      <c r="I23" s="53">
        <f>E23</f>
        <v>11</v>
      </c>
      <c r="J23" s="65">
        <f>F23-Ta</f>
        <v>1095</v>
      </c>
      <c r="K23" s="3" t="str">
        <f>IF(J23&gt;=CMA,"Ok","Not Ok")</f>
        <v>Ok</v>
      </c>
      <c r="M23" s="65"/>
      <c r="O23" s="53">
        <f>E23</f>
        <v>11</v>
      </c>
      <c r="P23" s="60">
        <f>F23-Ta</f>
        <v>1095</v>
      </c>
      <c r="Q23" s="68">
        <f>P23-Xi</f>
        <v>100</v>
      </c>
      <c r="R23" s="68">
        <f>POWER(Q23,2)</f>
        <v>10000</v>
      </c>
    </row>
    <row r="24" spans="1:18" x14ac:dyDescent="0.25">
      <c r="E24">
        <v>12</v>
      </c>
      <c r="F24" s="60">
        <v>1185</v>
      </c>
      <c r="G24" t="s">
        <v>124</v>
      </c>
      <c r="H24" s="3" t="str">
        <f>IF(Qn-(F24-Ta)&gt;2*ENT,"Fara E","Ok")</f>
        <v>Ok</v>
      </c>
      <c r="I24" s="53">
        <f>E24</f>
        <v>12</v>
      </c>
      <c r="J24" s="65">
        <f>F24-Ta</f>
        <v>1095</v>
      </c>
      <c r="K24" s="3" t="str">
        <f>IF(J24&gt;=CMA,"Ok","Not Ok")</f>
        <v>Ok</v>
      </c>
      <c r="M24" s="65"/>
      <c r="O24" s="53">
        <f>E24</f>
        <v>12</v>
      </c>
      <c r="P24" s="60">
        <f>F24-Ta</f>
        <v>1095</v>
      </c>
      <c r="Q24" s="68">
        <f>P24-Xi</f>
        <v>100</v>
      </c>
      <c r="R24" s="68">
        <f>POWER(Q24,2)</f>
        <v>10000</v>
      </c>
    </row>
    <row r="25" spans="1:18" x14ac:dyDescent="0.25">
      <c r="E25">
        <v>13</v>
      </c>
      <c r="F25" s="60">
        <v>180</v>
      </c>
      <c r="G25" t="s">
        <v>125</v>
      </c>
      <c r="H25" s="3" t="str">
        <f>IF(Qn-(F25-Ta)&gt;2*ENT,"Fara E","Ok")</f>
        <v>Fara E</v>
      </c>
      <c r="I25" s="53">
        <f>E25</f>
        <v>13</v>
      </c>
      <c r="J25" s="65">
        <f>F25-Ta</f>
        <v>90</v>
      </c>
      <c r="K25" s="3" t="str">
        <f>IF(J25&gt;=CMA,"Ok","Not Ok")</f>
        <v>Not Ok</v>
      </c>
      <c r="M25" s="65"/>
      <c r="O25" s="53">
        <f>E25</f>
        <v>13</v>
      </c>
      <c r="P25" s="60">
        <f>F25-Ta</f>
        <v>90</v>
      </c>
      <c r="Q25" s="68">
        <f>P25-Xi</f>
        <v>-905</v>
      </c>
      <c r="R25" s="68">
        <f>POWER(Q25,2)</f>
        <v>819025</v>
      </c>
    </row>
    <row r="26" spans="1:18" x14ac:dyDescent="0.25">
      <c r="E26">
        <v>14</v>
      </c>
      <c r="F26" s="60">
        <v>1095</v>
      </c>
      <c r="G26" t="s">
        <v>100</v>
      </c>
      <c r="H26" s="3" t="str">
        <f>IF(Qn-(F26-Ta)&gt;2*ENT,"Fara E","Ok")</f>
        <v>Ok</v>
      </c>
      <c r="I26" s="53">
        <f>E26</f>
        <v>14</v>
      </c>
      <c r="J26" s="65">
        <f>F26-Ta</f>
        <v>1005</v>
      </c>
      <c r="K26" s="3" t="str">
        <f>IF(J26&gt;=CMA,"Ok","Not Ok")</f>
        <v>Ok</v>
      </c>
      <c r="M26" s="65"/>
      <c r="O26" s="53">
        <f>E26</f>
        <v>14</v>
      </c>
      <c r="P26" s="60">
        <f>F26-Ta</f>
        <v>1005</v>
      </c>
      <c r="Q26" s="68">
        <f>P26-Xi</f>
        <v>10</v>
      </c>
      <c r="R26" s="68">
        <f>POWER(Q26,2)</f>
        <v>100</v>
      </c>
    </row>
    <row r="27" spans="1:18" x14ac:dyDescent="0.25">
      <c r="E27">
        <v>15</v>
      </c>
      <c r="F27" s="60">
        <v>1090</v>
      </c>
      <c r="G27" t="s">
        <v>101</v>
      </c>
      <c r="H27" s="3" t="str">
        <f>IF(Qn-(F27-Ta)&gt;2*ENT,"Fara E","Ok")</f>
        <v>Ok</v>
      </c>
      <c r="I27" s="53">
        <f>E27</f>
        <v>15</v>
      </c>
      <c r="J27" s="65">
        <f>F27-Ta</f>
        <v>1000</v>
      </c>
      <c r="K27" s="3" t="str">
        <f>IF(J27&gt;=CMA,"Ok","Not Ok")</f>
        <v>Ok</v>
      </c>
      <c r="M27" s="65"/>
      <c r="O27" s="53">
        <f>E27</f>
        <v>15</v>
      </c>
      <c r="P27" s="60">
        <f>F27-Ta</f>
        <v>1000</v>
      </c>
      <c r="Q27" s="68">
        <f>P27-Xi</f>
        <v>5</v>
      </c>
      <c r="R27" s="68">
        <f>POWER(Q27,2)</f>
        <v>25</v>
      </c>
    </row>
    <row r="28" spans="1:18" x14ac:dyDescent="0.25">
      <c r="E28">
        <v>16</v>
      </c>
      <c r="F28" s="60">
        <v>1095</v>
      </c>
      <c r="G28" t="s">
        <v>102</v>
      </c>
      <c r="H28" s="3" t="str">
        <f>IF(Qn-(F28-Ta)&gt;2*ENT,"Fara E","Ok")</f>
        <v>Ok</v>
      </c>
      <c r="I28" s="53">
        <f>E28</f>
        <v>16</v>
      </c>
      <c r="J28" s="65">
        <f>F28-Ta</f>
        <v>1005</v>
      </c>
      <c r="K28" s="3" t="str">
        <f>IF(J28&gt;=CMA,"Ok","Not Ok")</f>
        <v>Ok</v>
      </c>
      <c r="M28" s="65"/>
      <c r="O28" s="53">
        <f>E28</f>
        <v>16</v>
      </c>
      <c r="P28" s="60">
        <f>F28-Ta</f>
        <v>1005</v>
      </c>
      <c r="Q28" s="68">
        <f>P28-Xi</f>
        <v>10</v>
      </c>
      <c r="R28" s="68">
        <f>POWER(Q28,2)</f>
        <v>100</v>
      </c>
    </row>
    <row r="29" spans="1:18" x14ac:dyDescent="0.25">
      <c r="E29">
        <v>17</v>
      </c>
      <c r="F29" s="60">
        <v>1095</v>
      </c>
      <c r="G29" t="s">
        <v>103</v>
      </c>
      <c r="H29" s="3" t="str">
        <f>IF(Qn-(F29-Ta)&gt;2*ENT,"Fara E","Ok")</f>
        <v>Ok</v>
      </c>
      <c r="I29" s="53">
        <f>E29</f>
        <v>17</v>
      </c>
      <c r="J29" s="65">
        <f>F29-Ta</f>
        <v>1005</v>
      </c>
      <c r="K29" s="3" t="str">
        <f>IF(J29&gt;=CMA,"Ok","Not Ok")</f>
        <v>Ok</v>
      </c>
      <c r="M29" s="65"/>
      <c r="O29" s="53">
        <f>E29</f>
        <v>17</v>
      </c>
      <c r="P29" s="60">
        <f>F29-Ta</f>
        <v>1005</v>
      </c>
      <c r="Q29" s="68">
        <f>P29-Xi</f>
        <v>10</v>
      </c>
      <c r="R29" s="68">
        <f>POWER(Q29,2)</f>
        <v>100</v>
      </c>
    </row>
    <row r="30" spans="1:18" x14ac:dyDescent="0.25">
      <c r="E30">
        <v>18</v>
      </c>
      <c r="F30" s="60">
        <v>1095</v>
      </c>
      <c r="G30" t="s">
        <v>104</v>
      </c>
      <c r="H30" s="3" t="str">
        <f>IF(Qn-(F30-Ta)&gt;2*ENT,"Fara E","Ok")</f>
        <v>Ok</v>
      </c>
      <c r="I30" s="53">
        <f>E30</f>
        <v>18</v>
      </c>
      <c r="J30" s="65">
        <f>F30-Ta</f>
        <v>1005</v>
      </c>
      <c r="K30" s="3" t="str">
        <f>IF(J30&gt;=CMA,"Ok","Not Ok")</f>
        <v>Ok</v>
      </c>
      <c r="M30" s="65"/>
      <c r="O30" s="53">
        <f>E30</f>
        <v>18</v>
      </c>
      <c r="P30" s="60">
        <f>F30-Ta</f>
        <v>1005</v>
      </c>
      <c r="Q30" s="68">
        <f>P30-Xi</f>
        <v>10</v>
      </c>
      <c r="R30" s="68">
        <f>POWER(Q30,2)</f>
        <v>100</v>
      </c>
    </row>
    <row r="31" spans="1:18" x14ac:dyDescent="0.25">
      <c r="E31">
        <v>19</v>
      </c>
      <c r="F31" s="60">
        <v>1095</v>
      </c>
      <c r="G31" t="s">
        <v>105</v>
      </c>
      <c r="H31" s="3" t="str">
        <f>IF(Qn-(F31-Ta)&gt;2*ENT,"Fara E","Ok")</f>
        <v>Ok</v>
      </c>
      <c r="I31" s="53">
        <f>E31</f>
        <v>19</v>
      </c>
      <c r="J31" s="65">
        <f>F31-Ta</f>
        <v>1005</v>
      </c>
      <c r="K31" s="3" t="str">
        <f>IF(J31&gt;=CMA,"Ok","Not Ok")</f>
        <v>Ok</v>
      </c>
      <c r="M31" s="65"/>
      <c r="O31" s="53">
        <f>E31</f>
        <v>19</v>
      </c>
      <c r="P31" s="60">
        <f>F31-Ta</f>
        <v>1005</v>
      </c>
      <c r="Q31" s="68">
        <f>P31-Xi</f>
        <v>10</v>
      </c>
      <c r="R31" s="68">
        <f>POWER(Q31,2)</f>
        <v>100</v>
      </c>
    </row>
    <row r="32" spans="1:18" x14ac:dyDescent="0.25">
      <c r="E32">
        <v>20</v>
      </c>
      <c r="F32" s="60">
        <v>1095</v>
      </c>
      <c r="G32" t="s">
        <v>106</v>
      </c>
      <c r="H32" s="3" t="str">
        <f>IF(Qn-(F32-Ta)&gt;2*ENT,"Fara E","Ok")</f>
        <v>Ok</v>
      </c>
      <c r="I32" s="53">
        <f>E32</f>
        <v>20</v>
      </c>
      <c r="J32" s="65">
        <f>F32-Ta</f>
        <v>1005</v>
      </c>
      <c r="K32" s="3" t="str">
        <f>IF(J32&gt;=CMA,"Ok","Not Ok")</f>
        <v>Ok</v>
      </c>
      <c r="M32" s="65"/>
      <c r="O32" s="53">
        <f>E32</f>
        <v>20</v>
      </c>
      <c r="P32" s="60">
        <f>F32-Ta</f>
        <v>1005</v>
      </c>
      <c r="Q32" s="68">
        <f>P32-Xi</f>
        <v>10</v>
      </c>
      <c r="R32" s="68">
        <f>POWER(Q32,2)</f>
        <v>100</v>
      </c>
    </row>
    <row r="33" spans="5:18" x14ac:dyDescent="0.25">
      <c r="E33">
        <v>21</v>
      </c>
      <c r="F33" s="60">
        <v>1095</v>
      </c>
      <c r="G33" t="s">
        <v>107</v>
      </c>
      <c r="H33" s="3" t="str">
        <f>IF(Qn-(F33-Ta)&gt;2*ENT,"Fara E","Ok")</f>
        <v>Ok</v>
      </c>
      <c r="I33" s="53">
        <f>E33</f>
        <v>21</v>
      </c>
      <c r="J33" s="65">
        <f>F33-Ta</f>
        <v>1005</v>
      </c>
      <c r="K33" s="3" t="str">
        <f>IF(J33&gt;=CMA,"Ok","Not Ok")</f>
        <v>Ok</v>
      </c>
      <c r="M33" s="65"/>
      <c r="O33" s="53">
        <f>E33</f>
        <v>21</v>
      </c>
      <c r="P33" s="60">
        <f>F33-Ta</f>
        <v>1005</v>
      </c>
      <c r="Q33" s="68">
        <f>P33-Xi</f>
        <v>10</v>
      </c>
      <c r="R33" s="68">
        <f>POWER(Q33,2)</f>
        <v>100</v>
      </c>
    </row>
    <row r="34" spans="5:18" x14ac:dyDescent="0.25">
      <c r="E34">
        <v>22</v>
      </c>
      <c r="F34" s="60">
        <v>1095</v>
      </c>
      <c r="G34" t="s">
        <v>108</v>
      </c>
      <c r="H34" s="3" t="str">
        <f>IF(Qn-(F34-Ta)&gt;2*ENT,"Fara E","Ok")</f>
        <v>Ok</v>
      </c>
      <c r="I34" s="53">
        <f>E34</f>
        <v>22</v>
      </c>
      <c r="J34" s="65">
        <f>F34-Ta</f>
        <v>1005</v>
      </c>
      <c r="K34" s="3" t="str">
        <f>IF(J34&gt;=CMA,"Ok","Not Ok")</f>
        <v>Ok</v>
      </c>
      <c r="M34" s="65"/>
      <c r="O34" s="53">
        <f>E34</f>
        <v>22</v>
      </c>
      <c r="P34" s="60">
        <f>F34-Ta</f>
        <v>1005</v>
      </c>
      <c r="Q34" s="68">
        <f>P34-Xi</f>
        <v>10</v>
      </c>
      <c r="R34" s="68">
        <f>POWER(Q34,2)</f>
        <v>100</v>
      </c>
    </row>
    <row r="35" spans="5:18" x14ac:dyDescent="0.25">
      <c r="E35">
        <v>23</v>
      </c>
      <c r="F35" s="60">
        <v>1095</v>
      </c>
      <c r="G35" t="s">
        <v>109</v>
      </c>
      <c r="H35" s="3" t="str">
        <f>IF(Qn-(F35-Ta)&gt;2*ENT,"Fara E","Ok")</f>
        <v>Ok</v>
      </c>
      <c r="I35" s="53">
        <f>E35</f>
        <v>23</v>
      </c>
      <c r="J35" s="65">
        <f>F35-Ta</f>
        <v>1005</v>
      </c>
      <c r="K35" s="3" t="str">
        <f>IF(J35&gt;=CMA,"Ok","Not Ok")</f>
        <v>Ok</v>
      </c>
      <c r="M35" s="65"/>
      <c r="O35" s="53">
        <f>E35</f>
        <v>23</v>
      </c>
      <c r="P35" s="60">
        <f>F35-Ta</f>
        <v>1005</v>
      </c>
      <c r="Q35" s="68">
        <f>P35-Xi</f>
        <v>10</v>
      </c>
      <c r="R35" s="68">
        <f>POWER(Q35,2)</f>
        <v>100</v>
      </c>
    </row>
    <row r="36" spans="5:18" x14ac:dyDescent="0.25">
      <c r="E36">
        <v>24</v>
      </c>
      <c r="F36" s="60">
        <v>1095</v>
      </c>
      <c r="G36" t="s">
        <v>110</v>
      </c>
      <c r="H36" s="3" t="str">
        <f>IF(Qn-(F36-Ta)&gt;2*ENT,"Fara E","Ok")</f>
        <v>Ok</v>
      </c>
      <c r="I36" s="53">
        <f>E36</f>
        <v>24</v>
      </c>
      <c r="J36" s="65">
        <f>F36-Ta</f>
        <v>1005</v>
      </c>
      <c r="K36" s="3" t="str">
        <f>IF(J36&gt;=CMA,"Ok","Not Ok")</f>
        <v>Ok</v>
      </c>
      <c r="M36" s="65"/>
      <c r="O36" s="53">
        <f>E36</f>
        <v>24</v>
      </c>
      <c r="P36" s="60">
        <f>F36-Ta</f>
        <v>1005</v>
      </c>
      <c r="Q36" s="68">
        <f>P36-Xi</f>
        <v>10</v>
      </c>
      <c r="R36" s="68">
        <f>POWER(Q36,2)</f>
        <v>100</v>
      </c>
    </row>
    <row r="37" spans="5:18" x14ac:dyDescent="0.25">
      <c r="E37">
        <v>25</v>
      </c>
      <c r="F37" s="60">
        <v>1095</v>
      </c>
      <c r="G37" t="s">
        <v>111</v>
      </c>
      <c r="H37" s="3" t="str">
        <f>IF(Qn-(F37-Ta)&gt;2*ENT,"Fara E","Ok")</f>
        <v>Ok</v>
      </c>
      <c r="I37" s="53">
        <f>E37</f>
        <v>25</v>
      </c>
      <c r="J37" s="65">
        <f>F37-Ta</f>
        <v>1005</v>
      </c>
      <c r="K37" s="3" t="str">
        <f>IF(J37&gt;=CMA,"Ok","Not Ok")</f>
        <v>Ok</v>
      </c>
      <c r="M37" s="65"/>
      <c r="O37" s="53">
        <f>E37</f>
        <v>25</v>
      </c>
      <c r="P37" s="60">
        <f>F37-Ta</f>
        <v>1005</v>
      </c>
      <c r="Q37" s="68">
        <f>P37-Xi</f>
        <v>10</v>
      </c>
      <c r="R37" s="68">
        <f>POWER(Q37,2)</f>
        <v>100</v>
      </c>
    </row>
    <row r="38" spans="5:18" x14ac:dyDescent="0.25">
      <c r="E38">
        <v>26</v>
      </c>
      <c r="F38" s="60">
        <v>1095</v>
      </c>
      <c r="G38" t="s">
        <v>112</v>
      </c>
      <c r="H38" s="3" t="str">
        <f>IF(Qn-(F38-Ta)&gt;2*ENT,"Fara E","Ok")</f>
        <v>Ok</v>
      </c>
      <c r="I38" s="53">
        <f>E38</f>
        <v>26</v>
      </c>
      <c r="J38" s="65">
        <f>F38-Ta</f>
        <v>1005</v>
      </c>
      <c r="K38" s="3" t="str">
        <f>IF(J38&gt;=CMA,"Ok","Not Ok")</f>
        <v>Ok</v>
      </c>
      <c r="M38" s="65"/>
      <c r="O38" s="53">
        <f>E38</f>
        <v>26</v>
      </c>
      <c r="P38" s="60">
        <f>F38-Ta</f>
        <v>1005</v>
      </c>
      <c r="Q38" s="68">
        <f>P38-Xi</f>
        <v>10</v>
      </c>
      <c r="R38" s="68">
        <f>POWER(Q38,2)</f>
        <v>100</v>
      </c>
    </row>
    <row r="39" spans="5:18" x14ac:dyDescent="0.25">
      <c r="E39"/>
      <c r="F39" s="60"/>
      <c r="G39" s="1"/>
      <c r="J39" s="65"/>
      <c r="M39" s="65"/>
      <c r="P39" s="60"/>
      <c r="Q39" s="68"/>
      <c r="R39" s="68"/>
    </row>
    <row r="40" spans="5:18" x14ac:dyDescent="0.25">
      <c r="E40"/>
      <c r="F40" s="60"/>
      <c r="G40" s="1"/>
      <c r="J40" s="65"/>
      <c r="M40" s="65"/>
      <c r="P40" s="60"/>
      <c r="Q40" s="68"/>
      <c r="R40" s="68"/>
    </row>
    <row r="41" spans="5:18" x14ac:dyDescent="0.25">
      <c r="E41"/>
      <c r="F41" s="60"/>
      <c r="G41" s="1"/>
      <c r="J41" s="65"/>
      <c r="M41" s="65"/>
      <c r="P41" s="60"/>
      <c r="Q41" s="68"/>
      <c r="R41" s="68"/>
    </row>
    <row r="42" spans="5:18" x14ac:dyDescent="0.25">
      <c r="E42"/>
      <c r="F42" s="60"/>
      <c r="G42" s="1"/>
      <c r="J42" s="65"/>
      <c r="M42" s="65"/>
      <c r="P42" s="60"/>
      <c r="Q42" s="68"/>
      <c r="R42" s="68"/>
    </row>
    <row r="43" spans="5:18" x14ac:dyDescent="0.25">
      <c r="E43"/>
      <c r="F43" s="60"/>
      <c r="G43" s="1"/>
      <c r="J43" s="65"/>
      <c r="M43" s="65"/>
      <c r="P43" s="60"/>
      <c r="Q43" s="68"/>
      <c r="R43" s="68"/>
    </row>
    <row r="44" spans="5:18" x14ac:dyDescent="0.25">
      <c r="E44"/>
      <c r="F44" s="60"/>
      <c r="G44" s="1"/>
      <c r="J44" s="65"/>
      <c r="M44" s="65"/>
      <c r="P44" s="60"/>
      <c r="Q44" s="68"/>
      <c r="R44" s="68"/>
    </row>
    <row r="45" spans="5:18" x14ac:dyDescent="0.25">
      <c r="E45"/>
      <c r="F45" s="60"/>
      <c r="G45" s="1"/>
      <c r="J45" s="65"/>
      <c r="M45" s="65"/>
      <c r="P45" s="60"/>
      <c r="Q45" s="68"/>
      <c r="R45" s="68"/>
    </row>
    <row r="46" spans="5:18" x14ac:dyDescent="0.25">
      <c r="E46"/>
      <c r="F46" s="60"/>
      <c r="G46" s="1"/>
      <c r="J46" s="65"/>
      <c r="M46" s="65"/>
      <c r="P46" s="60"/>
      <c r="Q46" s="68"/>
      <c r="R46" s="68"/>
    </row>
    <row r="47" spans="5:18" x14ac:dyDescent="0.25">
      <c r="E47"/>
      <c r="F47" s="60"/>
      <c r="G47" s="1"/>
      <c r="J47" s="65"/>
      <c r="M47" s="65"/>
      <c r="P47" s="60"/>
      <c r="Q47" s="68"/>
      <c r="R47" s="68"/>
    </row>
    <row r="48" spans="5:18" x14ac:dyDescent="0.25">
      <c r="E48"/>
      <c r="F48" s="60"/>
      <c r="G48" s="1"/>
      <c r="J48" s="65"/>
      <c r="M48" s="65"/>
      <c r="P48" s="60"/>
      <c r="Q48" s="68"/>
      <c r="R48" s="68"/>
    </row>
    <row r="49" spans="5:18" x14ac:dyDescent="0.25">
      <c r="E49"/>
      <c r="F49" s="60"/>
      <c r="G49" s="1"/>
      <c r="J49" s="65"/>
      <c r="M49" s="65"/>
      <c r="P49" s="60"/>
      <c r="Q49" s="68"/>
      <c r="R49" s="68"/>
    </row>
    <row r="50" spans="5:18" x14ac:dyDescent="0.25">
      <c r="E50"/>
      <c r="F50" s="60"/>
      <c r="G50" s="1"/>
      <c r="J50" s="65"/>
      <c r="M50" s="65"/>
      <c r="P50" s="60"/>
      <c r="Q50" s="68"/>
      <c r="R50" s="68"/>
    </row>
    <row r="51" spans="5:18" x14ac:dyDescent="0.25">
      <c r="E51"/>
      <c r="F51" s="60"/>
      <c r="G51" s="1"/>
      <c r="J51" s="65"/>
      <c r="M51" s="65"/>
      <c r="P51" s="60"/>
      <c r="Q51" s="68"/>
      <c r="R51" s="68"/>
    </row>
    <row r="52" spans="5:18" x14ac:dyDescent="0.25">
      <c r="E52"/>
      <c r="F52" s="60"/>
      <c r="G52" s="1"/>
      <c r="J52" s="65"/>
      <c r="M52" s="65"/>
      <c r="P52" s="60"/>
      <c r="Q52" s="68"/>
      <c r="R52" s="68"/>
    </row>
    <row r="53" spans="5:18" x14ac:dyDescent="0.25">
      <c r="E53"/>
      <c r="F53" s="60"/>
      <c r="G53" s="1"/>
      <c r="J53" s="65"/>
      <c r="M53" s="65"/>
      <c r="P53" s="60"/>
      <c r="Q53" s="68"/>
      <c r="R53" s="68"/>
    </row>
    <row r="54" spans="5:18" x14ac:dyDescent="0.25">
      <c r="E54"/>
      <c r="F54" s="60"/>
      <c r="G54" s="1"/>
      <c r="J54" s="65"/>
      <c r="M54" s="65"/>
      <c r="P54" s="60"/>
      <c r="Q54" s="68"/>
      <c r="R54" s="68"/>
    </row>
    <row r="55" spans="5:18" x14ac:dyDescent="0.25">
      <c r="E55"/>
      <c r="F55" s="60"/>
      <c r="G55" s="1"/>
      <c r="J55" s="65"/>
      <c r="M55" s="65"/>
      <c r="P55" s="60"/>
      <c r="Q55" s="68"/>
      <c r="R55" s="68"/>
    </row>
    <row r="56" spans="5:18" x14ac:dyDescent="0.25">
      <c r="E56"/>
      <c r="F56" s="60"/>
      <c r="G56" s="1"/>
      <c r="J56" s="65"/>
      <c r="M56" s="65"/>
      <c r="P56" s="60"/>
      <c r="Q56" s="68"/>
      <c r="R56" s="68"/>
    </row>
    <row r="57" spans="5:18" x14ac:dyDescent="0.25">
      <c r="E57"/>
      <c r="F57" s="60"/>
      <c r="G57" s="1"/>
      <c r="J57" s="65"/>
      <c r="M57" s="65"/>
      <c r="P57" s="60"/>
      <c r="Q57" s="68"/>
      <c r="R57" s="68"/>
    </row>
    <row r="58" spans="5:18" x14ac:dyDescent="0.25">
      <c r="E58"/>
      <c r="F58" s="60"/>
      <c r="G58" s="1"/>
      <c r="J58" s="65"/>
      <c r="M58" s="65"/>
      <c r="P58" s="60"/>
      <c r="Q58" s="68"/>
      <c r="R58" s="68"/>
    </row>
    <row r="59" spans="5:18" x14ac:dyDescent="0.25">
      <c r="E59"/>
      <c r="F59" s="60"/>
      <c r="G59" s="1"/>
      <c r="J59" s="65"/>
      <c r="M59" s="65"/>
      <c r="P59" s="60"/>
      <c r="Q59" s="68"/>
      <c r="R59" s="68"/>
    </row>
    <row r="60" spans="5:18" x14ac:dyDescent="0.25">
      <c r="E60"/>
      <c r="F60" s="60"/>
      <c r="G60" s="1"/>
      <c r="J60" s="65"/>
      <c r="M60" s="65"/>
      <c r="P60" s="60"/>
      <c r="Q60" s="68"/>
      <c r="R60" s="68"/>
    </row>
    <row r="61" spans="5:18" x14ac:dyDescent="0.25">
      <c r="E61"/>
      <c r="F61" s="60"/>
      <c r="G61" s="1"/>
      <c r="J61" s="65"/>
      <c r="M61" s="65"/>
      <c r="P61" s="60"/>
      <c r="Q61" s="68"/>
      <c r="R61" s="68"/>
    </row>
    <row r="62" spans="5:18" x14ac:dyDescent="0.25">
      <c r="E62"/>
      <c r="F62" s="60"/>
      <c r="G62" s="1"/>
      <c r="J62" s="65"/>
      <c r="M62" s="65"/>
      <c r="P62" s="60"/>
      <c r="Q62" s="68"/>
      <c r="R62" s="68"/>
    </row>
    <row r="63" spans="5:18" x14ac:dyDescent="0.25">
      <c r="E63"/>
      <c r="F63" s="60"/>
      <c r="G63" s="1"/>
      <c r="J63" s="65"/>
      <c r="M63" s="65"/>
      <c r="P63" s="60"/>
      <c r="Q63" s="68"/>
      <c r="R63" s="68"/>
    </row>
    <row r="64" spans="5:18" x14ac:dyDescent="0.25">
      <c r="E64"/>
      <c r="F64" s="60"/>
      <c r="G64" s="1"/>
      <c r="J64" s="65"/>
      <c r="M64" s="65"/>
      <c r="P64" s="60"/>
      <c r="Q64" s="68"/>
      <c r="R64" s="68"/>
    </row>
    <row r="65" spans="5:18" x14ac:dyDescent="0.25">
      <c r="E65"/>
      <c r="F65" s="60"/>
      <c r="G65" s="1"/>
      <c r="J65" s="65"/>
      <c r="M65" s="65"/>
      <c r="P65" s="60"/>
      <c r="Q65" s="68"/>
      <c r="R65" s="68"/>
    </row>
    <row r="66" spans="5:18" x14ac:dyDescent="0.25">
      <c r="E66"/>
      <c r="F66" s="60"/>
      <c r="G66" s="1"/>
      <c r="J66" s="65"/>
      <c r="M66" s="65"/>
      <c r="P66" s="60"/>
      <c r="Q66" s="68"/>
      <c r="R66" s="68"/>
    </row>
    <row r="67" spans="5:18" x14ac:dyDescent="0.25">
      <c r="E67"/>
      <c r="F67" s="60"/>
      <c r="G67" s="1"/>
      <c r="J67" s="65"/>
      <c r="M67" s="65"/>
      <c r="P67" s="60"/>
      <c r="Q67" s="68"/>
      <c r="R67" s="68"/>
    </row>
    <row r="68" spans="5:18" x14ac:dyDescent="0.25">
      <c r="E68"/>
      <c r="F68" s="60"/>
      <c r="G68" s="1"/>
      <c r="J68" s="65"/>
      <c r="M68" s="65"/>
      <c r="P68" s="60"/>
      <c r="Q68" s="68"/>
      <c r="R68" s="68"/>
    </row>
    <row r="69" spans="5:18" x14ac:dyDescent="0.25">
      <c r="E69"/>
      <c r="F69" s="60"/>
      <c r="G69" s="1"/>
      <c r="J69" s="65"/>
      <c r="M69" s="65"/>
      <c r="P69" s="60"/>
      <c r="Q69" s="68"/>
      <c r="R69" s="68"/>
    </row>
    <row r="70" spans="5:18" x14ac:dyDescent="0.25">
      <c r="E70"/>
      <c r="F70" s="60"/>
      <c r="G70" s="1"/>
      <c r="J70" s="65"/>
      <c r="M70" s="65"/>
      <c r="P70" s="60"/>
      <c r="Q70" s="68"/>
      <c r="R70" s="68"/>
    </row>
    <row r="71" spans="5:18" x14ac:dyDescent="0.25">
      <c r="E71"/>
      <c r="F71" s="60"/>
      <c r="G71" s="1"/>
      <c r="J71" s="65"/>
      <c r="M71" s="65"/>
      <c r="P71" s="60"/>
      <c r="Q71" s="68"/>
      <c r="R71" s="68"/>
    </row>
    <row r="72" spans="5:18" x14ac:dyDescent="0.25">
      <c r="E72"/>
      <c r="F72" s="60"/>
      <c r="G72" s="1"/>
      <c r="J72" s="65"/>
      <c r="M72" s="65"/>
      <c r="P72" s="60"/>
      <c r="Q72" s="68"/>
      <c r="R72" s="68"/>
    </row>
    <row r="73" spans="5:18" x14ac:dyDescent="0.25">
      <c r="E73"/>
      <c r="F73" s="60"/>
      <c r="G73" s="1"/>
      <c r="J73" s="65"/>
      <c r="M73" s="65"/>
      <c r="P73" s="60"/>
      <c r="Q73" s="68"/>
      <c r="R73" s="68"/>
    </row>
    <row r="74" spans="5:18" x14ac:dyDescent="0.25">
      <c r="E74"/>
      <c r="F74" s="60"/>
      <c r="G74" s="1"/>
      <c r="J74" s="65"/>
      <c r="M74" s="65"/>
      <c r="P74" s="60"/>
      <c r="Q74" s="68"/>
      <c r="R74" s="68"/>
    </row>
    <row r="75" spans="5:18" x14ac:dyDescent="0.25">
      <c r="E75"/>
      <c r="F75" s="60"/>
      <c r="G75" s="1"/>
      <c r="J75" s="65"/>
      <c r="M75" s="65"/>
      <c r="P75" s="60"/>
      <c r="Q75" s="68"/>
      <c r="R75" s="68"/>
    </row>
    <row r="76" spans="5:18" x14ac:dyDescent="0.25">
      <c r="E76"/>
      <c r="F76" s="60"/>
      <c r="G76" s="1"/>
      <c r="J76" s="65"/>
      <c r="M76" s="65"/>
      <c r="P76" s="60"/>
      <c r="Q76" s="68"/>
      <c r="R76" s="68"/>
    </row>
    <row r="77" spans="5:18" x14ac:dyDescent="0.25">
      <c r="E77"/>
      <c r="F77" s="60"/>
      <c r="G77" s="1"/>
      <c r="J77" s="65"/>
      <c r="M77" s="65"/>
      <c r="P77" s="60"/>
      <c r="Q77" s="68"/>
      <c r="R77" s="68"/>
    </row>
    <row r="78" spans="5:18" x14ac:dyDescent="0.25">
      <c r="E78"/>
      <c r="F78" s="60"/>
      <c r="G78" s="1"/>
      <c r="J78" s="65"/>
      <c r="M78" s="65"/>
      <c r="P78" s="60"/>
      <c r="Q78" s="68"/>
      <c r="R78" s="68"/>
    </row>
    <row r="79" spans="5:18" x14ac:dyDescent="0.25">
      <c r="E79"/>
      <c r="F79" s="60"/>
      <c r="G79" s="1"/>
      <c r="J79" s="65"/>
      <c r="M79" s="65"/>
      <c r="P79" s="60"/>
      <c r="Q79" s="68"/>
      <c r="R79" s="68"/>
    </row>
    <row r="80" spans="5:18" x14ac:dyDescent="0.25">
      <c r="E80"/>
      <c r="F80" s="60"/>
      <c r="G80" s="1"/>
      <c r="J80" s="65"/>
      <c r="M80" s="65"/>
      <c r="P80" s="60"/>
      <c r="Q80" s="68"/>
      <c r="R80" s="68"/>
    </row>
    <row r="81" spans="5:18" x14ac:dyDescent="0.25">
      <c r="E81"/>
      <c r="F81" s="60"/>
      <c r="G81" s="1"/>
      <c r="J81" s="65"/>
      <c r="M81" s="65"/>
      <c r="P81" s="60"/>
      <c r="Q81" s="68"/>
      <c r="R81" s="68"/>
    </row>
    <row r="82" spans="5:18" x14ac:dyDescent="0.25">
      <c r="E82"/>
      <c r="F82" s="60"/>
      <c r="G82" s="1"/>
      <c r="J82" s="65"/>
      <c r="M82" s="65"/>
      <c r="P82" s="60"/>
      <c r="Q82" s="68"/>
      <c r="R82" s="68"/>
    </row>
    <row r="83" spans="5:18" x14ac:dyDescent="0.25">
      <c r="E83"/>
      <c r="F83" s="60"/>
      <c r="G83" s="1"/>
      <c r="J83" s="65"/>
      <c r="M83" s="65"/>
      <c r="P83" s="60"/>
      <c r="Q83" s="68"/>
      <c r="R83" s="68"/>
    </row>
    <row r="84" spans="5:18" x14ac:dyDescent="0.25">
      <c r="E84"/>
      <c r="F84" s="60"/>
      <c r="G84" s="1"/>
      <c r="J84" s="65"/>
      <c r="M84" s="65"/>
      <c r="P84" s="60"/>
      <c r="Q84" s="68"/>
      <c r="R84" s="68"/>
    </row>
    <row r="85" spans="5:18" x14ac:dyDescent="0.25">
      <c r="E85"/>
      <c r="F85" s="60"/>
      <c r="G85" s="1"/>
      <c r="J85" s="65"/>
      <c r="M85" s="65"/>
      <c r="P85" s="60"/>
      <c r="Q85" s="68"/>
      <c r="R85" s="68"/>
    </row>
    <row r="86" spans="5:18" x14ac:dyDescent="0.25">
      <c r="E86"/>
      <c r="F86" s="60"/>
      <c r="G86" s="1"/>
      <c r="J86" s="65"/>
      <c r="M86" s="65"/>
      <c r="P86" s="60"/>
      <c r="Q86" s="68"/>
      <c r="R86" s="68"/>
    </row>
    <row r="87" spans="5:18" x14ac:dyDescent="0.25">
      <c r="E87"/>
      <c r="F87" s="60"/>
      <c r="G87" s="1"/>
      <c r="J87" s="65"/>
      <c r="M87" s="65"/>
      <c r="P87" s="60"/>
      <c r="Q87" s="68"/>
      <c r="R87" s="68"/>
    </row>
    <row r="88" spans="5:18" x14ac:dyDescent="0.25">
      <c r="E88"/>
      <c r="F88" s="60"/>
      <c r="G88" s="1"/>
      <c r="J88" s="65"/>
      <c r="M88" s="65"/>
      <c r="P88" s="60"/>
      <c r="Q88" s="68"/>
      <c r="R88" s="68"/>
    </row>
    <row r="89" spans="5:18" x14ac:dyDescent="0.25">
      <c r="E89"/>
      <c r="F89" s="60"/>
      <c r="G89" s="1"/>
      <c r="J89" s="65"/>
      <c r="M89" s="65"/>
      <c r="P89" s="60"/>
      <c r="Q89" s="68"/>
      <c r="R89" s="68"/>
    </row>
    <row r="90" spans="5:18" x14ac:dyDescent="0.25">
      <c r="E90"/>
      <c r="F90" s="60"/>
      <c r="G90" s="1"/>
      <c r="J90" s="65"/>
      <c r="M90" s="65"/>
      <c r="P90" s="60"/>
      <c r="Q90" s="68"/>
      <c r="R90" s="68"/>
    </row>
    <row r="91" spans="5:18" x14ac:dyDescent="0.25">
      <c r="E91"/>
      <c r="F91" s="60"/>
      <c r="G91" s="1"/>
      <c r="J91" s="65"/>
      <c r="M91" s="65"/>
      <c r="P91" s="60"/>
      <c r="Q91" s="68"/>
      <c r="R91" s="68"/>
    </row>
    <row r="92" spans="5:18" x14ac:dyDescent="0.25">
      <c r="E92"/>
      <c r="F92" s="60"/>
      <c r="G92" s="1"/>
      <c r="J92" s="65"/>
      <c r="M92" s="65"/>
      <c r="P92" s="60"/>
      <c r="Q92" s="68"/>
      <c r="R92" s="68"/>
    </row>
    <row r="93" spans="5:18" x14ac:dyDescent="0.25">
      <c r="E93"/>
      <c r="F93" s="60"/>
      <c r="G93" s="1"/>
      <c r="J93" s="65"/>
      <c r="M93" s="65"/>
      <c r="P93" s="60"/>
      <c r="Q93" s="68"/>
      <c r="R93" s="68"/>
    </row>
    <row r="94" spans="5:18" x14ac:dyDescent="0.25">
      <c r="E94"/>
      <c r="F94" s="60"/>
      <c r="G94" s="1"/>
      <c r="J94" s="65"/>
      <c r="M94" s="65"/>
      <c r="P94" s="60"/>
      <c r="Q94" s="68"/>
      <c r="R94" s="68"/>
    </row>
    <row r="95" spans="5:18" x14ac:dyDescent="0.25">
      <c r="E95"/>
      <c r="F95" s="60"/>
      <c r="G95" s="1"/>
      <c r="J95" s="65"/>
      <c r="M95" s="65"/>
      <c r="P95" s="60"/>
      <c r="Q95" s="68"/>
      <c r="R95" s="68"/>
    </row>
    <row r="96" spans="5:18" x14ac:dyDescent="0.25">
      <c r="E96"/>
      <c r="F96" s="60"/>
      <c r="G96" s="1"/>
      <c r="J96" s="65"/>
      <c r="M96" s="65"/>
      <c r="P96" s="60"/>
      <c r="Q96" s="68"/>
      <c r="R96" s="68"/>
    </row>
    <row r="97" spans="5:18" x14ac:dyDescent="0.25">
      <c r="E97"/>
      <c r="F97" s="60"/>
      <c r="G97" s="1"/>
      <c r="J97" s="65"/>
      <c r="M97" s="65"/>
      <c r="P97" s="60"/>
      <c r="Q97" s="68"/>
      <c r="R97" s="68"/>
    </row>
    <row r="98" spans="5:18" x14ac:dyDescent="0.25">
      <c r="E98"/>
      <c r="F98" s="60"/>
      <c r="G98" s="1"/>
      <c r="J98" s="65"/>
      <c r="M98" s="65"/>
      <c r="P98" s="60"/>
      <c r="Q98" s="68"/>
      <c r="R98" s="68"/>
    </row>
    <row r="99" spans="5:18" x14ac:dyDescent="0.25">
      <c r="E99"/>
      <c r="F99" s="60"/>
      <c r="G99" s="1"/>
      <c r="J99" s="65"/>
      <c r="M99" s="65"/>
      <c r="P99" s="60"/>
      <c r="Q99" s="68"/>
      <c r="R99" s="68"/>
    </row>
    <row r="100" spans="5:18" x14ac:dyDescent="0.25">
      <c r="E100"/>
      <c r="F100" s="60"/>
      <c r="G100" s="1"/>
      <c r="J100" s="65"/>
      <c r="M100" s="65"/>
      <c r="P100" s="60"/>
      <c r="Q100" s="68"/>
      <c r="R100" s="68"/>
    </row>
    <row r="101" spans="5:18" x14ac:dyDescent="0.25">
      <c r="E101"/>
      <c r="F101" s="60"/>
      <c r="G101" s="1"/>
      <c r="J101" s="65"/>
      <c r="M101" s="65"/>
      <c r="P101" s="60"/>
      <c r="Q101" s="68"/>
      <c r="R101" s="68"/>
    </row>
    <row r="102" spans="5:18" x14ac:dyDescent="0.25">
      <c r="E102"/>
      <c r="F102" s="60"/>
      <c r="G102" s="1"/>
      <c r="J102" s="65"/>
      <c r="M102" s="65"/>
      <c r="P102" s="60"/>
      <c r="Q102" s="68"/>
      <c r="R102" s="68"/>
    </row>
    <row r="103" spans="5:18" x14ac:dyDescent="0.25">
      <c r="E103"/>
      <c r="F103" s="60"/>
      <c r="G103" s="1"/>
      <c r="J103" s="65"/>
      <c r="M103" s="65"/>
      <c r="P103" s="60"/>
      <c r="Q103" s="68"/>
      <c r="R103" s="68"/>
    </row>
    <row r="104" spans="5:18" x14ac:dyDescent="0.25">
      <c r="E104"/>
      <c r="F104" s="60"/>
      <c r="G104" s="1"/>
      <c r="J104" s="65"/>
      <c r="M104" s="65"/>
      <c r="P104" s="60"/>
      <c r="Q104" s="68"/>
      <c r="R104" s="68"/>
    </row>
    <row r="105" spans="5:18" x14ac:dyDescent="0.25">
      <c r="E105"/>
      <c r="F105" s="60"/>
      <c r="G105" s="1"/>
      <c r="J105" s="65"/>
      <c r="M105" s="65"/>
      <c r="P105" s="60"/>
      <c r="Q105" s="68"/>
      <c r="R105" s="68"/>
    </row>
    <row r="106" spans="5:18" x14ac:dyDescent="0.25">
      <c r="E106"/>
      <c r="F106" s="60"/>
      <c r="G106" s="1"/>
      <c r="J106" s="65"/>
      <c r="M106" s="65"/>
      <c r="P106" s="60"/>
      <c r="Q106" s="68"/>
      <c r="R106" s="68"/>
    </row>
    <row r="107" spans="5:18" x14ac:dyDescent="0.25">
      <c r="E107"/>
      <c r="F107" s="60"/>
      <c r="G107" s="1"/>
      <c r="J107" s="65"/>
      <c r="M107" s="65"/>
      <c r="P107" s="60"/>
      <c r="Q107" s="68"/>
      <c r="R107" s="68"/>
    </row>
    <row r="108" spans="5:18" x14ac:dyDescent="0.25">
      <c r="E108"/>
      <c r="F108" s="60"/>
      <c r="G108" s="1"/>
      <c r="J108" s="65"/>
      <c r="M108" s="65"/>
      <c r="P108" s="60"/>
      <c r="Q108" s="68"/>
      <c r="R108" s="68"/>
    </row>
    <row r="109" spans="5:18" x14ac:dyDescent="0.25">
      <c r="E109"/>
      <c r="F109" s="60"/>
      <c r="G109" s="1"/>
      <c r="J109" s="65"/>
      <c r="M109" s="65"/>
      <c r="P109" s="60"/>
      <c r="Q109" s="68"/>
      <c r="R109" s="68"/>
    </row>
    <row r="110" spans="5:18" x14ac:dyDescent="0.25">
      <c r="E110"/>
      <c r="F110" s="60"/>
      <c r="G110" s="1"/>
      <c r="J110" s="65"/>
      <c r="M110" s="65"/>
      <c r="P110" s="60"/>
      <c r="Q110" s="68"/>
      <c r="R110" s="68"/>
    </row>
    <row r="111" spans="5:18" x14ac:dyDescent="0.25">
      <c r="E111"/>
      <c r="F111" s="60"/>
      <c r="G111" s="1"/>
      <c r="J111" s="65"/>
      <c r="M111" s="65"/>
      <c r="P111" s="60"/>
      <c r="Q111" s="68"/>
      <c r="R111" s="68"/>
    </row>
    <row r="112" spans="5:18" x14ac:dyDescent="0.25">
      <c r="E112"/>
      <c r="F112" s="60"/>
      <c r="G112" s="1"/>
      <c r="J112" s="65"/>
      <c r="M112" s="65"/>
      <c r="P112" s="60"/>
      <c r="Q112" s="68"/>
      <c r="R112" s="68"/>
    </row>
    <row r="113" spans="5:18" x14ac:dyDescent="0.25">
      <c r="E113"/>
      <c r="F113" s="60"/>
      <c r="G113" s="1"/>
      <c r="J113" s="65"/>
      <c r="M113" s="65"/>
      <c r="P113" s="60"/>
      <c r="Q113" s="68"/>
      <c r="R113" s="68"/>
    </row>
    <row r="114" spans="5:18" x14ac:dyDescent="0.25">
      <c r="E114"/>
      <c r="F114" s="60"/>
      <c r="G114" s="1"/>
      <c r="J114" s="65"/>
      <c r="M114" s="65"/>
      <c r="P114" s="60"/>
      <c r="Q114" s="68"/>
      <c r="R114" s="68"/>
    </row>
    <row r="115" spans="5:18" x14ac:dyDescent="0.25">
      <c r="E115"/>
      <c r="F115" s="60"/>
      <c r="G115" s="1"/>
      <c r="J115" s="65"/>
      <c r="M115" s="65"/>
      <c r="P115" s="60"/>
      <c r="Q115" s="68"/>
      <c r="R115" s="68"/>
    </row>
    <row r="116" spans="5:18" x14ac:dyDescent="0.25">
      <c r="E116"/>
      <c r="F116" s="60"/>
      <c r="G116" s="1"/>
      <c r="J116" s="65"/>
      <c r="M116" s="65"/>
      <c r="P116" s="60"/>
      <c r="Q116" s="68"/>
      <c r="R116" s="68"/>
    </row>
    <row r="117" spans="5:18" x14ac:dyDescent="0.25">
      <c r="E117"/>
      <c r="F117" s="60"/>
      <c r="G117" s="1"/>
      <c r="J117" s="65"/>
      <c r="M117" s="65"/>
      <c r="P117" s="60"/>
      <c r="Q117" s="68"/>
      <c r="R117" s="68"/>
    </row>
    <row r="118" spans="5:18" x14ac:dyDescent="0.25">
      <c r="E118"/>
      <c r="F118" s="60"/>
      <c r="G118" s="1"/>
      <c r="J118" s="65"/>
      <c r="M118" s="65"/>
      <c r="P118" s="60"/>
      <c r="Q118" s="68"/>
      <c r="R118" s="68"/>
    </row>
    <row r="119" spans="5:18" x14ac:dyDescent="0.25">
      <c r="E119"/>
      <c r="F119" s="60"/>
      <c r="G119" s="1"/>
      <c r="J119" s="65"/>
      <c r="M119" s="65"/>
      <c r="P119" s="60"/>
      <c r="Q119" s="68"/>
      <c r="R119" s="68"/>
    </row>
    <row r="120" spans="5:18" x14ac:dyDescent="0.25">
      <c r="E120"/>
      <c r="F120" s="60"/>
      <c r="G120" s="1"/>
      <c r="J120" s="65"/>
      <c r="M120" s="65"/>
      <c r="P120" s="60"/>
      <c r="Q120" s="68"/>
      <c r="R120" s="68"/>
    </row>
    <row r="121" spans="5:18" x14ac:dyDescent="0.25">
      <c r="E121"/>
      <c r="F121" s="60"/>
      <c r="G121" s="1"/>
      <c r="J121" s="65"/>
      <c r="M121" s="65"/>
      <c r="P121" s="60"/>
      <c r="Q121" s="68"/>
      <c r="R121" s="68"/>
    </row>
    <row r="122" spans="5:18" x14ac:dyDescent="0.25">
      <c r="E122"/>
      <c r="F122" s="60"/>
      <c r="G122" s="1"/>
      <c r="J122" s="65"/>
      <c r="M122" s="65"/>
      <c r="P122" s="60"/>
      <c r="Q122" s="68"/>
      <c r="R122" s="68"/>
    </row>
    <row r="123" spans="5:18" x14ac:dyDescent="0.25">
      <c r="E123"/>
      <c r="F123" s="60"/>
      <c r="G123" s="1"/>
      <c r="J123" s="65"/>
      <c r="M123" s="65"/>
      <c r="P123" s="60"/>
      <c r="Q123" s="68"/>
      <c r="R123" s="68"/>
    </row>
    <row r="124" spans="5:18" x14ac:dyDescent="0.25">
      <c r="E124"/>
      <c r="F124" s="60"/>
      <c r="G124" s="1"/>
      <c r="J124" s="65"/>
      <c r="M124" s="65"/>
      <c r="P124" s="60"/>
      <c r="Q124" s="68"/>
      <c r="R124" s="68"/>
    </row>
    <row r="125" spans="5:18" x14ac:dyDescent="0.25">
      <c r="E125"/>
      <c r="F125" s="60"/>
      <c r="G125" s="1"/>
      <c r="J125" s="65"/>
      <c r="M125" s="65"/>
      <c r="P125" s="60"/>
      <c r="Q125" s="68"/>
      <c r="R125" s="68"/>
    </row>
    <row r="126" spans="5:18" x14ac:dyDescent="0.25">
      <c r="E126"/>
      <c r="F126" s="60"/>
      <c r="G126" s="1"/>
      <c r="J126" s="65"/>
      <c r="M126" s="65"/>
      <c r="P126" s="60"/>
      <c r="Q126" s="68"/>
      <c r="R126" s="68"/>
    </row>
    <row r="127" spans="5:18" x14ac:dyDescent="0.25">
      <c r="E127"/>
      <c r="F127" s="60"/>
      <c r="G127" s="1"/>
      <c r="J127" s="65"/>
      <c r="M127" s="65"/>
      <c r="P127" s="60"/>
      <c r="Q127" s="68"/>
      <c r="R127" s="68"/>
    </row>
    <row r="128" spans="5:18" x14ac:dyDescent="0.25">
      <c r="E128"/>
      <c r="F128" s="60"/>
      <c r="G128" s="1"/>
      <c r="J128" s="65"/>
      <c r="M128" s="65"/>
      <c r="P128" s="60"/>
      <c r="Q128" s="68"/>
      <c r="R128" s="68"/>
    </row>
    <row r="129" spans="5:18" x14ac:dyDescent="0.25">
      <c r="E129"/>
      <c r="F129" s="60"/>
      <c r="G129" s="1"/>
      <c r="J129" s="65"/>
      <c r="M129" s="65"/>
      <c r="P129" s="60"/>
      <c r="Q129" s="68"/>
      <c r="R129" s="68"/>
    </row>
    <row r="130" spans="5:18" x14ac:dyDescent="0.25">
      <c r="E130"/>
      <c r="F130" s="60"/>
      <c r="G130" s="1"/>
      <c r="J130" s="65"/>
      <c r="M130" s="65"/>
      <c r="P130" s="60"/>
      <c r="Q130" s="68"/>
      <c r="R130" s="68"/>
    </row>
    <row r="131" spans="5:18" x14ac:dyDescent="0.25">
      <c r="E131"/>
      <c r="F131" s="60"/>
      <c r="G131" s="1"/>
      <c r="J131" s="65"/>
      <c r="M131" s="65"/>
      <c r="P131" s="60"/>
      <c r="Q131" s="68"/>
      <c r="R131" s="68"/>
    </row>
    <row r="132" spans="5:18" x14ac:dyDescent="0.25">
      <c r="E132"/>
      <c r="F132" s="60"/>
      <c r="G132" s="1"/>
      <c r="J132" s="65"/>
      <c r="M132" s="65"/>
      <c r="P132" s="60"/>
      <c r="Q132" s="68"/>
      <c r="R132" s="68"/>
    </row>
    <row r="133" spans="5:18" x14ac:dyDescent="0.25">
      <c r="E133"/>
      <c r="F133" s="60"/>
      <c r="G133" s="1"/>
      <c r="J133" s="65"/>
      <c r="M133" s="65"/>
      <c r="P133" s="60"/>
      <c r="Q133" s="68"/>
      <c r="R133" s="68"/>
    </row>
    <row r="134" spans="5:18" x14ac:dyDescent="0.25">
      <c r="E134"/>
      <c r="F134" s="60"/>
      <c r="G134" s="1"/>
      <c r="J134" s="65"/>
      <c r="M134" s="65"/>
      <c r="P134" s="60"/>
      <c r="Q134" s="68"/>
      <c r="R134" s="68"/>
    </row>
    <row r="135" spans="5:18" x14ac:dyDescent="0.25">
      <c r="E135"/>
      <c r="F135" s="60"/>
      <c r="G135" s="1"/>
      <c r="J135" s="65"/>
      <c r="M135" s="65"/>
      <c r="P135" s="60"/>
      <c r="Q135" s="68"/>
      <c r="R135" s="68"/>
    </row>
    <row r="136" spans="5:18" x14ac:dyDescent="0.25">
      <c r="E136"/>
      <c r="F136" s="60"/>
      <c r="G136" s="1"/>
      <c r="J136" s="65"/>
      <c r="M136" s="65"/>
      <c r="P136" s="60"/>
      <c r="Q136" s="68"/>
      <c r="R136" s="68"/>
    </row>
    <row r="137" spans="5:18" x14ac:dyDescent="0.25">
      <c r="E137"/>
      <c r="F137" s="60"/>
      <c r="G137" s="1"/>
      <c r="J137" s="65"/>
      <c r="M137" s="65"/>
      <c r="P137" s="60"/>
      <c r="Q137" s="68"/>
      <c r="R137" s="68"/>
    </row>
    <row r="138" spans="5:18" x14ac:dyDescent="0.25">
      <c r="E138"/>
      <c r="F138" s="60"/>
      <c r="G138" s="1"/>
      <c r="J138" s="65"/>
      <c r="M138" s="65"/>
      <c r="P138" s="60"/>
      <c r="Q138" s="68"/>
      <c r="R138" s="68"/>
    </row>
    <row r="139" spans="5:18" x14ac:dyDescent="0.25">
      <c r="E139"/>
      <c r="F139" s="60"/>
      <c r="G139" s="1"/>
      <c r="J139" s="65"/>
      <c r="M139" s="65"/>
      <c r="P139" s="60"/>
      <c r="Q139" s="68"/>
      <c r="R139" s="68"/>
    </row>
    <row r="140" spans="5:18" x14ac:dyDescent="0.25">
      <c r="E140"/>
      <c r="F140" s="60"/>
      <c r="G140" s="1"/>
      <c r="J140" s="65"/>
      <c r="M140" s="65"/>
      <c r="P140" s="60"/>
      <c r="Q140" s="68"/>
      <c r="R140" s="68"/>
    </row>
    <row r="141" spans="5:18" x14ac:dyDescent="0.25">
      <c r="E141"/>
      <c r="F141" s="60"/>
      <c r="G141" s="1"/>
      <c r="J141" s="65"/>
      <c r="M141" s="65"/>
      <c r="P141" s="60"/>
      <c r="Q141" s="68"/>
      <c r="R141" s="68"/>
    </row>
    <row r="142" spans="5:18" x14ac:dyDescent="0.25">
      <c r="E142"/>
      <c r="F142" s="60"/>
      <c r="G142" s="1"/>
      <c r="J142" s="65"/>
      <c r="M142" s="65"/>
      <c r="P142" s="60"/>
      <c r="Q142" s="68"/>
      <c r="R142" s="68"/>
    </row>
    <row r="143" spans="5:18" x14ac:dyDescent="0.25">
      <c r="E143"/>
      <c r="F143" s="60"/>
      <c r="G143" s="1"/>
      <c r="J143" s="65"/>
      <c r="M143" s="65"/>
      <c r="P143" s="60"/>
      <c r="Q143" s="68"/>
      <c r="R143" s="68"/>
    </row>
    <row r="144" spans="5:18" x14ac:dyDescent="0.25">
      <c r="E144"/>
      <c r="F144" s="60"/>
      <c r="G144" s="1"/>
      <c r="J144" s="65"/>
      <c r="M144" s="65"/>
      <c r="P144" s="60"/>
      <c r="Q144" s="68"/>
      <c r="R144" s="68"/>
    </row>
    <row r="145" spans="5:18" x14ac:dyDescent="0.25">
      <c r="E145"/>
      <c r="F145" s="60"/>
      <c r="G145" s="1"/>
      <c r="J145" s="65"/>
      <c r="M145" s="65"/>
      <c r="P145" s="60"/>
      <c r="Q145" s="68"/>
      <c r="R145" s="68"/>
    </row>
    <row r="146" spans="5:18" x14ac:dyDescent="0.25">
      <c r="E146"/>
      <c r="F146" s="60"/>
      <c r="G146" s="1"/>
      <c r="J146" s="65"/>
      <c r="M146" s="65"/>
      <c r="P146" s="60"/>
      <c r="Q146" s="68"/>
      <c r="R146" s="68"/>
    </row>
    <row r="147" spans="5:18" x14ac:dyDescent="0.25">
      <c r="E147"/>
      <c r="F147" s="60"/>
      <c r="G147" s="1"/>
      <c r="J147" s="65"/>
      <c r="M147" s="65"/>
      <c r="P147" s="60"/>
      <c r="Q147" s="68"/>
      <c r="R147" s="68"/>
    </row>
    <row r="148" spans="5:18" x14ac:dyDescent="0.25">
      <c r="E148"/>
      <c r="F148" s="60"/>
      <c r="G148" s="1"/>
      <c r="J148" s="65"/>
      <c r="M148" s="65"/>
      <c r="P148" s="60"/>
      <c r="Q148" s="68"/>
      <c r="R148" s="68"/>
    </row>
    <row r="149" spans="5:18" x14ac:dyDescent="0.25">
      <c r="E149"/>
      <c r="F149" s="60"/>
      <c r="G149" s="1"/>
      <c r="J149" s="65"/>
      <c r="M149" s="65"/>
      <c r="P149" s="60"/>
      <c r="Q149" s="68"/>
      <c r="R149" s="68"/>
    </row>
    <row r="150" spans="5:18" x14ac:dyDescent="0.25">
      <c r="E150"/>
      <c r="F150" s="60"/>
      <c r="G150" s="1"/>
      <c r="J150" s="65"/>
      <c r="M150" s="65"/>
      <c r="P150" s="60"/>
      <c r="Q150" s="68"/>
      <c r="R150" s="68"/>
    </row>
    <row r="151" spans="5:18" x14ac:dyDescent="0.25">
      <c r="E151"/>
      <c r="F151" s="60"/>
      <c r="G151" s="1"/>
      <c r="J151" s="65"/>
      <c r="M151" s="65"/>
      <c r="P151" s="60"/>
      <c r="Q151" s="68"/>
      <c r="R151" s="68"/>
    </row>
    <row r="152" spans="5:18" x14ac:dyDescent="0.25">
      <c r="E152"/>
      <c r="F152" s="60"/>
      <c r="G152" s="1"/>
      <c r="J152" s="65"/>
      <c r="M152" s="65"/>
      <c r="P152" s="60"/>
      <c r="Q152" s="68"/>
      <c r="R152" s="68"/>
    </row>
    <row r="153" spans="5:18" x14ac:dyDescent="0.25">
      <c r="E153"/>
      <c r="F153" s="60"/>
      <c r="G153" s="1"/>
      <c r="J153" s="65"/>
      <c r="M153" s="65"/>
      <c r="P153" s="60"/>
      <c r="Q153" s="68"/>
      <c r="R153" s="68"/>
    </row>
    <row r="154" spans="5:18" x14ac:dyDescent="0.25">
      <c r="E154"/>
      <c r="F154"/>
      <c r="G154"/>
    </row>
    <row r="155" spans="5:18" x14ac:dyDescent="0.25">
      <c r="E155"/>
      <c r="F155"/>
      <c r="G155"/>
    </row>
    <row r="156" spans="5:18" x14ac:dyDescent="0.25">
      <c r="E156"/>
      <c r="F156"/>
      <c r="G156"/>
    </row>
    <row r="157" spans="5:18" x14ac:dyDescent="0.25">
      <c r="E157"/>
      <c r="F157"/>
      <c r="G157"/>
    </row>
    <row r="158" spans="5:18" x14ac:dyDescent="0.25">
      <c r="E158"/>
      <c r="F158"/>
      <c r="G158"/>
    </row>
    <row r="159" spans="5:18" x14ac:dyDescent="0.25">
      <c r="E159"/>
      <c r="F159"/>
      <c r="G159"/>
    </row>
    <row r="160" spans="5:18" x14ac:dyDescent="0.25">
      <c r="E160"/>
      <c r="F160"/>
      <c r="G160"/>
    </row>
    <row r="161" spans="5:7" x14ac:dyDescent="0.25">
      <c r="E161"/>
      <c r="F161"/>
      <c r="G161"/>
    </row>
    <row r="162" spans="5:7" x14ac:dyDescent="0.25">
      <c r="E162"/>
      <c r="F162"/>
      <c r="G162"/>
    </row>
    <row r="163" spans="5:7" x14ac:dyDescent="0.25">
      <c r="E163"/>
      <c r="F163"/>
      <c r="G163"/>
    </row>
    <row r="164" spans="5:7" x14ac:dyDescent="0.25">
      <c r="E164"/>
      <c r="F164"/>
      <c r="G164"/>
    </row>
    <row r="165" spans="5:7" x14ac:dyDescent="0.25">
      <c r="E165"/>
      <c r="F165"/>
      <c r="G165"/>
    </row>
    <row r="166" spans="5:7" x14ac:dyDescent="0.25">
      <c r="E166"/>
      <c r="F166"/>
      <c r="G166"/>
    </row>
    <row r="167" spans="5:7" x14ac:dyDescent="0.25">
      <c r="E167"/>
      <c r="F167"/>
      <c r="G167"/>
    </row>
    <row r="168" spans="5:7" x14ac:dyDescent="0.25">
      <c r="E168"/>
      <c r="F168"/>
      <c r="G168"/>
    </row>
    <row r="169" spans="5:7" x14ac:dyDescent="0.25">
      <c r="E169"/>
      <c r="F169"/>
      <c r="G169"/>
    </row>
    <row r="170" spans="5:7" x14ac:dyDescent="0.25">
      <c r="E170"/>
      <c r="F170"/>
      <c r="G170"/>
    </row>
    <row r="171" spans="5:7" x14ac:dyDescent="0.25">
      <c r="E171"/>
      <c r="F171"/>
      <c r="G171"/>
    </row>
    <row r="172" spans="5:7" x14ac:dyDescent="0.25">
      <c r="E172"/>
      <c r="F172"/>
      <c r="G172"/>
    </row>
    <row r="173" spans="5:7" x14ac:dyDescent="0.25">
      <c r="E173"/>
      <c r="F173"/>
      <c r="G173"/>
    </row>
    <row r="174" spans="5:7" x14ac:dyDescent="0.25">
      <c r="E174"/>
      <c r="F174"/>
      <c r="G174"/>
    </row>
    <row r="175" spans="5:7" x14ac:dyDescent="0.25">
      <c r="E175"/>
      <c r="F175"/>
      <c r="G175"/>
    </row>
    <row r="176" spans="5:7" x14ac:dyDescent="0.25">
      <c r="E176"/>
      <c r="F176"/>
      <c r="G176"/>
    </row>
    <row r="177" spans="5:7" x14ac:dyDescent="0.25">
      <c r="E177"/>
      <c r="F177"/>
      <c r="G177"/>
    </row>
    <row r="178" spans="5:7" x14ac:dyDescent="0.25">
      <c r="E178"/>
      <c r="F178"/>
      <c r="G178"/>
    </row>
    <row r="179" spans="5:7" x14ac:dyDescent="0.25">
      <c r="E179"/>
      <c r="F179"/>
      <c r="G179"/>
    </row>
    <row r="180" spans="5:7" x14ac:dyDescent="0.25">
      <c r="E180"/>
      <c r="F180"/>
      <c r="G180"/>
    </row>
    <row r="181" spans="5:7" x14ac:dyDescent="0.25">
      <c r="E181"/>
      <c r="F181"/>
      <c r="G181"/>
    </row>
    <row r="182" spans="5:7" x14ac:dyDescent="0.25">
      <c r="E182"/>
      <c r="F182"/>
      <c r="G182"/>
    </row>
    <row r="183" spans="5:7" x14ac:dyDescent="0.25">
      <c r="E183"/>
      <c r="F183"/>
      <c r="G183"/>
    </row>
    <row r="184" spans="5:7" x14ac:dyDescent="0.25">
      <c r="E184"/>
      <c r="F184"/>
      <c r="G184"/>
    </row>
    <row r="185" spans="5:7" x14ac:dyDescent="0.25">
      <c r="E185"/>
      <c r="F185"/>
      <c r="G185"/>
    </row>
    <row r="186" spans="5:7" x14ac:dyDescent="0.25">
      <c r="E186"/>
      <c r="F186"/>
      <c r="G186"/>
    </row>
    <row r="187" spans="5:7" x14ac:dyDescent="0.25">
      <c r="E187"/>
      <c r="F187"/>
      <c r="G187"/>
    </row>
    <row r="188" spans="5:7" x14ac:dyDescent="0.25">
      <c r="E188"/>
      <c r="F188"/>
      <c r="G188"/>
    </row>
    <row r="189" spans="5:7" x14ac:dyDescent="0.25">
      <c r="E189"/>
      <c r="F189"/>
      <c r="G189"/>
    </row>
    <row r="190" spans="5:7" x14ac:dyDescent="0.25">
      <c r="E190"/>
      <c r="F190"/>
      <c r="G190"/>
    </row>
    <row r="191" spans="5:7" x14ac:dyDescent="0.25">
      <c r="E191"/>
      <c r="F191"/>
      <c r="G191"/>
    </row>
    <row r="192" spans="5:7" x14ac:dyDescent="0.25">
      <c r="E192"/>
      <c r="F192"/>
      <c r="G192"/>
    </row>
    <row r="193" spans="5:7" x14ac:dyDescent="0.25">
      <c r="E193"/>
      <c r="F193"/>
      <c r="G193"/>
    </row>
    <row r="194" spans="5:7" x14ac:dyDescent="0.25">
      <c r="E194"/>
      <c r="F194"/>
      <c r="G194"/>
    </row>
    <row r="195" spans="5:7" x14ac:dyDescent="0.25">
      <c r="E195"/>
      <c r="F195"/>
      <c r="G195"/>
    </row>
    <row r="196" spans="5:7" x14ac:dyDescent="0.25">
      <c r="E196"/>
      <c r="F196"/>
      <c r="G196"/>
    </row>
    <row r="197" spans="5:7" x14ac:dyDescent="0.25">
      <c r="E197"/>
      <c r="F197"/>
      <c r="G197"/>
    </row>
    <row r="198" spans="5:7" x14ac:dyDescent="0.25">
      <c r="E198"/>
      <c r="F198"/>
      <c r="G198"/>
    </row>
    <row r="199" spans="5:7" x14ac:dyDescent="0.25">
      <c r="E199"/>
      <c r="F199"/>
      <c r="G199"/>
    </row>
    <row r="200" spans="5:7" x14ac:dyDescent="0.25">
      <c r="E200"/>
      <c r="F200"/>
      <c r="G200"/>
    </row>
    <row r="201" spans="5:7" x14ac:dyDescent="0.25">
      <c r="E201"/>
      <c r="F201"/>
      <c r="G201"/>
    </row>
    <row r="202" spans="5:7" x14ac:dyDescent="0.25">
      <c r="E202"/>
      <c r="F202"/>
      <c r="G202"/>
    </row>
    <row r="203" spans="5:7" x14ac:dyDescent="0.25">
      <c r="E203"/>
      <c r="F203"/>
      <c r="G203"/>
    </row>
    <row r="204" spans="5:7" x14ac:dyDescent="0.25">
      <c r="E204"/>
      <c r="F204"/>
      <c r="G204"/>
    </row>
    <row r="205" spans="5:7" x14ac:dyDescent="0.25">
      <c r="E205"/>
      <c r="F205"/>
      <c r="G205"/>
    </row>
    <row r="206" spans="5:7" x14ac:dyDescent="0.25">
      <c r="E206"/>
      <c r="F206"/>
      <c r="G206"/>
    </row>
    <row r="207" spans="5:7" x14ac:dyDescent="0.25">
      <c r="E207"/>
      <c r="F207"/>
      <c r="G207"/>
    </row>
    <row r="208" spans="5:7" x14ac:dyDescent="0.25">
      <c r="E208"/>
      <c r="F208"/>
      <c r="G208"/>
    </row>
    <row r="209" spans="5:7" x14ac:dyDescent="0.25">
      <c r="E209"/>
      <c r="F209"/>
      <c r="G209"/>
    </row>
    <row r="210" spans="5:7" x14ac:dyDescent="0.25">
      <c r="E210"/>
      <c r="F210"/>
      <c r="G210"/>
    </row>
    <row r="211" spans="5:7" x14ac:dyDescent="0.25">
      <c r="E211"/>
      <c r="F211"/>
      <c r="G211"/>
    </row>
    <row r="212" spans="5:7" x14ac:dyDescent="0.25">
      <c r="E212"/>
      <c r="F212"/>
      <c r="G212"/>
    </row>
    <row r="213" spans="5:7" x14ac:dyDescent="0.25">
      <c r="E213"/>
      <c r="F213"/>
      <c r="G213"/>
    </row>
    <row r="214" spans="5:7" x14ac:dyDescent="0.25">
      <c r="E214"/>
      <c r="F214"/>
      <c r="G214"/>
    </row>
    <row r="215" spans="5:7" x14ac:dyDescent="0.25">
      <c r="E215"/>
      <c r="F215"/>
      <c r="G215"/>
    </row>
    <row r="216" spans="5:7" x14ac:dyDescent="0.25">
      <c r="E216"/>
      <c r="F216"/>
      <c r="G216"/>
    </row>
    <row r="217" spans="5:7" x14ac:dyDescent="0.25">
      <c r="E217"/>
      <c r="F217"/>
      <c r="G217"/>
    </row>
    <row r="218" spans="5:7" x14ac:dyDescent="0.25">
      <c r="E218"/>
      <c r="F218"/>
      <c r="G218"/>
    </row>
    <row r="219" spans="5:7" x14ac:dyDescent="0.25">
      <c r="E219"/>
      <c r="F219"/>
      <c r="G219"/>
    </row>
    <row r="220" spans="5:7" x14ac:dyDescent="0.25">
      <c r="E220"/>
      <c r="F220"/>
      <c r="G220"/>
    </row>
    <row r="221" spans="5:7" x14ac:dyDescent="0.25">
      <c r="E221"/>
      <c r="F221"/>
      <c r="G221"/>
    </row>
    <row r="222" spans="5:7" x14ac:dyDescent="0.25">
      <c r="E222"/>
      <c r="F222"/>
      <c r="G222"/>
    </row>
    <row r="223" spans="5:7" x14ac:dyDescent="0.25">
      <c r="E223"/>
      <c r="F223"/>
      <c r="G223"/>
    </row>
    <row r="224" spans="5:7" x14ac:dyDescent="0.25">
      <c r="E224"/>
      <c r="F224"/>
      <c r="G224"/>
    </row>
    <row r="225" spans="5:7" x14ac:dyDescent="0.25">
      <c r="E225"/>
      <c r="F225"/>
      <c r="G225"/>
    </row>
    <row r="226" spans="5:7" x14ac:dyDescent="0.25">
      <c r="E226"/>
      <c r="F226"/>
      <c r="G226"/>
    </row>
    <row r="227" spans="5:7" x14ac:dyDescent="0.25">
      <c r="E227"/>
      <c r="F227"/>
      <c r="G227"/>
    </row>
    <row r="228" spans="5:7" x14ac:dyDescent="0.25">
      <c r="E228"/>
      <c r="F228"/>
      <c r="G228"/>
    </row>
    <row r="229" spans="5:7" x14ac:dyDescent="0.25">
      <c r="E229"/>
      <c r="F229"/>
      <c r="G229"/>
    </row>
    <row r="230" spans="5:7" x14ac:dyDescent="0.25">
      <c r="E230"/>
      <c r="F230"/>
      <c r="G230"/>
    </row>
    <row r="231" spans="5:7" x14ac:dyDescent="0.25">
      <c r="E231"/>
      <c r="F231"/>
      <c r="G231"/>
    </row>
    <row r="232" spans="5:7" x14ac:dyDescent="0.25">
      <c r="E232"/>
      <c r="F232"/>
      <c r="G232"/>
    </row>
    <row r="233" spans="5:7" x14ac:dyDescent="0.25">
      <c r="E233"/>
      <c r="F233"/>
      <c r="G233"/>
    </row>
    <row r="234" spans="5:7" x14ac:dyDescent="0.25">
      <c r="E234"/>
      <c r="F234"/>
      <c r="G234"/>
    </row>
    <row r="235" spans="5:7" x14ac:dyDescent="0.25">
      <c r="E235"/>
      <c r="F235"/>
      <c r="G235"/>
    </row>
    <row r="236" spans="5:7" x14ac:dyDescent="0.25">
      <c r="E236"/>
      <c r="F236"/>
      <c r="G236"/>
    </row>
    <row r="237" spans="5:7" x14ac:dyDescent="0.25">
      <c r="E237"/>
      <c r="F237"/>
      <c r="G237"/>
    </row>
    <row r="238" spans="5:7" x14ac:dyDescent="0.25">
      <c r="E238"/>
      <c r="F238"/>
      <c r="G238"/>
    </row>
    <row r="239" spans="5:7" x14ac:dyDescent="0.25">
      <c r="E239"/>
      <c r="F239"/>
      <c r="G239"/>
    </row>
    <row r="240" spans="5:7" x14ac:dyDescent="0.25">
      <c r="E240"/>
      <c r="F240"/>
      <c r="G240"/>
    </row>
    <row r="241" spans="5:7" x14ac:dyDescent="0.25">
      <c r="E241"/>
      <c r="F241"/>
      <c r="G241"/>
    </row>
    <row r="242" spans="5:7" x14ac:dyDescent="0.25">
      <c r="E242"/>
      <c r="F242"/>
      <c r="G242"/>
    </row>
    <row r="243" spans="5:7" x14ac:dyDescent="0.25">
      <c r="E243"/>
      <c r="F243"/>
      <c r="G243"/>
    </row>
    <row r="244" spans="5:7" x14ac:dyDescent="0.25">
      <c r="E244"/>
      <c r="F244"/>
      <c r="G244"/>
    </row>
    <row r="245" spans="5:7" x14ac:dyDescent="0.25">
      <c r="E245"/>
      <c r="F245"/>
      <c r="G245"/>
    </row>
    <row r="246" spans="5:7" x14ac:dyDescent="0.25">
      <c r="E246"/>
      <c r="F246"/>
      <c r="G246"/>
    </row>
    <row r="247" spans="5:7" x14ac:dyDescent="0.25">
      <c r="E247"/>
      <c r="F247"/>
      <c r="G247"/>
    </row>
    <row r="248" spans="5:7" x14ac:dyDescent="0.25">
      <c r="E248"/>
      <c r="F248"/>
      <c r="G248"/>
    </row>
    <row r="249" spans="5:7" x14ac:dyDescent="0.25">
      <c r="E249"/>
      <c r="F249"/>
      <c r="G249"/>
    </row>
    <row r="250" spans="5:7" x14ac:dyDescent="0.25">
      <c r="E250"/>
      <c r="F250"/>
      <c r="G250"/>
    </row>
    <row r="251" spans="5:7" x14ac:dyDescent="0.25">
      <c r="E251"/>
      <c r="F251"/>
      <c r="G251"/>
    </row>
    <row r="252" spans="5:7" x14ac:dyDescent="0.25">
      <c r="E252"/>
      <c r="F252"/>
      <c r="G252"/>
    </row>
    <row r="253" spans="5:7" x14ac:dyDescent="0.25">
      <c r="E253"/>
      <c r="F253"/>
      <c r="G253"/>
    </row>
    <row r="254" spans="5:7" x14ac:dyDescent="0.25">
      <c r="E254"/>
      <c r="F254"/>
      <c r="G254"/>
    </row>
    <row r="255" spans="5:7" x14ac:dyDescent="0.25">
      <c r="E255"/>
      <c r="F255"/>
      <c r="G255"/>
    </row>
    <row r="256" spans="5:7" x14ac:dyDescent="0.25">
      <c r="E256"/>
      <c r="F256"/>
      <c r="G256"/>
    </row>
    <row r="257" spans="5:7" x14ac:dyDescent="0.25">
      <c r="E257"/>
      <c r="F257"/>
      <c r="G257"/>
    </row>
    <row r="258" spans="5:7" x14ac:dyDescent="0.25">
      <c r="E258"/>
      <c r="F258"/>
      <c r="G258"/>
    </row>
    <row r="259" spans="5:7" x14ac:dyDescent="0.25">
      <c r="E259"/>
      <c r="F259"/>
      <c r="G259"/>
    </row>
    <row r="260" spans="5:7" x14ac:dyDescent="0.25">
      <c r="E260"/>
      <c r="F260"/>
      <c r="G260"/>
    </row>
    <row r="261" spans="5:7" x14ac:dyDescent="0.25">
      <c r="E261"/>
      <c r="F261"/>
      <c r="G261"/>
    </row>
    <row r="262" spans="5:7" x14ac:dyDescent="0.25">
      <c r="E262"/>
      <c r="F262"/>
      <c r="G262"/>
    </row>
    <row r="263" spans="5:7" x14ac:dyDescent="0.25">
      <c r="E263"/>
      <c r="F263"/>
      <c r="G263"/>
    </row>
    <row r="264" spans="5:7" x14ac:dyDescent="0.25">
      <c r="E264"/>
      <c r="F264"/>
      <c r="G264"/>
    </row>
    <row r="265" spans="5:7" x14ac:dyDescent="0.25">
      <c r="E265"/>
      <c r="F265"/>
      <c r="G265"/>
    </row>
    <row r="266" spans="5:7" x14ac:dyDescent="0.25">
      <c r="E266"/>
      <c r="F266"/>
      <c r="G266"/>
    </row>
    <row r="267" spans="5:7" x14ac:dyDescent="0.25">
      <c r="E267"/>
      <c r="F267"/>
      <c r="G267"/>
    </row>
    <row r="268" spans="5:7" x14ac:dyDescent="0.25">
      <c r="E268"/>
      <c r="F268"/>
      <c r="G268"/>
    </row>
    <row r="269" spans="5:7" x14ac:dyDescent="0.25">
      <c r="E269"/>
      <c r="F269"/>
      <c r="G269"/>
    </row>
    <row r="270" spans="5:7" x14ac:dyDescent="0.25">
      <c r="E270"/>
      <c r="F270"/>
      <c r="G270"/>
    </row>
    <row r="271" spans="5:7" x14ac:dyDescent="0.25">
      <c r="E271"/>
      <c r="F271"/>
      <c r="G271"/>
    </row>
    <row r="272" spans="5:7" x14ac:dyDescent="0.25">
      <c r="E272"/>
      <c r="F272"/>
      <c r="G272"/>
    </row>
    <row r="273" spans="5:7" x14ac:dyDescent="0.25">
      <c r="E273"/>
      <c r="F273"/>
      <c r="G273"/>
    </row>
    <row r="274" spans="5:7" x14ac:dyDescent="0.25">
      <c r="E274"/>
      <c r="F274"/>
      <c r="G274"/>
    </row>
    <row r="275" spans="5:7" x14ac:dyDescent="0.25">
      <c r="E275"/>
      <c r="F275"/>
      <c r="G275"/>
    </row>
    <row r="276" spans="5:7" x14ac:dyDescent="0.25">
      <c r="E276"/>
      <c r="F276"/>
      <c r="G276"/>
    </row>
    <row r="277" spans="5:7" x14ac:dyDescent="0.25">
      <c r="E277"/>
      <c r="F277"/>
      <c r="G277"/>
    </row>
    <row r="278" spans="5:7" x14ac:dyDescent="0.25">
      <c r="E278"/>
      <c r="F278"/>
      <c r="G278"/>
    </row>
    <row r="279" spans="5:7" x14ac:dyDescent="0.25">
      <c r="E279"/>
      <c r="F279"/>
      <c r="G279"/>
    </row>
    <row r="280" spans="5:7" x14ac:dyDescent="0.25">
      <c r="E280"/>
      <c r="F280"/>
      <c r="G280"/>
    </row>
    <row r="281" spans="5:7" x14ac:dyDescent="0.25">
      <c r="E281"/>
      <c r="F281"/>
      <c r="G281"/>
    </row>
    <row r="282" spans="5:7" x14ac:dyDescent="0.25">
      <c r="E282"/>
      <c r="F282"/>
      <c r="G282"/>
    </row>
    <row r="283" spans="5:7" x14ac:dyDescent="0.25">
      <c r="E283"/>
      <c r="F283"/>
      <c r="G283"/>
    </row>
    <row r="284" spans="5:7" x14ac:dyDescent="0.25">
      <c r="E284"/>
      <c r="F284"/>
      <c r="G284"/>
    </row>
    <row r="285" spans="5:7" x14ac:dyDescent="0.25">
      <c r="E285"/>
      <c r="F285"/>
      <c r="G285"/>
    </row>
    <row r="286" spans="5:7" x14ac:dyDescent="0.25">
      <c r="E286"/>
      <c r="F286"/>
      <c r="G286"/>
    </row>
    <row r="287" spans="5:7" x14ac:dyDescent="0.25">
      <c r="E287"/>
      <c r="F287"/>
      <c r="G287"/>
    </row>
    <row r="288" spans="5:7" x14ac:dyDescent="0.25">
      <c r="E288"/>
      <c r="F288"/>
      <c r="G288"/>
    </row>
    <row r="289" spans="5:7" x14ac:dyDescent="0.25">
      <c r="E289"/>
      <c r="F289"/>
      <c r="G289"/>
    </row>
    <row r="290" spans="5:7" x14ac:dyDescent="0.25">
      <c r="E290"/>
      <c r="F290"/>
      <c r="G290"/>
    </row>
    <row r="291" spans="5:7" x14ac:dyDescent="0.25">
      <c r="E291"/>
      <c r="F291"/>
      <c r="G291"/>
    </row>
    <row r="292" spans="5:7" x14ac:dyDescent="0.25">
      <c r="E292"/>
      <c r="F292"/>
      <c r="G292"/>
    </row>
    <row r="293" spans="5:7" x14ac:dyDescent="0.25">
      <c r="E293"/>
      <c r="F293"/>
      <c r="G293"/>
    </row>
    <row r="294" spans="5:7" x14ac:dyDescent="0.25">
      <c r="E294"/>
      <c r="F294"/>
      <c r="G294"/>
    </row>
    <row r="295" spans="5:7" x14ac:dyDescent="0.25">
      <c r="E295"/>
      <c r="F295"/>
      <c r="G295"/>
    </row>
    <row r="296" spans="5:7" x14ac:dyDescent="0.25">
      <c r="E296"/>
      <c r="F296"/>
      <c r="G296"/>
    </row>
    <row r="297" spans="5:7" x14ac:dyDescent="0.25">
      <c r="E297"/>
      <c r="F297"/>
      <c r="G297"/>
    </row>
    <row r="298" spans="5:7" x14ac:dyDescent="0.25">
      <c r="E298"/>
      <c r="F298"/>
      <c r="G298"/>
    </row>
    <row r="299" spans="5:7" x14ac:dyDescent="0.25">
      <c r="E299"/>
      <c r="F299"/>
      <c r="G299"/>
    </row>
    <row r="300" spans="5:7" x14ac:dyDescent="0.25">
      <c r="E300"/>
      <c r="F300"/>
      <c r="G300"/>
    </row>
    <row r="301" spans="5:7" x14ac:dyDescent="0.25">
      <c r="E301"/>
      <c r="F301"/>
      <c r="G301"/>
    </row>
    <row r="302" spans="5:7" x14ac:dyDescent="0.25">
      <c r="E302"/>
      <c r="F302"/>
      <c r="G302"/>
    </row>
    <row r="303" spans="5:7" x14ac:dyDescent="0.25">
      <c r="E303"/>
      <c r="F303"/>
      <c r="G303"/>
    </row>
    <row r="304" spans="5:7" x14ac:dyDescent="0.25">
      <c r="E304"/>
      <c r="F304"/>
      <c r="G304"/>
    </row>
    <row r="305" spans="5:7" x14ac:dyDescent="0.25">
      <c r="E305"/>
      <c r="F305"/>
      <c r="G305"/>
    </row>
    <row r="306" spans="5:7" x14ac:dyDescent="0.25">
      <c r="E306"/>
      <c r="F306"/>
      <c r="G306"/>
    </row>
    <row r="307" spans="5:7" x14ac:dyDescent="0.25">
      <c r="E307"/>
      <c r="F307"/>
      <c r="G307"/>
    </row>
    <row r="308" spans="5:7" x14ac:dyDescent="0.25">
      <c r="E308"/>
      <c r="F308"/>
      <c r="G308"/>
    </row>
    <row r="309" spans="5:7" x14ac:dyDescent="0.25">
      <c r="E309"/>
      <c r="F309"/>
      <c r="G309"/>
    </row>
    <row r="310" spans="5:7" x14ac:dyDescent="0.25">
      <c r="E310"/>
      <c r="F310"/>
      <c r="G310"/>
    </row>
    <row r="311" spans="5:7" x14ac:dyDescent="0.25">
      <c r="E311"/>
      <c r="F311"/>
      <c r="G311"/>
    </row>
    <row r="312" spans="5:7" x14ac:dyDescent="0.25">
      <c r="E312"/>
      <c r="F312"/>
      <c r="G312"/>
    </row>
    <row r="313" spans="5:7" x14ac:dyDescent="0.25">
      <c r="E313"/>
      <c r="F313"/>
      <c r="G313"/>
    </row>
    <row r="314" spans="5:7" x14ac:dyDescent="0.25">
      <c r="E314"/>
      <c r="F314"/>
      <c r="G314"/>
    </row>
    <row r="315" spans="5:7" x14ac:dyDescent="0.25">
      <c r="E315"/>
      <c r="F315"/>
      <c r="G315"/>
    </row>
    <row r="316" spans="5:7" x14ac:dyDescent="0.25">
      <c r="E316"/>
      <c r="F316"/>
      <c r="G316"/>
    </row>
    <row r="317" spans="5:7" x14ac:dyDescent="0.25">
      <c r="E317"/>
      <c r="F317"/>
      <c r="G317"/>
    </row>
    <row r="318" spans="5:7" x14ac:dyDescent="0.25">
      <c r="E318"/>
      <c r="F318"/>
      <c r="G318"/>
    </row>
    <row r="319" spans="5:7" x14ac:dyDescent="0.25">
      <c r="E319"/>
      <c r="F319"/>
      <c r="G319"/>
    </row>
    <row r="320" spans="5:7" x14ac:dyDescent="0.25">
      <c r="E320"/>
      <c r="F320"/>
      <c r="G320"/>
    </row>
    <row r="321" spans="5:7" x14ac:dyDescent="0.25">
      <c r="E321"/>
      <c r="F321"/>
      <c r="G321"/>
    </row>
    <row r="322" spans="5:7" x14ac:dyDescent="0.25">
      <c r="E322"/>
      <c r="F322"/>
      <c r="G322"/>
    </row>
    <row r="323" spans="5:7" x14ac:dyDescent="0.25">
      <c r="E323"/>
      <c r="F323"/>
      <c r="G323"/>
    </row>
    <row r="324" spans="5:7" x14ac:dyDescent="0.25">
      <c r="E324"/>
      <c r="F324"/>
      <c r="G324"/>
    </row>
    <row r="325" spans="5:7" x14ac:dyDescent="0.25">
      <c r="E325"/>
      <c r="F325"/>
      <c r="G325"/>
    </row>
    <row r="326" spans="5:7" x14ac:dyDescent="0.25">
      <c r="E326"/>
      <c r="F326"/>
      <c r="G326"/>
    </row>
    <row r="327" spans="5:7" x14ac:dyDescent="0.25">
      <c r="E327"/>
      <c r="F327"/>
      <c r="G327"/>
    </row>
    <row r="328" spans="5:7" x14ac:dyDescent="0.25">
      <c r="E328"/>
      <c r="F328"/>
      <c r="G328"/>
    </row>
    <row r="329" spans="5:7" x14ac:dyDescent="0.25">
      <c r="E329"/>
      <c r="F329"/>
      <c r="G329"/>
    </row>
    <row r="330" spans="5:7" x14ac:dyDescent="0.25">
      <c r="E330"/>
      <c r="F330"/>
      <c r="G330"/>
    </row>
    <row r="331" spans="5:7" x14ac:dyDescent="0.25">
      <c r="E331"/>
      <c r="F331"/>
      <c r="G331"/>
    </row>
    <row r="332" spans="5:7" x14ac:dyDescent="0.25">
      <c r="E332"/>
      <c r="F332"/>
      <c r="G332"/>
    </row>
    <row r="333" spans="5:7" x14ac:dyDescent="0.25">
      <c r="E333"/>
      <c r="F333"/>
      <c r="G333"/>
    </row>
    <row r="334" spans="5:7" x14ac:dyDescent="0.25">
      <c r="E334"/>
      <c r="F334"/>
      <c r="G334"/>
    </row>
    <row r="335" spans="5:7" x14ac:dyDescent="0.25">
      <c r="E335"/>
      <c r="F335"/>
      <c r="G335"/>
    </row>
    <row r="336" spans="5:7" x14ac:dyDescent="0.25">
      <c r="E336"/>
      <c r="F336"/>
      <c r="G336"/>
    </row>
    <row r="337" spans="5:7" x14ac:dyDescent="0.25">
      <c r="E337"/>
      <c r="F337"/>
      <c r="G337"/>
    </row>
    <row r="338" spans="5:7" x14ac:dyDescent="0.25">
      <c r="E338"/>
      <c r="F338"/>
      <c r="G338"/>
    </row>
    <row r="339" spans="5:7" x14ac:dyDescent="0.25">
      <c r="E339"/>
      <c r="F339"/>
      <c r="G339"/>
    </row>
    <row r="340" spans="5:7" x14ac:dyDescent="0.25">
      <c r="E340"/>
      <c r="F340"/>
      <c r="G340"/>
    </row>
    <row r="341" spans="5:7" x14ac:dyDescent="0.25">
      <c r="E341"/>
      <c r="F341"/>
      <c r="G341"/>
    </row>
    <row r="342" spans="5:7" x14ac:dyDescent="0.25">
      <c r="E342"/>
      <c r="F342"/>
      <c r="G342"/>
    </row>
    <row r="343" spans="5:7" x14ac:dyDescent="0.25">
      <c r="E343"/>
      <c r="F343"/>
      <c r="G343"/>
    </row>
    <row r="344" spans="5:7" x14ac:dyDescent="0.25">
      <c r="E344"/>
      <c r="F344"/>
      <c r="G344"/>
    </row>
    <row r="345" spans="5:7" x14ac:dyDescent="0.25">
      <c r="E345"/>
      <c r="F345"/>
      <c r="G345"/>
    </row>
    <row r="346" spans="5:7" x14ac:dyDescent="0.25">
      <c r="E346"/>
      <c r="F346"/>
      <c r="G346"/>
    </row>
    <row r="347" spans="5:7" x14ac:dyDescent="0.25">
      <c r="E347"/>
      <c r="F347"/>
      <c r="G347"/>
    </row>
    <row r="348" spans="5:7" x14ac:dyDescent="0.25">
      <c r="E348"/>
      <c r="F348"/>
      <c r="G348"/>
    </row>
    <row r="349" spans="5:7" x14ac:dyDescent="0.25">
      <c r="E349"/>
      <c r="F349"/>
      <c r="G349"/>
    </row>
    <row r="350" spans="5:7" x14ac:dyDescent="0.25">
      <c r="E350"/>
      <c r="F350"/>
      <c r="G350"/>
    </row>
    <row r="351" spans="5:7" x14ac:dyDescent="0.25">
      <c r="E351"/>
      <c r="F351"/>
      <c r="G351"/>
    </row>
    <row r="352" spans="5:7" x14ac:dyDescent="0.25">
      <c r="E352"/>
      <c r="F352"/>
      <c r="G352"/>
    </row>
    <row r="353" spans="5:7" x14ac:dyDescent="0.25">
      <c r="E353"/>
      <c r="F353"/>
      <c r="G353"/>
    </row>
    <row r="354" spans="5:7" x14ac:dyDescent="0.25">
      <c r="E354"/>
      <c r="F354"/>
      <c r="G354"/>
    </row>
    <row r="355" spans="5:7" x14ac:dyDescent="0.25">
      <c r="E355"/>
      <c r="F355"/>
      <c r="G355"/>
    </row>
    <row r="356" spans="5:7" x14ac:dyDescent="0.25">
      <c r="E356"/>
      <c r="F356"/>
      <c r="G356"/>
    </row>
    <row r="357" spans="5:7" x14ac:dyDescent="0.25">
      <c r="E357"/>
      <c r="F357"/>
      <c r="G357"/>
    </row>
    <row r="358" spans="5:7" x14ac:dyDescent="0.25">
      <c r="E358"/>
      <c r="F358"/>
      <c r="G358"/>
    </row>
    <row r="359" spans="5:7" x14ac:dyDescent="0.25">
      <c r="E359"/>
      <c r="F359"/>
      <c r="G359"/>
    </row>
    <row r="360" spans="5:7" x14ac:dyDescent="0.25">
      <c r="E360"/>
      <c r="F360"/>
      <c r="G360"/>
    </row>
    <row r="361" spans="5:7" x14ac:dyDescent="0.25">
      <c r="E361"/>
      <c r="F361"/>
      <c r="G361"/>
    </row>
    <row r="362" spans="5:7" x14ac:dyDescent="0.25">
      <c r="E362"/>
      <c r="F362"/>
      <c r="G362"/>
    </row>
    <row r="363" spans="5:7" x14ac:dyDescent="0.25">
      <c r="E363"/>
      <c r="F363"/>
      <c r="G363"/>
    </row>
    <row r="364" spans="5:7" x14ac:dyDescent="0.25">
      <c r="E364"/>
      <c r="F364"/>
      <c r="G364"/>
    </row>
    <row r="365" spans="5:7" x14ac:dyDescent="0.25">
      <c r="E365"/>
      <c r="F365"/>
      <c r="G365"/>
    </row>
    <row r="366" spans="5:7" x14ac:dyDescent="0.25">
      <c r="E366"/>
      <c r="F366"/>
      <c r="G366"/>
    </row>
    <row r="367" spans="5:7" x14ac:dyDescent="0.25">
      <c r="E367"/>
      <c r="F367"/>
      <c r="G367"/>
    </row>
    <row r="368" spans="5:7" x14ac:dyDescent="0.25">
      <c r="E368"/>
      <c r="F368"/>
      <c r="G368"/>
    </row>
    <row r="369" spans="5:7" x14ac:dyDescent="0.25">
      <c r="E369"/>
      <c r="F369"/>
      <c r="G369"/>
    </row>
    <row r="370" spans="5:7" x14ac:dyDescent="0.25">
      <c r="E370"/>
      <c r="F370"/>
      <c r="G370"/>
    </row>
    <row r="371" spans="5:7" x14ac:dyDescent="0.25">
      <c r="E371"/>
      <c r="F371"/>
      <c r="G371"/>
    </row>
    <row r="372" spans="5:7" x14ac:dyDescent="0.25">
      <c r="E372"/>
      <c r="F372"/>
      <c r="G372"/>
    </row>
    <row r="373" spans="5:7" x14ac:dyDescent="0.25">
      <c r="E373"/>
      <c r="F373"/>
      <c r="G373"/>
    </row>
    <row r="374" spans="5:7" x14ac:dyDescent="0.25">
      <c r="E374"/>
      <c r="F374"/>
      <c r="G374"/>
    </row>
    <row r="375" spans="5:7" x14ac:dyDescent="0.25">
      <c r="E375"/>
      <c r="F375"/>
      <c r="G375"/>
    </row>
    <row r="376" spans="5:7" x14ac:dyDescent="0.25">
      <c r="E376"/>
      <c r="F376"/>
      <c r="G376"/>
    </row>
    <row r="377" spans="5:7" x14ac:dyDescent="0.25">
      <c r="E377"/>
      <c r="F377"/>
      <c r="G377"/>
    </row>
    <row r="378" spans="5:7" x14ac:dyDescent="0.25">
      <c r="E378"/>
      <c r="F378"/>
      <c r="G378"/>
    </row>
    <row r="379" spans="5:7" x14ac:dyDescent="0.25">
      <c r="E379"/>
      <c r="F379"/>
      <c r="G379"/>
    </row>
    <row r="380" spans="5:7" x14ac:dyDescent="0.25">
      <c r="E380"/>
      <c r="F380"/>
      <c r="G380"/>
    </row>
    <row r="381" spans="5:7" x14ac:dyDescent="0.25">
      <c r="E381"/>
      <c r="F381"/>
      <c r="G381"/>
    </row>
    <row r="382" spans="5:7" x14ac:dyDescent="0.25">
      <c r="E382"/>
      <c r="F382"/>
      <c r="G382"/>
    </row>
    <row r="383" spans="5:7" x14ac:dyDescent="0.25">
      <c r="E383"/>
      <c r="F383"/>
      <c r="G383"/>
    </row>
    <row r="384" spans="5:7" x14ac:dyDescent="0.25">
      <c r="E384"/>
      <c r="F384"/>
      <c r="G384"/>
    </row>
    <row r="385" spans="5:7" x14ac:dyDescent="0.25">
      <c r="E385"/>
      <c r="F385"/>
      <c r="G385"/>
    </row>
    <row r="386" spans="5:7" x14ac:dyDescent="0.25">
      <c r="E386"/>
      <c r="F386"/>
      <c r="G386"/>
    </row>
    <row r="387" spans="5:7" x14ac:dyDescent="0.25">
      <c r="E387"/>
      <c r="F387"/>
      <c r="G387"/>
    </row>
    <row r="388" spans="5:7" x14ac:dyDescent="0.25">
      <c r="E388"/>
      <c r="F388"/>
      <c r="G388"/>
    </row>
    <row r="389" spans="5:7" x14ac:dyDescent="0.25">
      <c r="E389"/>
      <c r="F389"/>
      <c r="G389"/>
    </row>
    <row r="390" spans="5:7" x14ac:dyDescent="0.25">
      <c r="E390"/>
      <c r="F390"/>
      <c r="G390"/>
    </row>
    <row r="391" spans="5:7" x14ac:dyDescent="0.25">
      <c r="E391"/>
      <c r="F391"/>
      <c r="G391"/>
    </row>
    <row r="392" spans="5:7" x14ac:dyDescent="0.25">
      <c r="E392"/>
      <c r="F392"/>
      <c r="G392"/>
    </row>
    <row r="393" spans="5:7" x14ac:dyDescent="0.25">
      <c r="E393"/>
      <c r="F393"/>
      <c r="G393"/>
    </row>
    <row r="394" spans="5:7" x14ac:dyDescent="0.25">
      <c r="E394"/>
      <c r="F394"/>
      <c r="G394"/>
    </row>
    <row r="395" spans="5:7" x14ac:dyDescent="0.25">
      <c r="E395"/>
      <c r="F395"/>
      <c r="G395"/>
    </row>
    <row r="396" spans="5:7" x14ac:dyDescent="0.25">
      <c r="E396"/>
      <c r="F396"/>
      <c r="G396"/>
    </row>
    <row r="397" spans="5:7" x14ac:dyDescent="0.25">
      <c r="E397"/>
      <c r="F397"/>
      <c r="G397"/>
    </row>
    <row r="398" spans="5:7" x14ac:dyDescent="0.25">
      <c r="E398"/>
      <c r="F398"/>
      <c r="G398"/>
    </row>
    <row r="399" spans="5:7" x14ac:dyDescent="0.25">
      <c r="E399"/>
      <c r="F399"/>
      <c r="G399"/>
    </row>
    <row r="400" spans="5:7" x14ac:dyDescent="0.25">
      <c r="E400"/>
      <c r="F400"/>
      <c r="G400"/>
    </row>
    <row r="401" spans="5:7" x14ac:dyDescent="0.25">
      <c r="E401"/>
      <c r="F401"/>
      <c r="G401"/>
    </row>
    <row r="402" spans="5:7" x14ac:dyDescent="0.25">
      <c r="E402"/>
      <c r="F402"/>
      <c r="G402"/>
    </row>
    <row r="403" spans="5:7" x14ac:dyDescent="0.25">
      <c r="E403"/>
      <c r="F403"/>
      <c r="G403"/>
    </row>
    <row r="404" spans="5:7" x14ac:dyDescent="0.25">
      <c r="E404"/>
      <c r="F404"/>
      <c r="G404"/>
    </row>
    <row r="405" spans="5:7" x14ac:dyDescent="0.25">
      <c r="E405"/>
      <c r="F405"/>
      <c r="G405"/>
    </row>
    <row r="406" spans="5:7" x14ac:dyDescent="0.25">
      <c r="E406"/>
      <c r="F406"/>
      <c r="G406"/>
    </row>
    <row r="407" spans="5:7" x14ac:dyDescent="0.25">
      <c r="E407"/>
      <c r="F407"/>
      <c r="G407"/>
    </row>
    <row r="408" spans="5:7" x14ac:dyDescent="0.25">
      <c r="E408"/>
      <c r="F408"/>
      <c r="G408"/>
    </row>
    <row r="409" spans="5:7" x14ac:dyDescent="0.25">
      <c r="E409"/>
      <c r="F409"/>
      <c r="G409"/>
    </row>
    <row r="410" spans="5:7" x14ac:dyDescent="0.25">
      <c r="E410"/>
      <c r="F410"/>
      <c r="G410"/>
    </row>
    <row r="411" spans="5:7" x14ac:dyDescent="0.25">
      <c r="E411"/>
      <c r="F411"/>
      <c r="G411"/>
    </row>
    <row r="412" spans="5:7" x14ac:dyDescent="0.25">
      <c r="E412"/>
      <c r="F412"/>
      <c r="G412"/>
    </row>
    <row r="413" spans="5:7" x14ac:dyDescent="0.25">
      <c r="E413"/>
      <c r="F413"/>
      <c r="G413"/>
    </row>
    <row r="414" spans="5:7" x14ac:dyDescent="0.25">
      <c r="E414"/>
      <c r="F414"/>
      <c r="G414"/>
    </row>
    <row r="415" spans="5:7" x14ac:dyDescent="0.25">
      <c r="E415"/>
      <c r="F415"/>
      <c r="G415"/>
    </row>
    <row r="416" spans="5:7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  <row r="698" spans="5:7" x14ac:dyDescent="0.25">
      <c r="E698"/>
      <c r="F698"/>
      <c r="G698"/>
    </row>
    <row r="699" spans="5:7" x14ac:dyDescent="0.25">
      <c r="E699"/>
      <c r="F699"/>
      <c r="G699"/>
    </row>
    <row r="700" spans="5:7" x14ac:dyDescent="0.25">
      <c r="E700"/>
      <c r="F700"/>
      <c r="G700"/>
    </row>
    <row r="701" spans="5:7" x14ac:dyDescent="0.25">
      <c r="E701"/>
      <c r="F701"/>
      <c r="G701"/>
    </row>
    <row r="702" spans="5:7" x14ac:dyDescent="0.25">
      <c r="E702"/>
      <c r="F702"/>
      <c r="G702"/>
    </row>
    <row r="703" spans="5:7" x14ac:dyDescent="0.25">
      <c r="E703"/>
      <c r="F703"/>
      <c r="G703"/>
    </row>
    <row r="704" spans="5:7" x14ac:dyDescent="0.25">
      <c r="E704"/>
      <c r="F704"/>
      <c r="G704"/>
    </row>
    <row r="705" spans="5:7" x14ac:dyDescent="0.25">
      <c r="E705"/>
      <c r="F705"/>
      <c r="G705"/>
    </row>
    <row r="706" spans="5:7" x14ac:dyDescent="0.25">
      <c r="E706"/>
      <c r="F706"/>
      <c r="G706"/>
    </row>
    <row r="707" spans="5:7" x14ac:dyDescent="0.25">
      <c r="E707"/>
      <c r="F707"/>
      <c r="G707"/>
    </row>
    <row r="708" spans="5:7" x14ac:dyDescent="0.25">
      <c r="E708"/>
      <c r="F708"/>
      <c r="G708"/>
    </row>
    <row r="709" spans="5:7" x14ac:dyDescent="0.25">
      <c r="E709"/>
      <c r="F709"/>
      <c r="G709"/>
    </row>
    <row r="710" spans="5:7" x14ac:dyDescent="0.25">
      <c r="E710"/>
      <c r="F710"/>
      <c r="G710"/>
    </row>
    <row r="711" spans="5:7" x14ac:dyDescent="0.25">
      <c r="E711"/>
      <c r="F711"/>
      <c r="G711"/>
    </row>
    <row r="712" spans="5:7" x14ac:dyDescent="0.25">
      <c r="E712"/>
      <c r="F712"/>
      <c r="G712"/>
    </row>
    <row r="713" spans="5:7" x14ac:dyDescent="0.25">
      <c r="E713"/>
      <c r="F713"/>
      <c r="G713"/>
    </row>
    <row r="714" spans="5:7" x14ac:dyDescent="0.25">
      <c r="E714"/>
      <c r="F714"/>
      <c r="G714"/>
    </row>
    <row r="715" spans="5:7" x14ac:dyDescent="0.25">
      <c r="E715"/>
      <c r="F715"/>
      <c r="G715"/>
    </row>
    <row r="716" spans="5:7" x14ac:dyDescent="0.25">
      <c r="E716"/>
      <c r="F716"/>
      <c r="G716"/>
    </row>
    <row r="717" spans="5:7" x14ac:dyDescent="0.25">
      <c r="E717"/>
      <c r="F717"/>
      <c r="G717"/>
    </row>
    <row r="718" spans="5:7" x14ac:dyDescent="0.25">
      <c r="E718"/>
      <c r="F718"/>
      <c r="G718"/>
    </row>
    <row r="719" spans="5:7" x14ac:dyDescent="0.25">
      <c r="E719"/>
      <c r="F719"/>
      <c r="G719"/>
    </row>
    <row r="720" spans="5:7" x14ac:dyDescent="0.25">
      <c r="E720"/>
      <c r="F720"/>
      <c r="G720"/>
    </row>
    <row r="721" spans="5:7" x14ac:dyDescent="0.25">
      <c r="E721"/>
      <c r="F721"/>
      <c r="G721"/>
    </row>
    <row r="722" spans="5:7" x14ac:dyDescent="0.25">
      <c r="E722"/>
      <c r="F722"/>
      <c r="G722"/>
    </row>
    <row r="723" spans="5:7" x14ac:dyDescent="0.25">
      <c r="E723"/>
      <c r="F723"/>
      <c r="G723"/>
    </row>
    <row r="724" spans="5:7" x14ac:dyDescent="0.25">
      <c r="E724"/>
      <c r="F724"/>
      <c r="G724"/>
    </row>
    <row r="725" spans="5:7" x14ac:dyDescent="0.25">
      <c r="E725"/>
      <c r="F725"/>
      <c r="G725"/>
    </row>
    <row r="726" spans="5:7" x14ac:dyDescent="0.25">
      <c r="E726"/>
      <c r="F726"/>
      <c r="G726"/>
    </row>
    <row r="727" spans="5:7" x14ac:dyDescent="0.25">
      <c r="E727"/>
      <c r="F727"/>
      <c r="G727"/>
    </row>
    <row r="728" spans="5:7" x14ac:dyDescent="0.25">
      <c r="E728"/>
      <c r="F728"/>
      <c r="G728"/>
    </row>
    <row r="729" spans="5:7" x14ac:dyDescent="0.25">
      <c r="E729"/>
      <c r="F729"/>
      <c r="G729"/>
    </row>
    <row r="730" spans="5:7" x14ac:dyDescent="0.25">
      <c r="E730"/>
      <c r="F730"/>
      <c r="G730"/>
    </row>
    <row r="731" spans="5:7" x14ac:dyDescent="0.25">
      <c r="E731"/>
      <c r="F731"/>
      <c r="G731"/>
    </row>
    <row r="732" spans="5:7" x14ac:dyDescent="0.25">
      <c r="E732"/>
      <c r="F732"/>
      <c r="G732"/>
    </row>
    <row r="733" spans="5:7" x14ac:dyDescent="0.25">
      <c r="E733"/>
      <c r="F733"/>
      <c r="G733"/>
    </row>
    <row r="734" spans="5:7" x14ac:dyDescent="0.25">
      <c r="E734"/>
      <c r="F734"/>
      <c r="G734"/>
    </row>
    <row r="735" spans="5:7" x14ac:dyDescent="0.25">
      <c r="E735"/>
      <c r="F735"/>
      <c r="G735"/>
    </row>
    <row r="736" spans="5:7" x14ac:dyDescent="0.25">
      <c r="E736"/>
      <c r="F736"/>
      <c r="G736"/>
    </row>
    <row r="737" spans="5:7" x14ac:dyDescent="0.25">
      <c r="E737"/>
      <c r="F737"/>
      <c r="G737"/>
    </row>
    <row r="738" spans="5:7" x14ac:dyDescent="0.25">
      <c r="E738"/>
      <c r="F738"/>
      <c r="G738"/>
    </row>
    <row r="739" spans="5:7" x14ac:dyDescent="0.25">
      <c r="E739"/>
      <c r="F739"/>
      <c r="G739"/>
    </row>
    <row r="740" spans="5:7" x14ac:dyDescent="0.25">
      <c r="E740"/>
      <c r="F740"/>
      <c r="G740"/>
    </row>
    <row r="741" spans="5:7" x14ac:dyDescent="0.25">
      <c r="E741"/>
      <c r="F741"/>
      <c r="G741"/>
    </row>
    <row r="742" spans="5:7" x14ac:dyDescent="0.25">
      <c r="E742"/>
      <c r="F742"/>
      <c r="G742"/>
    </row>
    <row r="743" spans="5:7" x14ac:dyDescent="0.25">
      <c r="E743"/>
      <c r="F743"/>
      <c r="G743"/>
    </row>
    <row r="744" spans="5:7" x14ac:dyDescent="0.25">
      <c r="E744"/>
      <c r="F744"/>
      <c r="G744"/>
    </row>
    <row r="745" spans="5:7" x14ac:dyDescent="0.25">
      <c r="E745"/>
      <c r="F745"/>
      <c r="G745"/>
    </row>
    <row r="746" spans="5:7" x14ac:dyDescent="0.25">
      <c r="E746"/>
      <c r="F746"/>
      <c r="G746"/>
    </row>
    <row r="747" spans="5:7" x14ac:dyDescent="0.25">
      <c r="E747"/>
      <c r="F747"/>
      <c r="G747"/>
    </row>
    <row r="748" spans="5:7" x14ac:dyDescent="0.25">
      <c r="E748"/>
      <c r="F748"/>
      <c r="G748"/>
    </row>
    <row r="749" spans="5:7" x14ac:dyDescent="0.25">
      <c r="E749"/>
      <c r="F749"/>
      <c r="G749"/>
    </row>
    <row r="750" spans="5:7" x14ac:dyDescent="0.25">
      <c r="E750"/>
      <c r="F750"/>
      <c r="G750"/>
    </row>
    <row r="751" spans="5:7" x14ac:dyDescent="0.25">
      <c r="E751"/>
      <c r="F751"/>
      <c r="G751"/>
    </row>
    <row r="752" spans="5:7" x14ac:dyDescent="0.25">
      <c r="E752"/>
      <c r="F752"/>
      <c r="G752"/>
    </row>
    <row r="753" spans="5:7" x14ac:dyDescent="0.25">
      <c r="E753"/>
      <c r="F753"/>
      <c r="G753"/>
    </row>
    <row r="754" spans="5:7" x14ac:dyDescent="0.25">
      <c r="E754"/>
      <c r="F754"/>
      <c r="G754"/>
    </row>
    <row r="755" spans="5:7" x14ac:dyDescent="0.25">
      <c r="E755"/>
      <c r="F755"/>
      <c r="G755"/>
    </row>
    <row r="756" spans="5:7" x14ac:dyDescent="0.25">
      <c r="E756"/>
      <c r="F756"/>
      <c r="G756"/>
    </row>
    <row r="757" spans="5:7" x14ac:dyDescent="0.25">
      <c r="E757"/>
      <c r="F757"/>
      <c r="G757"/>
    </row>
    <row r="758" spans="5:7" x14ac:dyDescent="0.25">
      <c r="E758"/>
      <c r="F758"/>
      <c r="G758"/>
    </row>
    <row r="759" spans="5:7" x14ac:dyDescent="0.25">
      <c r="E759"/>
      <c r="F759"/>
      <c r="G759"/>
    </row>
    <row r="760" spans="5:7" x14ac:dyDescent="0.25">
      <c r="E760"/>
      <c r="F760"/>
      <c r="G760"/>
    </row>
    <row r="761" spans="5:7" x14ac:dyDescent="0.25">
      <c r="E761"/>
      <c r="F761"/>
      <c r="G761"/>
    </row>
    <row r="762" spans="5:7" x14ac:dyDescent="0.25">
      <c r="E762"/>
      <c r="F762"/>
      <c r="G762"/>
    </row>
    <row r="763" spans="5:7" x14ac:dyDescent="0.25">
      <c r="E763"/>
      <c r="F763"/>
      <c r="G763"/>
    </row>
    <row r="764" spans="5:7" x14ac:dyDescent="0.25">
      <c r="E764"/>
      <c r="F764"/>
      <c r="G764"/>
    </row>
    <row r="765" spans="5:7" x14ac:dyDescent="0.25">
      <c r="E765"/>
      <c r="F765"/>
      <c r="G765"/>
    </row>
    <row r="766" spans="5:7" x14ac:dyDescent="0.25">
      <c r="E766"/>
      <c r="F766"/>
      <c r="G766"/>
    </row>
    <row r="767" spans="5:7" x14ac:dyDescent="0.25">
      <c r="E767"/>
      <c r="F767"/>
      <c r="G767"/>
    </row>
    <row r="768" spans="5:7" x14ac:dyDescent="0.25">
      <c r="E768"/>
      <c r="F768"/>
      <c r="G768"/>
    </row>
    <row r="769" spans="5:7" x14ac:dyDescent="0.25">
      <c r="E769"/>
      <c r="F769"/>
      <c r="G769"/>
    </row>
    <row r="770" spans="5:7" x14ac:dyDescent="0.25">
      <c r="E770"/>
      <c r="F770"/>
      <c r="G770"/>
    </row>
    <row r="771" spans="5:7" x14ac:dyDescent="0.25">
      <c r="E771"/>
      <c r="F771"/>
      <c r="G771"/>
    </row>
    <row r="772" spans="5:7" x14ac:dyDescent="0.25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2">
    <dataValidation type="list" allowBlank="1" showInputMessage="1" showErrorMessage="1" sqref="L1" xr:uid="{E520B503-2CAE-4B10-A885-780D3CCC52C1}">
      <formula1>$V$7:$V$8</formula1>
    </dataValidation>
    <dataValidation type="list" allowBlank="1" showInputMessage="1" showErrorMessage="1" sqref="I1:J1" xr:uid="{7FE69095-F9E4-46F5-B7EF-1BC914F26102}">
      <formula1>$V$3:$V$5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autoPict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361950</xdr:colOff>
                <xdr:row>0</xdr:row>
                <xdr:rowOff>266700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5</xdr:col>
                <xdr:colOff>9525</xdr:colOff>
                <xdr:row>0</xdr:row>
                <xdr:rowOff>47625</xdr:rowOff>
              </from>
              <to>
                <xdr:col>7</xdr:col>
                <xdr:colOff>533400</xdr:colOff>
                <xdr:row>0</xdr:row>
                <xdr:rowOff>285750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27"/>
  <sheetViews>
    <sheetView workbookViewId="0">
      <selection activeCell="A2" sqref="A2"/>
    </sheetView>
  </sheetViews>
  <sheetFormatPr defaultRowHeight="15" x14ac:dyDescent="0.25"/>
  <cols>
    <col min="1" max="1" width="3" bestFit="1" customWidth="1"/>
    <col min="2" max="2" width="22.85546875" bestFit="1" customWidth="1"/>
    <col min="3" max="3" width="10.7109375" bestFit="1" customWidth="1"/>
    <col min="4" max="4" width="11" bestFit="1" customWidth="1"/>
    <col min="5" max="5" width="37" bestFit="1" customWidth="1"/>
    <col min="6" max="6" width="12.85546875" bestFit="1" customWidth="1"/>
    <col min="7" max="7" width="5" bestFit="1" customWidth="1"/>
    <col min="8" max="8" width="3" bestFit="1" customWidth="1"/>
    <col min="9" max="9" width="9.7109375" bestFit="1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 t="s">
        <v>98</v>
      </c>
      <c r="E1" t="s">
        <v>99</v>
      </c>
      <c r="F1" t="s">
        <v>95</v>
      </c>
      <c r="G1">
        <v>1000</v>
      </c>
      <c r="H1">
        <v>90</v>
      </c>
      <c r="I1" s="59">
        <v>44936</v>
      </c>
      <c r="V1" s="26"/>
      <c r="W1" s="26"/>
      <c r="X1" s="26"/>
      <c r="Y1" s="26"/>
    </row>
    <row r="2" spans="1:25" x14ac:dyDescent="0.25">
      <c r="A2">
        <v>1</v>
      </c>
      <c r="B2">
        <v>995</v>
      </c>
      <c r="C2" t="s">
        <v>113</v>
      </c>
    </row>
    <row r="3" spans="1:25" x14ac:dyDescent="0.25">
      <c r="A3">
        <v>2</v>
      </c>
      <c r="B3">
        <v>1035</v>
      </c>
      <c r="C3" t="s">
        <v>114</v>
      </c>
    </row>
    <row r="4" spans="1:25" x14ac:dyDescent="0.25">
      <c r="A4">
        <v>3</v>
      </c>
      <c r="B4">
        <v>1000</v>
      </c>
      <c r="C4" t="s">
        <v>115</v>
      </c>
    </row>
    <row r="5" spans="1:25" x14ac:dyDescent="0.25">
      <c r="A5">
        <v>4</v>
      </c>
      <c r="B5">
        <v>1095</v>
      </c>
      <c r="C5" t="s">
        <v>116</v>
      </c>
    </row>
    <row r="6" spans="1:25" x14ac:dyDescent="0.25">
      <c r="A6">
        <v>5</v>
      </c>
      <c r="B6">
        <v>1095</v>
      </c>
      <c r="C6" t="s">
        <v>117</v>
      </c>
    </row>
    <row r="7" spans="1:25" x14ac:dyDescent="0.25">
      <c r="A7">
        <v>6</v>
      </c>
      <c r="B7">
        <v>1095</v>
      </c>
      <c r="C7" t="s">
        <v>118</v>
      </c>
    </row>
    <row r="8" spans="1:25" x14ac:dyDescent="0.25">
      <c r="A8">
        <v>7</v>
      </c>
      <c r="B8">
        <v>1090</v>
      </c>
      <c r="C8" t="s">
        <v>119</v>
      </c>
    </row>
    <row r="9" spans="1:25" x14ac:dyDescent="0.25">
      <c r="A9">
        <v>8</v>
      </c>
      <c r="B9">
        <v>1090</v>
      </c>
      <c r="C9" t="s">
        <v>120</v>
      </c>
    </row>
    <row r="10" spans="1:25" x14ac:dyDescent="0.25">
      <c r="A10">
        <v>9</v>
      </c>
      <c r="B10">
        <v>1090</v>
      </c>
      <c r="C10" t="s">
        <v>121</v>
      </c>
    </row>
    <row r="11" spans="1:25" x14ac:dyDescent="0.25">
      <c r="A11">
        <v>10</v>
      </c>
      <c r="B11">
        <v>945</v>
      </c>
      <c r="C11" t="s">
        <v>122</v>
      </c>
    </row>
    <row r="12" spans="1:25" x14ac:dyDescent="0.25">
      <c r="A12">
        <v>11</v>
      </c>
      <c r="B12">
        <v>1095</v>
      </c>
      <c r="C12" t="s">
        <v>123</v>
      </c>
    </row>
    <row r="13" spans="1:25" x14ac:dyDescent="0.25">
      <c r="A13">
        <v>12</v>
      </c>
      <c r="B13">
        <v>1095</v>
      </c>
      <c r="C13" t="s">
        <v>124</v>
      </c>
    </row>
    <row r="14" spans="1:25" x14ac:dyDescent="0.25">
      <c r="A14">
        <v>13</v>
      </c>
      <c r="B14">
        <v>90</v>
      </c>
      <c r="C14" t="s">
        <v>125</v>
      </c>
    </row>
    <row r="15" spans="1:25" x14ac:dyDescent="0.25">
      <c r="A15">
        <v>14</v>
      </c>
      <c r="B15">
        <v>1005</v>
      </c>
      <c r="C15" t="s">
        <v>100</v>
      </c>
    </row>
    <row r="16" spans="1:25" x14ac:dyDescent="0.25">
      <c r="A16">
        <v>15</v>
      </c>
      <c r="B16">
        <v>1000</v>
      </c>
      <c r="C16" t="s">
        <v>101</v>
      </c>
    </row>
    <row r="17" spans="1:3" x14ac:dyDescent="0.25">
      <c r="A17">
        <v>16</v>
      </c>
      <c r="B17">
        <v>1005</v>
      </c>
      <c r="C17" t="s">
        <v>102</v>
      </c>
    </row>
    <row r="18" spans="1:3" x14ac:dyDescent="0.25">
      <c r="A18">
        <v>17</v>
      </c>
      <c r="B18">
        <v>1005</v>
      </c>
      <c r="C18" t="s">
        <v>103</v>
      </c>
    </row>
    <row r="19" spans="1:3" x14ac:dyDescent="0.25">
      <c r="A19">
        <v>18</v>
      </c>
      <c r="B19">
        <v>1005</v>
      </c>
      <c r="C19" t="s">
        <v>104</v>
      </c>
    </row>
    <row r="20" spans="1:3" x14ac:dyDescent="0.25">
      <c r="A20">
        <v>19</v>
      </c>
      <c r="B20">
        <v>1005</v>
      </c>
      <c r="C20" t="s">
        <v>105</v>
      </c>
    </row>
    <row r="21" spans="1:3" x14ac:dyDescent="0.25">
      <c r="A21">
        <v>20</v>
      </c>
      <c r="B21">
        <v>1005</v>
      </c>
      <c r="C21" t="s">
        <v>106</v>
      </c>
    </row>
    <row r="22" spans="1:3" x14ac:dyDescent="0.25">
      <c r="A22">
        <v>21</v>
      </c>
      <c r="B22">
        <v>1005</v>
      </c>
      <c r="C22" t="s">
        <v>107</v>
      </c>
    </row>
    <row r="23" spans="1:3" x14ac:dyDescent="0.25">
      <c r="A23">
        <v>22</v>
      </c>
      <c r="B23">
        <v>1005</v>
      </c>
      <c r="C23" t="s">
        <v>108</v>
      </c>
    </row>
    <row r="24" spans="1:3" x14ac:dyDescent="0.25">
      <c r="A24">
        <v>23</v>
      </c>
      <c r="B24">
        <v>1005</v>
      </c>
      <c r="C24" t="s">
        <v>109</v>
      </c>
    </row>
    <row r="25" spans="1:3" x14ac:dyDescent="0.25">
      <c r="A25">
        <v>24</v>
      </c>
      <c r="B25">
        <v>1005</v>
      </c>
      <c r="C25" t="s">
        <v>110</v>
      </c>
    </row>
    <row r="26" spans="1:3" x14ac:dyDescent="0.25">
      <c r="A26">
        <v>25</v>
      </c>
      <c r="B26">
        <v>1005</v>
      </c>
      <c r="C26" t="s">
        <v>111</v>
      </c>
    </row>
    <row r="27" spans="1:3" x14ac:dyDescent="0.25">
      <c r="A27">
        <v>26</v>
      </c>
      <c r="B27">
        <v>1005</v>
      </c>
      <c r="C27" t="s">
        <v>112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26"/>
  <sheetViews>
    <sheetView topLeftCell="A7" workbookViewId="0">
      <selection activeCell="A25" sqref="A25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5" t="s">
        <v>10</v>
      </c>
      <c r="B2" s="5" t="s">
        <v>11</v>
      </c>
      <c r="G2" s="20" t="s">
        <v>37</v>
      </c>
      <c r="H2" s="20"/>
      <c r="I2" s="20"/>
      <c r="J2" s="20"/>
      <c r="K2" s="20"/>
    </row>
    <row r="3" spans="1:11" x14ac:dyDescent="0.25">
      <c r="A3" s="6" t="s">
        <v>67</v>
      </c>
      <c r="B3" s="7" t="s">
        <v>12</v>
      </c>
      <c r="G3" s="84" t="s">
        <v>38</v>
      </c>
      <c r="H3" s="84"/>
      <c r="I3" s="84"/>
      <c r="J3" s="21" t="s">
        <v>39</v>
      </c>
      <c r="K3" s="22"/>
    </row>
    <row r="4" spans="1:11" x14ac:dyDescent="0.25">
      <c r="A4" s="6" t="s">
        <v>9</v>
      </c>
      <c r="B4" s="7" t="s">
        <v>13</v>
      </c>
      <c r="G4" s="84"/>
      <c r="H4" s="84"/>
      <c r="I4" s="84"/>
      <c r="J4" s="22" t="s">
        <v>40</v>
      </c>
      <c r="K4" s="22" t="s">
        <v>41</v>
      </c>
    </row>
    <row r="5" spans="1:11" x14ac:dyDescent="0.25">
      <c r="A5" s="6" t="s">
        <v>50</v>
      </c>
      <c r="B5" s="7" t="s">
        <v>14</v>
      </c>
      <c r="G5" s="23">
        <v>5</v>
      </c>
      <c r="H5" s="22" t="s">
        <v>42</v>
      </c>
      <c r="I5" s="21">
        <v>50</v>
      </c>
      <c r="J5" s="22">
        <v>9</v>
      </c>
      <c r="K5" s="22" t="s">
        <v>43</v>
      </c>
    </row>
    <row r="6" spans="1:11" x14ac:dyDescent="0.25">
      <c r="A6" s="6" t="s">
        <v>49</v>
      </c>
      <c r="B6" s="7" t="s">
        <v>15</v>
      </c>
      <c r="G6" s="23">
        <v>50</v>
      </c>
      <c r="H6" s="22" t="s">
        <v>42</v>
      </c>
      <c r="I6" s="21">
        <v>100</v>
      </c>
      <c r="J6" s="22" t="s">
        <v>43</v>
      </c>
      <c r="K6" s="22">
        <v>4.5</v>
      </c>
    </row>
    <row r="7" spans="1:11" ht="30" x14ac:dyDescent="0.25">
      <c r="A7" s="8" t="s">
        <v>51</v>
      </c>
      <c r="B7" s="7" t="s">
        <v>16</v>
      </c>
      <c r="G7" s="23">
        <v>100</v>
      </c>
      <c r="H7" s="22" t="s">
        <v>42</v>
      </c>
      <c r="I7" s="21">
        <v>200</v>
      </c>
      <c r="J7" s="22">
        <v>4.5</v>
      </c>
      <c r="K7" s="22" t="s">
        <v>43</v>
      </c>
    </row>
    <row r="8" spans="1:11" ht="45" x14ac:dyDescent="0.25">
      <c r="A8" s="34" t="s">
        <v>68</v>
      </c>
      <c r="B8" s="7" t="s">
        <v>17</v>
      </c>
      <c r="G8" s="23">
        <v>200</v>
      </c>
      <c r="H8" s="22" t="s">
        <v>42</v>
      </c>
      <c r="I8" s="21">
        <v>300</v>
      </c>
      <c r="J8" s="22" t="s">
        <v>43</v>
      </c>
      <c r="K8" s="22">
        <v>9</v>
      </c>
    </row>
    <row r="9" spans="1:11" ht="45" x14ac:dyDescent="0.25">
      <c r="A9" s="34" t="s">
        <v>55</v>
      </c>
      <c r="B9" s="7" t="s">
        <v>18</v>
      </c>
      <c r="G9" s="23">
        <v>300</v>
      </c>
      <c r="H9" s="22" t="s">
        <v>42</v>
      </c>
      <c r="I9" s="21">
        <v>500</v>
      </c>
      <c r="J9" s="22">
        <v>3</v>
      </c>
      <c r="K9" s="22" t="s">
        <v>43</v>
      </c>
    </row>
    <row r="10" spans="1:11" ht="30" x14ac:dyDescent="0.25">
      <c r="A10" s="34" t="s">
        <v>52</v>
      </c>
      <c r="B10" s="7" t="s">
        <v>19</v>
      </c>
      <c r="G10" s="23">
        <v>500</v>
      </c>
      <c r="H10" s="22" t="s">
        <v>42</v>
      </c>
      <c r="I10" s="21">
        <v>1000</v>
      </c>
      <c r="J10" s="22"/>
      <c r="K10" s="22">
        <v>15</v>
      </c>
    </row>
    <row r="11" spans="1:11" ht="45" x14ac:dyDescent="0.25">
      <c r="A11" s="35" t="s">
        <v>69</v>
      </c>
      <c r="B11" s="7" t="s">
        <v>20</v>
      </c>
      <c r="G11" s="23">
        <v>1000</v>
      </c>
      <c r="H11" s="22" t="s">
        <v>42</v>
      </c>
      <c r="I11" s="21">
        <v>10000</v>
      </c>
      <c r="J11" s="22">
        <v>1.5</v>
      </c>
      <c r="K11" s="22" t="s">
        <v>43</v>
      </c>
    </row>
    <row r="12" spans="1:11" ht="45" x14ac:dyDescent="0.25">
      <c r="A12" s="36" t="s">
        <v>56</v>
      </c>
      <c r="B12" s="7" t="s">
        <v>21</v>
      </c>
    </row>
    <row r="13" spans="1:11" ht="30" x14ac:dyDescent="0.25">
      <c r="A13" s="36" t="s">
        <v>53</v>
      </c>
      <c r="B13" s="7" t="s">
        <v>22</v>
      </c>
    </row>
    <row r="14" spans="1:11" ht="38.25" x14ac:dyDescent="0.25">
      <c r="A14" s="37" t="s">
        <v>70</v>
      </c>
      <c r="B14" s="9" t="s">
        <v>23</v>
      </c>
    </row>
    <row r="15" spans="1:11" ht="45" x14ac:dyDescent="0.25">
      <c r="A15" s="38" t="s">
        <v>57</v>
      </c>
      <c r="B15" s="7" t="s">
        <v>24</v>
      </c>
    </row>
    <row r="16" spans="1:11" x14ac:dyDescent="0.25">
      <c r="A16" s="38" t="s">
        <v>25</v>
      </c>
      <c r="B16" s="7" t="s">
        <v>26</v>
      </c>
    </row>
    <row r="17" spans="1:2" x14ac:dyDescent="0.25">
      <c r="A17" s="38" t="s">
        <v>27</v>
      </c>
      <c r="B17" s="7" t="s">
        <v>28</v>
      </c>
    </row>
    <row r="18" spans="1:2" x14ac:dyDescent="0.25">
      <c r="A18" s="10"/>
      <c r="B18" s="10"/>
    </row>
    <row r="19" spans="1:2" ht="15.75" x14ac:dyDescent="0.25">
      <c r="A19" s="11" t="s">
        <v>76</v>
      </c>
      <c r="B19" s="12" t="s">
        <v>29</v>
      </c>
    </row>
    <row r="20" spans="1:2" x14ac:dyDescent="0.25">
      <c r="A20" s="13" t="s">
        <v>67</v>
      </c>
      <c r="B20" s="14" t="s">
        <v>83</v>
      </c>
    </row>
    <row r="21" spans="1:2" ht="31.5" x14ac:dyDescent="0.25">
      <c r="A21" s="15" t="s">
        <v>77</v>
      </c>
      <c r="B21" s="16" t="s">
        <v>79</v>
      </c>
    </row>
    <row r="22" spans="1:2" ht="31.5" x14ac:dyDescent="0.25">
      <c r="A22" s="15" t="s">
        <v>78</v>
      </c>
      <c r="B22" s="16" t="s">
        <v>80</v>
      </c>
    </row>
    <row r="23" spans="1:2" x14ac:dyDescent="0.25">
      <c r="A23" s="17" t="s">
        <v>81</v>
      </c>
      <c r="B23" s="16" t="s">
        <v>82</v>
      </c>
    </row>
    <row r="24" spans="1:2" x14ac:dyDescent="0.25">
      <c r="A24" s="17" t="s">
        <v>30</v>
      </c>
      <c r="B24" s="16" t="s">
        <v>31</v>
      </c>
    </row>
    <row r="25" spans="1:2" x14ac:dyDescent="0.25">
      <c r="A25" s="17" t="s">
        <v>84</v>
      </c>
      <c r="B25" s="16" t="s">
        <v>32</v>
      </c>
    </row>
    <row r="26" spans="1:2" x14ac:dyDescent="0.25">
      <c r="A26" s="18" t="s">
        <v>33</v>
      </c>
      <c r="B26" s="7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DisplayUnit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MeasurementsFileName</vt:lpstr>
      <vt:lpstr>MeasurementsFilePath</vt:lpstr>
      <vt:lpstr>ML</vt:lpstr>
      <vt:lpstr>NumeFisier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Cristian Laczko</cp:lastModifiedBy>
  <cp:lastPrinted>2018-09-30T15:18:06Z</cp:lastPrinted>
  <dcterms:created xsi:type="dcterms:W3CDTF">2018-01-03T09:07:19Z</dcterms:created>
  <dcterms:modified xsi:type="dcterms:W3CDTF">2025-10-17T18:10:04Z</dcterms:modified>
</cp:coreProperties>
</file>