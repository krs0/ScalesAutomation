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8800" windowHeight="11775"/>
  </bookViews>
  <sheets>
    <sheet name="Metrologie" sheetId="2" r:id="rId1"/>
    <sheet name="RawData" sheetId="1" r:id="rId2"/>
    <sheet name="Explicatii" sheetId="3" r:id="rId3"/>
  </sheets>
  <functionGroups builtInGroupCount="17"/>
  <definedNames>
    <definedName name="CA_1">Metrologie!$T$16</definedName>
    <definedName name="CA_2">Metrologie!$T$17</definedName>
    <definedName name="CMA">Metrologie!$B$10</definedName>
    <definedName name="CR_1">Metrologie!$V$16</definedName>
    <definedName name="CR_2">Metrologie!$V$17</definedName>
    <definedName name="ENT">Metrologie!$B$8</definedName>
    <definedName name="ES_1">Metrologie!$S$16</definedName>
    <definedName name="ES_2">Metrologie!$S$17</definedName>
    <definedName name="ES_3">Metrologie!$S$18</definedName>
    <definedName name="ES1_Status">Metrologie!$W$16</definedName>
    <definedName name="ES3_OK">Metrologie!$B$17</definedName>
    <definedName name="LotStatus">Metrologie!$W$16</definedName>
    <definedName name="ML">Metrologie!$B$9</definedName>
    <definedName name="Qn">Metrologie!$B$5</definedName>
    <definedName name="QnES3">Metrologie!$B$16</definedName>
    <definedName name="RN">Metrologie!$U$16</definedName>
    <definedName name="RN_1">Metrologie!$U$16</definedName>
    <definedName name="RN_2">Metrologie!$U$17</definedName>
    <definedName name="s">Metrologie!$B$14</definedName>
    <definedName name="SumOfSquares">Metrologie!$B$13</definedName>
    <definedName name="Ta">Metrologie!$B$7</definedName>
    <definedName name="test_1" localSheetId="1">RawData!#REF!</definedName>
    <definedName name="test_10" localSheetId="1">RawData!#REF!</definedName>
    <definedName name="test_11" localSheetId="1">RawData!#REF!</definedName>
    <definedName name="test_12" localSheetId="1">RawData!#REF!</definedName>
    <definedName name="test_13" localSheetId="1">RawData!#REF!</definedName>
    <definedName name="test_14" localSheetId="1">RawData!#REF!</definedName>
    <definedName name="test_15" localSheetId="1">RawData!#REF!</definedName>
    <definedName name="test_16" localSheetId="1">RawData!#REF!</definedName>
    <definedName name="test_17" localSheetId="1">RawData!#REF!</definedName>
    <definedName name="test_18" localSheetId="1">RawData!#REF!</definedName>
    <definedName name="test_19" localSheetId="1">RawData!#REF!</definedName>
    <definedName name="test_2" localSheetId="1">RawData!#REF!</definedName>
    <definedName name="test_20" localSheetId="1">RawData!#REF!</definedName>
    <definedName name="test_21" localSheetId="1">RawData!#REF!</definedName>
    <definedName name="test_22" localSheetId="1">RawData!#REF!</definedName>
    <definedName name="test_23" localSheetId="1">RawData!#REF!</definedName>
    <definedName name="test_24" localSheetId="1">RawData!#REF!</definedName>
    <definedName name="test_25" localSheetId="1">RawData!#REF!</definedName>
    <definedName name="test_26" localSheetId="1">RawData!#REF!</definedName>
    <definedName name="test_27" localSheetId="1">RawData!#REF!</definedName>
    <definedName name="test_28" localSheetId="1">RawData!#REF!</definedName>
    <definedName name="test_29" localSheetId="1">RawData!#REF!</definedName>
    <definedName name="test_3" localSheetId="1">RawData!#REF!</definedName>
    <definedName name="test_30" localSheetId="1">RawData!#REF!</definedName>
    <definedName name="test_4" localSheetId="1">RawData!#REF!</definedName>
    <definedName name="test_5" localSheetId="1">RawData!#REF!</definedName>
    <definedName name="test_6" localSheetId="1">RawData!$A$1:$I$5</definedName>
    <definedName name="test_8" localSheetId="1">RawData!#REF!</definedName>
    <definedName name="test_9" localSheetId="1">RawData!#REF!</definedName>
    <definedName name="Xi">Metrologie!$B$12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9" i="2" l="1"/>
  <c r="N18" i="2"/>
  <c r="N17" i="2"/>
  <c r="N16" i="2"/>
  <c r="I19" i="2"/>
  <c r="H19" i="2"/>
  <c r="I18" i="2"/>
  <c r="H18" i="2"/>
  <c r="I17" i="2"/>
  <c r="H17" i="2"/>
  <c r="I16" i="2"/>
  <c r="H16" i="2"/>
  <c r="S16" i="2" l="1"/>
  <c r="S17" i="2" s="1"/>
  <c r="V17" i="2"/>
  <c r="T17" i="2"/>
  <c r="V16" i="2"/>
  <c r="T16" i="2"/>
  <c r="J68" i="3"/>
  <c r="J67" i="3"/>
  <c r="K67" i="3" s="1"/>
  <c r="K59" i="3"/>
  <c r="J59" i="3"/>
  <c r="J58" i="3"/>
  <c r="L57" i="3"/>
  <c r="J57" i="3"/>
  <c r="K57" i="3" s="1"/>
  <c r="L49" i="3"/>
  <c r="L43" i="3"/>
  <c r="J40" i="3"/>
  <c r="J41" i="3" s="1"/>
  <c r="P37" i="3"/>
  <c r="P38" i="3" s="1"/>
  <c r="P35" i="3"/>
  <c r="P36" i="3" s="1"/>
  <c r="P33" i="3"/>
  <c r="P34" i="3" s="1"/>
  <c r="I28" i="3"/>
  <c r="L41" i="3" l="1"/>
  <c r="K41" i="3"/>
  <c r="L50" i="3"/>
  <c r="L67" i="3"/>
  <c r="L40" i="3"/>
  <c r="K40" i="3"/>
  <c r="L44" i="3"/>
  <c r="B11" i="2"/>
  <c r="B7" i="2" l="1"/>
  <c r="B5" i="2"/>
  <c r="B6" i="2"/>
  <c r="B4" i="2"/>
  <c r="B3" i="2"/>
  <c r="G18" i="2" l="1"/>
  <c r="G16" i="2"/>
  <c r="G19" i="2"/>
  <c r="G17" i="2"/>
  <c r="O19" i="2"/>
  <c r="O18" i="2"/>
  <c r="O17" i="2"/>
  <c r="O16" i="2"/>
  <c r="B10" i="2"/>
  <c r="J18" i="2" l="1"/>
  <c r="J16" i="2"/>
  <c r="J19" i="2"/>
  <c r="J17" i="2"/>
  <c r="B12" i="2"/>
  <c r="P16" i="2" s="1"/>
  <c r="Q16" i="2" s="1"/>
  <c r="B13" i="2" s="1"/>
  <c r="P18" i="2"/>
  <c r="Q18" i="2" s="1"/>
  <c r="P19" i="2"/>
  <c r="Q19" i="2" s="1"/>
  <c r="U16" i="2"/>
  <c r="W16" i="2" s="1"/>
  <c r="U17" i="2" s="1"/>
  <c r="P17" i="2" l="1"/>
  <c r="Q17" i="2" s="1"/>
  <c r="W17" i="2"/>
  <c r="B14" i="2"/>
  <c r="B16" i="2" s="1"/>
  <c r="B17" i="2" s="1"/>
</calcChain>
</file>

<file path=xl/comments1.xml><?xml version="1.0" encoding="utf-8"?>
<comments xmlns="http://schemas.openxmlformats.org/spreadsheetml/2006/main">
  <authors>
    <author>krs</author>
  </authors>
  <commentList>
    <comment ref="B8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EROARE NEGATIVA TOLERATA ENT =  CF TABEL    
Qn in g sau ml - ENT in %,g sau ml
5 &lt;= Qn &lt;= 50  9%
50 &lt;= Qn &lt;= 100 4.5g
100 &lt;= Qn &lt;= 200 4.5%
200 &lt;= Qn &lt;= 300 9g
300 &lt;= Qn &lt;= 500 3%
500 &lt;= Qn &lt;= 1000 15g
1000&lt;= Qn &lt;= 10000 1.5%</t>
        </r>
      </text>
    </comment>
  </commentList>
</comments>
</file>

<file path=xl/connections.xml><?xml version="1.0" encoding="utf-8"?>
<connections xmlns="http://schemas.openxmlformats.org/spreadsheetml/2006/main">
  <connection id="1" interval="1" name="2018-03-04-072129_1235_Gut80-MargarinaCreme_Cutie_20Kg" type="6" refreshedVersion="4" background="1" refreshOnLoad="1" saveData="1">
    <textPr prompt="0" codePage="437" sourceFile="C:\Home\Krs\Work\Cantar\ScalesAutomation\Distribution\CSVOutput\2018-03-04-072129_1235_Gut80-MargarinaCreme_Cutie_20Kg.csv" tab="0" semicolon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<sst xmlns="http://schemas.openxmlformats.org/spreadsheetml/2006/main" count="176" uniqueCount="144">
  <si>
    <t>CSV Measurements folder Path:</t>
  </si>
  <si>
    <t>Kg</t>
  </si>
  <si>
    <t>Lot</t>
  </si>
  <si>
    <t>Sortimentul</t>
  </si>
  <si>
    <t>Tip Ambalaj</t>
  </si>
  <si>
    <r>
      <t xml:space="preserve">Masa Nominala </t>
    </r>
    <r>
      <rPr>
        <b/>
        <sz val="11"/>
        <color theme="4" tint="-0.249977111117893"/>
        <rFont val="Calibri"/>
        <family val="2"/>
        <scheme val="minor"/>
      </rPr>
      <t>[Qn]</t>
    </r>
  </si>
  <si>
    <r>
      <t xml:space="preserve">Tara Ambalaj </t>
    </r>
    <r>
      <rPr>
        <b/>
        <sz val="11"/>
        <color theme="4" tint="-0.249977111117893"/>
        <rFont val="Calibri"/>
        <family val="2"/>
        <scheme val="minor"/>
      </rPr>
      <t>[Ta]</t>
    </r>
  </si>
  <si>
    <r>
      <t xml:space="preserve">Eroare Negativa Tolerata </t>
    </r>
    <r>
      <rPr>
        <b/>
        <sz val="11"/>
        <color theme="4" tint="-0.249977111117893"/>
        <rFont val="Calibri"/>
        <family val="2"/>
        <scheme val="minor"/>
      </rPr>
      <t>[ENT]</t>
    </r>
  </si>
  <si>
    <r>
      <t>Marimea Lotului</t>
    </r>
    <r>
      <rPr>
        <b/>
        <sz val="11"/>
        <color theme="4" tint="-0.249977111117893"/>
        <rFont val="Calibri"/>
        <family val="2"/>
        <scheme val="minor"/>
      </rPr>
      <t xml:space="preserve"> [ML]</t>
    </r>
  </si>
  <si>
    <r>
      <t xml:space="preserve">Continutul Minim Admis </t>
    </r>
    <r>
      <rPr>
        <b/>
        <sz val="11"/>
        <color theme="4" tint="-0.249977111117893"/>
        <rFont val="Calibri"/>
        <family val="2"/>
        <scheme val="minor"/>
      </rPr>
      <t>[CMA]</t>
    </r>
  </si>
  <si>
    <t>Data</t>
  </si>
  <si>
    <t>INDICATORI</t>
  </si>
  <si>
    <t>COLOANA</t>
  </si>
  <si>
    <t>EXPLICATIE</t>
  </si>
  <si>
    <t>nr cantariri</t>
  </si>
  <si>
    <t>A</t>
  </si>
  <si>
    <t>NR. DE CANTARIRI = NR. DE PREAMBALATE</t>
  </si>
  <si>
    <t>DATA</t>
  </si>
  <si>
    <t>B</t>
  </si>
  <si>
    <t>DATA LA CARE SE FACE CANTARIREA</t>
  </si>
  <si>
    <t xml:space="preserve">ORA </t>
  </si>
  <si>
    <t>C</t>
  </si>
  <si>
    <t>ORA LA CARE SE FACE CANTATIREA</t>
  </si>
  <si>
    <t>CANTITATE CANTARITA [Cc]</t>
  </si>
  <si>
    <t>D</t>
  </si>
  <si>
    <t>CANTITATEA EFECTIV CANTARITA =PRODUS + AMBALAJ</t>
  </si>
  <si>
    <t>COMPARATIE EN&gt;2ENT  PRODUS FARA E  NU SE COMERCIALZEAZA</t>
  </si>
  <si>
    <t>E</t>
  </si>
  <si>
    <t>SE COMPARA  EROAREA NEGATIVA[EN] CU DUBLUL ERORII NEGATIVE TOLERATAENT]   DACA EN&gt;2*ENT PRODUSUL NU POATE AVEA SIMBOLUL E SI NU VA FI COMERCIALIZAT</t>
  </si>
  <si>
    <t>NR. ES1</t>
  </si>
  <si>
    <t>F</t>
  </si>
  <si>
    <t xml:space="preserve">NR DE CANTATIRI CE TREBUIE SA FIE  EXTRASE DIN TOTALUL CANTARIRILOR INITIALE  [COL A] CARE VOR FI LUATE IN CALCUL LA VERIFICAREA 2.2.1 ESANTION 1.;  IN FUNCTIE DE MARIMEA LOTULUI VOM AVEA NEVOIE DE  30, 50, 80  CANTARIRI </t>
  </si>
  <si>
    <t>CONTINUTUL REAL Cr1</t>
  </si>
  <si>
    <t>G</t>
  </si>
  <si>
    <t>CANTITATEA DE PRODUS REAL[Cr1} =CANTITATEA CANTARITA[Cc] -TARA AMBALAJ[Ta]; IN FUNCTIE DE MARIMEA LOTULUI SE VOR LUA, PT. CALCUL ALEATORIU  30, 50, 80 DE CANTARIRI DIN COL.D</t>
  </si>
  <si>
    <t>Comparatie Cr1 cu CMA A/N</t>
  </si>
  <si>
    <t>H</t>
  </si>
  <si>
    <t>SE COMPARA [Cr1] CU CONTINUTUL MINIM ADMIS[CMA]; DACA Cr1&gt;CMA PREAMBALAT ADMIS   DACA Cr1&lt;CMA PREAMBALAT NECORESPUNZATOR A/N</t>
  </si>
  <si>
    <t>NR. ES2</t>
  </si>
  <si>
    <t>I</t>
  </si>
  <si>
    <t xml:space="preserve">NR DE CANTATIRI CE TREBUIE SA FIE  EXTRASE DIN TOTALUL CANTARIRILOR INITIALE  [COL A] CARE VOR FI LUATE IN CALCUL LA VERIFICAREA 2.2.1 ESANTION 2.;  IN FUNCTIE DE MARIMEA LOTULUI VOM AVEA NEVOIE DE  30, 50, 80  CANTARIRI </t>
  </si>
  <si>
    <t>CONTINUTUL REAL Cr2</t>
  </si>
  <si>
    <t>J</t>
  </si>
  <si>
    <t>CANTITATEA DE PRODUS REAL[Cr2] =CANTITATEA CANTARITA[Cc] -TARA AMBALAJ[Ta]: IN FUNCTIE DE MARIMEA LOTULUI SE VOR LUA, PT. CALCUL ALEATORIU  30, 50, 80 DE CANTARIRI DIN COL.D</t>
  </si>
  <si>
    <t>Comparatie Cr cu CMA A/N</t>
  </si>
  <si>
    <t>K</t>
  </si>
  <si>
    <t>SE COMPARA [Cr2] CU CONTINUTUL MINIM ADMIS[CMA]; DACA Cr2&gt;CMA PREAMBALAT ADMIS   DACA Cr2&lt;CMA PREAMBALAT NECORESPUNZATOR A/N</t>
  </si>
  <si>
    <t>NR. ES3</t>
  </si>
  <si>
    <t>L</t>
  </si>
  <si>
    <t xml:space="preserve">NR DE CANTATIRI CE TREBUIE SA FIE  EXTRASE DIN CELE ALESE LA ESANTIONUL 1 [COL F] CARE VOR FI LUATE IN CALCUL LA VERIFICAREA 2.3.3.1 ESANTION 3;  IN FUNCTIE DE MARIMEA LOTULUI VOM AVEA NEVOIE DE  30, 50 CANTARIRI </t>
  </si>
  <si>
    <t>CONTINUTUL REAL Cr3</t>
  </si>
  <si>
    <t>M</t>
  </si>
  <si>
    <t xml:space="preserve">CANTITATEA DE PRODUS REAL[Cr3} =CANTITATEA CANTARITA[Cc] -TARA AMBALAJ[Ta]; IN FUNCTIE DE MARIMEA LOTULUI SE VOR LUA, PT. CALCUL ALEATORIU  30, 50,  CANTARIRI DIN COL.G </t>
  </si>
  <si>
    <t>CONTINUT REAL ES3 - Xi MEDIU</t>
  </si>
  <si>
    <t>N</t>
  </si>
  <si>
    <t>DIN CONTINUTUL REAL 3 [Cr3] SE SCADE MEDIA CONTINUTULUI REAL Xi MEDIU</t>
  </si>
  <si>
    <t>[VLUM REAL ES3 - Xi MEDIU]2</t>
  </si>
  <si>
    <t>O</t>
  </si>
  <si>
    <t>COL N LA PATRAT</t>
  </si>
  <si>
    <r>
      <t xml:space="preserve">EROARE NEGATIVA TOLERATA </t>
    </r>
    <r>
      <rPr>
        <b/>
        <sz val="12"/>
        <rFont val="Arial"/>
        <family val="2"/>
      </rPr>
      <t>[ENT]</t>
    </r>
    <r>
      <rPr>
        <sz val="12"/>
        <rFont val="Arial"/>
        <family val="2"/>
      </rPr>
      <t>:</t>
    </r>
  </si>
  <si>
    <t>SE CALCULEAZA IN FUNCTIE DE CANTITATEA NOMINALA Qn/ CANTITATEA NETA CF. TABEL</t>
  </si>
  <si>
    <r>
      <t xml:space="preserve">MARIMEA LOTULUI </t>
    </r>
    <r>
      <rPr>
        <b/>
        <sz val="12"/>
        <rFont val="Arial"/>
        <family val="2"/>
      </rPr>
      <t>[ML]:</t>
    </r>
  </si>
  <si>
    <t>ESTE EGAL CU NUMARUL DE PREAMBALATE CANTARITE; COUNT(A1:An)</t>
  </si>
  <si>
    <t>A. NR TOTAL DE PREAMB. NECORESPUNZATOAE ES1[NN1]</t>
  </si>
  <si>
    <t>SE NUMARA TOATE "N" DIN COL.H</t>
  </si>
  <si>
    <t>B. NR TOTAL DE PREAMB. NECORESPUNZATOAE ES2 [NN2]</t>
  </si>
  <si>
    <t>SE NUMARA TOATE "N" DIN COL.K</t>
  </si>
  <si>
    <r>
      <t xml:space="preserve">VALOARE MEDIE A CANTITATILOR REALE </t>
    </r>
    <r>
      <rPr>
        <b/>
        <sz val="10"/>
        <rFont val="Arial"/>
        <family val="2"/>
      </rPr>
      <t>Xi</t>
    </r>
  </si>
  <si>
    <t>Xi</t>
  </si>
  <si>
    <t>SE CALCULEAZA MEDIA ARITMETICA PE COL.M</t>
  </si>
  <si>
    <t xml:space="preserve"> Qn-[s/RADICAL(N)*0.995]</t>
  </si>
  <si>
    <t>DIN CANTITATEA NOMINALA [Qn] SE SCADE [s/RADICAL(N)*0.995]; UNDE N=NR DE ES3</t>
  </si>
  <si>
    <t>ESTIMATORUL ABATERII STANDARD s</t>
  </si>
  <si>
    <t>s</t>
  </si>
  <si>
    <t>FUNCTIA STDEV(COLM), STDEV(M1:Mn)</t>
  </si>
  <si>
    <t>Qn-0,379*s</t>
  </si>
  <si>
    <r>
      <t xml:space="preserve">Valoarea Medie a cantitatilor reale </t>
    </r>
    <r>
      <rPr>
        <b/>
        <sz val="11"/>
        <color theme="4" tint="-0.249977111117893"/>
        <rFont val="Calibri"/>
        <family val="2"/>
        <scheme val="minor"/>
      </rPr>
      <t>[Xi]</t>
    </r>
  </si>
  <si>
    <r>
      <t xml:space="preserve">Estimatorul Abaterii Standard </t>
    </r>
    <r>
      <rPr>
        <b/>
        <sz val="11"/>
        <color theme="4" tint="-0.249977111117893"/>
        <rFont val="Calibri"/>
        <family val="2"/>
        <scheme val="minor"/>
      </rPr>
      <t>[s]</t>
    </r>
  </si>
  <si>
    <r>
      <rPr>
        <b/>
        <sz val="11"/>
        <color theme="1"/>
        <rFont val="Calibri"/>
        <family val="2"/>
        <scheme val="minor"/>
      </rPr>
      <t>Sum(</t>
    </r>
    <r>
      <rPr>
        <sz val="11"/>
        <color theme="1"/>
        <rFont val="Calibri"/>
        <family val="2"/>
        <scheme val="minor"/>
      </rPr>
      <t>(</t>
    </r>
    <r>
      <rPr>
        <b/>
        <sz val="11"/>
        <color theme="4" tint="-0.249977111117893"/>
        <rFont val="Calibri"/>
        <family val="2"/>
        <scheme val="minor"/>
      </rPr>
      <t>Cr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4" tint="-0.249977111117893"/>
        <rFont val="Calibri"/>
        <family val="2"/>
        <scheme val="minor"/>
      </rPr>
      <t>Xi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</si>
  <si>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 xml:space="preserve">EROARE NEGATIVA TOLERATA </t>
    </r>
    <r>
      <rPr>
        <b/>
        <sz val="12"/>
        <rFont val="Arial"/>
        <family val="2"/>
      </rPr>
      <t>ENT =  CF TABEL</t>
    </r>
  </si>
  <si>
    <r>
      <t xml:space="preserve">Cantitatea nominala </t>
    </r>
    <r>
      <rPr>
        <b/>
        <sz val="12"/>
        <rFont val="Arial"/>
        <family val="2"/>
      </rPr>
      <t>Qn</t>
    </r>
    <r>
      <rPr>
        <sz val="12"/>
        <rFont val="Arial"/>
        <family val="2"/>
      </rPr>
      <t xml:space="preserve"> in g sau ml</t>
    </r>
  </si>
  <si>
    <t>Eroare negativa tolerata</t>
  </si>
  <si>
    <t>in % din Qn</t>
  </si>
  <si>
    <t>in g sau ml</t>
  </si>
  <si>
    <t xml:space="preserve">&lt;= Qn &lt;= </t>
  </si>
  <si>
    <t>-</t>
  </si>
  <si>
    <t>2.2. VERIFICAREA CONTINUTULUI REAL AL PREAMBALATULUI</t>
  </si>
  <si>
    <t>CONTINUTUL MINIM ADMIS[CMA] = Qn - ENT</t>
  </si>
  <si>
    <t>kg</t>
  </si>
  <si>
    <r>
      <t xml:space="preserve">DACA CONTINUTUL REAL </t>
    </r>
    <r>
      <rPr>
        <b/>
        <sz val="12"/>
        <rFont val="Arial"/>
        <family val="2"/>
      </rPr>
      <t>[Cr]</t>
    </r>
    <r>
      <rPr>
        <sz val="12"/>
        <rFont val="Arial"/>
        <family val="2"/>
      </rPr>
      <t xml:space="preserve"> &lt; CONTINUTUL MINIM ADMIS</t>
    </r>
    <r>
      <rPr>
        <b/>
        <sz val="12"/>
        <rFont val="Arial"/>
        <family val="2"/>
      </rPr>
      <t xml:space="preserve"> [CMA]</t>
    </r>
    <r>
      <rPr>
        <sz val="12"/>
        <rFont val="Arial"/>
        <family val="2"/>
      </rPr>
      <t xml:space="preserve"> -- PREAMBALAT  NECORESPUNZATOR</t>
    </r>
  </si>
  <si>
    <r>
      <t xml:space="preserve">2.2.1. VERIFICARE </t>
    </r>
    <r>
      <rPr>
        <b/>
        <u/>
        <sz val="12"/>
        <color indexed="40"/>
        <rFont val="Arial"/>
        <family val="2"/>
      </rPr>
      <t>NEDISTRUCTIVA se efectueaza cf. planului de esantionare dubla din tabel</t>
    </r>
  </si>
  <si>
    <t>Marimea lotului (nr. de preambalate din lot)</t>
  </si>
  <si>
    <t>Succesiunea</t>
  </si>
  <si>
    <t>Marimea esantionului</t>
  </si>
  <si>
    <t>Marimea cumulata</t>
  </si>
  <si>
    <r>
      <t xml:space="preserve">Criteriul de acceptare </t>
    </r>
    <r>
      <rPr>
        <b/>
        <sz val="10"/>
        <rFont val="Arial"/>
        <family val="2"/>
      </rPr>
      <t>CA</t>
    </r>
  </si>
  <si>
    <r>
      <t xml:space="preserve">Criteriul de respingere </t>
    </r>
    <r>
      <rPr>
        <b/>
        <sz val="10"/>
        <rFont val="Arial"/>
        <family val="2"/>
      </rPr>
      <t>CR</t>
    </r>
  </si>
  <si>
    <t>……..</t>
  </si>
  <si>
    <t>&gt;= 3200</t>
  </si>
  <si>
    <t>CRITERIU DE ACCEPTARE</t>
  </si>
  <si>
    <t>CRITERIU DE RESPINGERE</t>
  </si>
  <si>
    <t>Marime esantion:</t>
  </si>
  <si>
    <t>ES1 =</t>
  </si>
  <si>
    <t>ES2 =</t>
  </si>
  <si>
    <t>VERIFICARE CRITERIU DE ACCEPTARE ES1</t>
  </si>
  <si>
    <t>DACA NN1&lt;=CA1  -- LOT ACCEPTAT --- STOP</t>
  </si>
  <si>
    <t>DACA NN1&gt;=CR1 -- LOT RESPINS --- STOP</t>
  </si>
  <si>
    <t>DACA CA1&gt;NN1&lt; CR1 --- VERIFICARE ESANTION 2</t>
  </si>
  <si>
    <t>VERIFICARE CRITERIU DE ACCEPTARE ES2</t>
  </si>
  <si>
    <t>DACA( NN1+NN2)&lt;=CA2  -- LOT ACCEPTAT --- STOP</t>
  </si>
  <si>
    <t>DACA ( NN1+NN2)&gt;=CR2 -- LOT RESPINS --- STOP</t>
  </si>
  <si>
    <t>2.3 VERIFICAREA VALORII MEDII A CONTINUTULUI REAL AL PREAMBALATULUI</t>
  </si>
  <si>
    <t>2.3.1. UN LOT ESTE ACCEPTAT DACA VALOAREA MEDIE A CANTITATILOR Xi &gt; Qn-[s/N*0.995]</t>
  </si>
  <si>
    <t xml:space="preserve"> Qn-[s/N*0.995]</t>
  </si>
  <si>
    <t xml:space="preserve">2.3.3.1.CRITERIU PT. VERIFICARE NEDISTRUCTIVA </t>
  </si>
  <si>
    <t>Criteriul de acceptare</t>
  </si>
  <si>
    <t>Criteriul de respingere</t>
  </si>
  <si>
    <t>Xi &gt;=Qn-0,503*s</t>
  </si>
  <si>
    <t>Xi &lt;Qn-0,503*s</t>
  </si>
  <si>
    <t>&gt;= 501</t>
  </si>
  <si>
    <t>Xi &gt;=Qn-0,379*s</t>
  </si>
  <si>
    <t>Xi &lt;Qn-0,379*s</t>
  </si>
  <si>
    <t>Qn-0,503*s sau Qn-0,379*s</t>
  </si>
  <si>
    <t>Criteriu de Acceptare</t>
  </si>
  <si>
    <t>Criteriu de Respingere</t>
  </si>
  <si>
    <t>Rezultate Negative</t>
  </si>
  <si>
    <t>Status Esantion</t>
  </si>
  <si>
    <t>#</t>
  </si>
  <si>
    <t>Cantitatea Cantarita [Cc]</t>
  </si>
  <si>
    <t>Ora</t>
  </si>
  <si>
    <t>Gut 80 - Margarina Creme</t>
  </si>
  <si>
    <t>Cutie_20Kg</t>
  </si>
  <si>
    <t>20.5Kg</t>
  </si>
  <si>
    <t>0.42Kg</t>
  </si>
  <si>
    <t>Comparatie EN&gt;2ENT (Produs 'Fara E' nu se comercializeaza!)</t>
  </si>
  <si>
    <t>Continutul Real Cr1</t>
  </si>
  <si>
    <t>Comparatie Cr1 cu CMA</t>
  </si>
  <si>
    <t>Continutul Real Cr2</t>
  </si>
  <si>
    <t>Comparatie Cr2 cu CMA</t>
  </si>
  <si>
    <t>Marime esantion</t>
  </si>
  <si>
    <t>Continutul Real [Cr] Cc - Ta</t>
  </si>
  <si>
    <t>Continutul Real - Continutul Real Mediu Cr - Xi</t>
  </si>
  <si>
    <r>
      <t>(Cr - Xi)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</si>
  <si>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rPr>
        <b/>
        <sz val="11"/>
        <color theme="4" tint="-0.249977111117893"/>
        <rFont val="Calibri"/>
        <family val="2"/>
        <scheme val="minor"/>
      </rPr>
      <t>Qn=</t>
    </r>
    <r>
      <rPr>
        <sz val="11"/>
        <color theme="1"/>
        <rFont val="Calibri"/>
        <family val="2"/>
        <scheme val="minor"/>
      </rPr>
      <t>[</t>
    </r>
    <r>
      <rPr>
        <b/>
        <sz val="11"/>
        <color theme="4" tint="-0.249977111117893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/sqrt(</t>
    </r>
    <r>
      <rPr>
        <b/>
        <sz val="11"/>
        <color theme="4" tint="-0.249977111117893"/>
        <rFont val="Calibri"/>
        <family val="2"/>
        <scheme val="minor"/>
      </rPr>
      <t>N</t>
    </r>
    <r>
      <rPr>
        <sz val="11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>*0.995]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</si>
</sst>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22" x14ac:knownFonts="1"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  <font>
      <b/>
      <sz val="10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40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indexed="40"/>
      <name val="Arial"/>
      <family val="2"/>
    </font>
    <font>
      <b/>
      <sz val="12"/>
      <color indexed="10"/>
      <name val="Arial"/>
      <family val="2"/>
    </font>
    <font>
      <b/>
      <sz val="10"/>
      <color indexed="10"/>
      <name val="Arial"/>
      <family val="2"/>
    </font>
    <font>
      <b/>
      <sz val="10"/>
      <color indexed="40"/>
      <name val="Arial"/>
      <family val="2"/>
    </font>
    <font>
      <b/>
      <u/>
      <sz val="12"/>
      <color indexed="4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99">
    <xf numFmtId="0" fontId="0" fillId="0" borderId="0" xfId="0"/>
    <xf numFmtId="21" fontId="0" fillId="0" borderId="0" xfId="0" applyNumberFormat="1"/>
    <xf numFmtId="0" fontId="1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left" wrapText="1"/>
    </xf>
    <xf numFmtId="0" fontId="7" fillId="0" borderId="1" xfId="0" applyFont="1" applyBorder="1"/>
    <xf numFmtId="0" fontId="5" fillId="0" borderId="1" xfId="0" applyFont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9" fillId="0" borderId="1" xfId="0" applyFont="1" applyBorder="1" applyAlignment="1">
      <alignment wrapText="1"/>
    </xf>
    <xf numFmtId="0" fontId="0" fillId="0" borderId="1" xfId="0" applyBorder="1" applyAlignment="1">
      <alignment vertical="center"/>
    </xf>
    <xf numFmtId="0" fontId="7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21" fontId="0" fillId="0" borderId="0" xfId="0" applyNumberFormat="1" applyAlignment="1">
      <alignment horizontal="right"/>
    </xf>
    <xf numFmtId="0" fontId="10" fillId="0" borderId="0" xfId="0" applyFont="1" applyAlignment="1">
      <alignment horizontal="center" wrapText="1"/>
    </xf>
    <xf numFmtId="0" fontId="0" fillId="0" borderId="0" xfId="0" applyFont="1" applyAlignment="1">
      <alignment horizontal="left" wrapText="1"/>
    </xf>
    <xf numFmtId="2" fontId="11" fillId="0" borderId="0" xfId="0" applyNumberFormat="1" applyFont="1" applyAlignment="1">
      <alignment horizontal="center" wrapText="1"/>
    </xf>
    <xf numFmtId="1" fontId="0" fillId="0" borderId="0" xfId="0" applyNumberFormat="1" applyAlignment="1">
      <alignment horizontal="right"/>
    </xf>
    <xf numFmtId="14" fontId="0" fillId="0" borderId="0" xfId="0" applyNumberFormat="1" applyAlignment="1">
      <alignment horizontal="right"/>
    </xf>
    <xf numFmtId="0" fontId="5" fillId="0" borderId="0" xfId="0" applyFont="1"/>
    <xf numFmtId="0" fontId="5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/>
    <xf numFmtId="0" fontId="5" fillId="0" borderId="1" xfId="0" applyFont="1" applyBorder="1" applyAlignment="1">
      <alignment vertical="center"/>
    </xf>
    <xf numFmtId="0" fontId="14" fillId="0" borderId="0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9" fillId="0" borderId="0" xfId="0" applyFont="1"/>
    <xf numFmtId="0" fontId="5" fillId="0" borderId="0" xfId="0" applyFont="1" applyFill="1"/>
    <xf numFmtId="0" fontId="9" fillId="0" borderId="0" xfId="0" applyFont="1" applyBorder="1" applyAlignment="1">
      <alignment vertical="center" wrapText="1"/>
    </xf>
    <xf numFmtId="0" fontId="15" fillId="2" borderId="0" xfId="0" applyFont="1" applyFill="1" applyBorder="1" applyAlignment="1">
      <alignment vertical="center"/>
    </xf>
    <xf numFmtId="0" fontId="5" fillId="0" borderId="0" xfId="0" applyFont="1" applyBorder="1"/>
    <xf numFmtId="0" fontId="16" fillId="0" borderId="0" xfId="0" applyFont="1" applyBorder="1" applyAlignment="1">
      <alignment vertical="center"/>
    </xf>
    <xf numFmtId="0" fontId="17" fillId="0" borderId="0" xfId="0" applyFont="1"/>
    <xf numFmtId="0" fontId="5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7" fillId="0" borderId="1" xfId="0" applyFont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5" fillId="0" borderId="5" xfId="0" applyFont="1" applyBorder="1"/>
    <xf numFmtId="0" fontId="5" fillId="0" borderId="6" xfId="0" applyFont="1" applyBorder="1"/>
    <xf numFmtId="0" fontId="7" fillId="0" borderId="7" xfId="0" applyFont="1" applyBorder="1"/>
    <xf numFmtId="0" fontId="0" fillId="0" borderId="6" xfId="0" applyBorder="1"/>
    <xf numFmtId="0" fontId="0" fillId="0" borderId="7" xfId="0" applyFill="1" applyBorder="1"/>
    <xf numFmtId="0" fontId="5" fillId="0" borderId="8" xfId="0" applyFont="1" applyBorder="1"/>
    <xf numFmtId="0" fontId="5" fillId="0" borderId="9" xfId="0" applyFont="1" applyBorder="1"/>
    <xf numFmtId="0" fontId="0" fillId="0" borderId="10" xfId="0" applyBorder="1"/>
    <xf numFmtId="0" fontId="0" fillId="0" borderId="9" xfId="0" applyBorder="1"/>
    <xf numFmtId="0" fontId="0" fillId="0" borderId="10" xfId="0" applyFill="1" applyBorder="1"/>
    <xf numFmtId="0" fontId="0" fillId="0" borderId="0" xfId="0" applyBorder="1"/>
    <xf numFmtId="0" fontId="0" fillId="0" borderId="11" xfId="0" applyFill="1" applyBorder="1"/>
    <xf numFmtId="0" fontId="0" fillId="0" borderId="0" xfId="0" applyFill="1"/>
    <xf numFmtId="0" fontId="7" fillId="0" borderId="0" xfId="0" applyFont="1" applyAlignment="1">
      <alignment horizontal="center" vertical="center" wrapText="1"/>
    </xf>
    <xf numFmtId="0" fontId="0" fillId="0" borderId="0" xfId="0" applyFill="1" applyBorder="1"/>
    <xf numFmtId="0" fontId="7" fillId="0" borderId="0" xfId="0" applyFont="1"/>
    <xf numFmtId="0" fontId="0" fillId="5" borderId="0" xfId="0" applyFill="1" applyAlignment="1">
      <alignment horizontal="left"/>
    </xf>
    <xf numFmtId="0" fontId="9" fillId="0" borderId="5" xfId="0" applyFont="1" applyBorder="1"/>
    <xf numFmtId="0" fontId="8" fillId="2" borderId="6" xfId="0" applyFont="1" applyFill="1" applyBorder="1"/>
    <xf numFmtId="0" fontId="5" fillId="0" borderId="7" xfId="0" applyFont="1" applyBorder="1"/>
    <xf numFmtId="0" fontId="9" fillId="0" borderId="8" xfId="0" applyFont="1" applyBorder="1"/>
    <xf numFmtId="0" fontId="8" fillId="2" borderId="9" xfId="0" applyFont="1" applyFill="1" applyBorder="1"/>
    <xf numFmtId="0" fontId="5" fillId="0" borderId="10" xfId="0" applyFont="1" applyBorder="1"/>
    <xf numFmtId="0" fontId="9" fillId="0" borderId="0" xfId="0" applyFont="1" applyBorder="1"/>
    <xf numFmtId="0" fontId="8" fillId="0" borderId="0" xfId="0" applyFont="1" applyBorder="1"/>
    <xf numFmtId="0" fontId="8" fillId="5" borderId="6" xfId="0" applyFont="1" applyFill="1" applyBorder="1"/>
    <xf numFmtId="0" fontId="14" fillId="0" borderId="0" xfId="0" applyFont="1"/>
    <xf numFmtId="4" fontId="0" fillId="6" borderId="0" xfId="0" applyNumberFormat="1" applyFill="1"/>
    <xf numFmtId="4" fontId="4" fillId="0" borderId="0" xfId="0" applyNumberFormat="1" applyFont="1"/>
    <xf numFmtId="0" fontId="4" fillId="0" borderId="0" xfId="0" applyFont="1"/>
    <xf numFmtId="4" fontId="0" fillId="0" borderId="0" xfId="0" applyNumberFormat="1"/>
    <xf numFmtId="2" fontId="0" fillId="5" borderId="0" xfId="0" applyNumberFormat="1" applyFill="1"/>
    <xf numFmtId="0" fontId="17" fillId="0" borderId="1" xfId="0" applyFont="1" applyBorder="1" applyAlignment="1">
      <alignment horizontal="center"/>
    </xf>
    <xf numFmtId="0" fontId="17" fillId="0" borderId="1" xfId="0" applyFont="1" applyBorder="1"/>
    <xf numFmtId="2" fontId="7" fillId="5" borderId="0" xfId="0" applyNumberFormat="1" applyFont="1" applyFill="1"/>
    <xf numFmtId="0" fontId="0" fillId="5" borderId="0" xfId="0" applyFill="1" applyAlignment="1">
      <alignment horizontal="right"/>
    </xf>
    <xf numFmtId="14" fontId="0" fillId="0" borderId="0" xfId="0" applyNumberFormat="1"/>
    <xf numFmtId="0" fontId="0" fillId="0" borderId="0" xfId="0" applyAlignment="1">
      <alignment horizontal="center" vertical="center" wrapText="1"/>
    </xf>
    <xf numFmtId="0" fontId="1" fillId="0" borderId="0" xfId="0" applyFont="1" applyAlignment="1"/>
    <xf numFmtId="0" fontId="7" fillId="0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 wrapText="1"/>
    </xf>
    <xf numFmtId="0" fontId="7" fillId="0" borderId="3" xfId="0" applyFont="1" applyFill="1" applyBorder="1" applyAlignment="1">
      <alignment horizontal="center" vertical="center" wrapText="1"/>
    </xf>
    <xf numFmtId="0" fontId="7" fillId="0" borderId="4" xfId="0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3</xdr:row>
          <xdr:rowOff>85725</xdr:rowOff>
        </xdr:from>
        <xdr:to>
          <xdr:col>22</xdr:col>
          <xdr:colOff>266700</xdr:colOff>
          <xdr:row>5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Measurements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666750</xdr:colOff>
          <xdr:row>1</xdr:row>
          <xdr:rowOff>142875</xdr:rowOff>
        </xdr:from>
        <xdr:to>
          <xdr:col>27</xdr:col>
          <xdr:colOff>190500</xdr:colOff>
          <xdr:row>3</xdr:row>
          <xdr:rowOff>9525</xdr:rowOff>
        </xdr:to>
        <xdr:sp macro="" textlink="">
          <xdr:nvSpPr>
            <xdr:cNvPr id="2050" name="cbFileSelect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st_6" refreshOnLoad="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X1039"/>
  <sheetViews>
    <sheetView tabSelected="1" workbookViewId="0">
      <selection activeCell="A17" sqref="A17"/>
    </sheetView>
  </sheetViews>
  <sheetFormatPr defaultRowHeight="15" x14ac:dyDescent="0.25"/>
  <cols>
    <col min="1" max="1" width="36" bestFit="1" customWidth="1"/>
    <col min="2" max="2" width="23.7109375" style="8" bestFit="1" customWidth="1"/>
    <col min="3" max="3" width="3.140625" style="5" bestFit="1" customWidth="1"/>
    <col min="4" max="4" width="5" style="4" bestFit="1" customWidth="1"/>
    <col min="5" max="5" width="10.7109375" style="8" customWidth="1"/>
    <col min="6" max="6" width="10.85546875" style="4" bestFit="1" customWidth="1"/>
    <col min="7" max="7" width="22.28515625" style="8" customWidth="1"/>
    <col min="8" max="8" width="15" customWidth="1"/>
    <col min="9" max="9" width="21.85546875" customWidth="1"/>
    <col min="10" max="10" width="12" bestFit="1" customWidth="1"/>
    <col min="12" max="12" width="18.28515625" bestFit="1" customWidth="1"/>
    <col min="13" max="13" width="22" bestFit="1" customWidth="1"/>
    <col min="15" max="15" width="19.140625" customWidth="1"/>
    <col min="16" max="16" width="22.28515625" customWidth="1"/>
    <col min="17" max="17" width="16.7109375" bestFit="1" customWidth="1"/>
    <col min="18" max="18" width="12.140625" customWidth="1"/>
    <col min="19" max="19" width="8.7109375" customWidth="1"/>
    <col min="20" max="20" width="10.140625" customWidth="1"/>
    <col min="21" max="21" width="11.5703125" bestFit="1" customWidth="1"/>
    <col min="22" max="22" width="10.7109375" customWidth="1"/>
  </cols>
  <sheetData>
    <row r="1" spans="1:24" x14ac:dyDescent="0.25">
      <c r="U1" s="92" t="s">
        <v>0</v>
      </c>
      <c r="V1" s="92"/>
      <c r="W1" s="92"/>
      <c r="X1" s="92"/>
    </row>
    <row r="2" spans="1:24" x14ac:dyDescent="0.25">
      <c r="C2" s="6"/>
    </row>
    <row r="3" spans="1:24" x14ac:dyDescent="0.25">
      <c r="A3" s="3" t="s">
        <v>3</v>
      </c>
      <c r="B3" s="8" t="str">
        <f>RawData!E1</f>
        <v>Gut 80 - Margarina Creme</v>
      </c>
      <c r="C3" s="4"/>
      <c r="Q3" s="2"/>
    </row>
    <row r="4" spans="1:24" x14ac:dyDescent="0.25">
      <c r="A4" s="3" t="s">
        <v>2</v>
      </c>
      <c r="B4" s="33">
        <f>RawData!D1</f>
        <v>1235</v>
      </c>
      <c r="C4" s="4"/>
    </row>
    <row r="5" spans="1:24" x14ac:dyDescent="0.25">
      <c r="A5" s="3" t="s">
        <v>5</v>
      </c>
      <c r="B5" s="8" t="str">
        <f>IF(ISERROR(VALUE(RawData!G1)), LEFT(RawData!G1, FIND("Kg",RawData!G1)-1), RawData!G1)</f>
        <v>20.5</v>
      </c>
      <c r="C5" s="4" t="s">
        <v>1</v>
      </c>
      <c r="K5" s="2"/>
    </row>
    <row r="6" spans="1:24" x14ac:dyDescent="0.25">
      <c r="A6" s="3" t="s">
        <v>4</v>
      </c>
      <c r="B6" s="8" t="str">
        <f>RawData!F1</f>
        <v>Cutie_20Kg</v>
      </c>
      <c r="C6" s="4"/>
    </row>
    <row r="7" spans="1:24" x14ac:dyDescent="0.25">
      <c r="A7" t="s">
        <v>6</v>
      </c>
      <c r="B7" s="8" t="str">
        <f>IF(ISERROR(VALUE(RawData!H1)), LEFT(RawData!H1, FIND("Kg",RawData!H1)-1), RawData!H1)</f>
        <v>0.42</v>
      </c>
      <c r="C7" s="4" t="s">
        <v>1</v>
      </c>
    </row>
    <row r="8" spans="1:24" x14ac:dyDescent="0.25">
      <c r="A8" s="3" t="s">
        <v>7</v>
      </c>
      <c r="B8" s="8">
        <v>0.3075</v>
      </c>
      <c r="C8" s="5" t="s">
        <v>1</v>
      </c>
    </row>
    <row r="9" spans="1:24" x14ac:dyDescent="0.25">
      <c r="A9" s="3" t="s">
        <v>8</v>
      </c>
      <c r="B9" s="33">
        <v>4</v>
      </c>
    </row>
    <row r="10" spans="1:24" x14ac:dyDescent="0.25">
      <c r="A10" s="3" t="s">
        <v>9</v>
      </c>
      <c r="B10" s="8">
        <f>B5-B8</f>
        <v>20.192499999999999</v>
      </c>
      <c r="C10" s="7" t="s">
        <v>1</v>
      </c>
    </row>
    <row r="11" spans="1:24" x14ac:dyDescent="0.25">
      <c r="A11" s="3" t="s">
        <v>10</v>
      </c>
      <c r="B11" s="34">
        <f>RawData!I1</f>
        <v>43163</v>
      </c>
    </row>
    <row r="12" spans="1:24" x14ac:dyDescent="0.25">
      <c r="A12" t="s">
        <v>76</v>
      </c>
      <c r="B12" s="8">
        <f>AVERAGE(O16:O19)</f>
        <v>20.107499999999998</v>
      </c>
    </row>
    <row r="13" spans="1:24" ht="17.25" x14ac:dyDescent="0.25">
      <c r="A13" s="31" t="s">
        <v>78</v>
      </c>
      <c r="B13" s="98">
        <f>SUM(Q16,Q19)</f>
        <v>1.4762500000000255E-2</v>
      </c>
    </row>
    <row r="14" spans="1:24" x14ac:dyDescent="0.25">
      <c r="A14" s="3" t="s">
        <v>77</v>
      </c>
      <c r="B14" s="98">
        <f>SQRT(SumOfSquares/(ES_3-1))</f>
        <v>7.0148651685783797E-2</v>
      </c>
    </row>
    <row r="15" spans="1:24" ht="60.75" customHeight="1" x14ac:dyDescent="0.25">
      <c r="D15" s="30" t="s">
        <v>127</v>
      </c>
      <c r="E15" s="30" t="s">
        <v>128</v>
      </c>
      <c r="F15" s="30" t="s">
        <v>129</v>
      </c>
      <c r="G15" s="32" t="s">
        <v>134</v>
      </c>
      <c r="H15" s="30" t="s">
        <v>127</v>
      </c>
      <c r="I15" s="30" t="s">
        <v>135</v>
      </c>
      <c r="J15" s="30" t="s">
        <v>136</v>
      </c>
      <c r="K15" s="30" t="s">
        <v>127</v>
      </c>
      <c r="L15" s="30" t="s">
        <v>137</v>
      </c>
      <c r="M15" s="30" t="s">
        <v>138</v>
      </c>
      <c r="N15" s="30" t="s">
        <v>127</v>
      </c>
      <c r="O15" s="30" t="s">
        <v>140</v>
      </c>
      <c r="P15" s="30" t="s">
        <v>141</v>
      </c>
      <c r="Q15" s="30" t="s">
        <v>142</v>
      </c>
      <c r="S15" s="91" t="s">
        <v>139</v>
      </c>
      <c r="T15" s="67" t="s">
        <v>123</v>
      </c>
      <c r="U15" s="67" t="s">
        <v>125</v>
      </c>
      <c r="V15" s="67" t="s">
        <v>124</v>
      </c>
      <c r="W15" s="67" t="s">
        <v>126</v>
      </c>
    </row>
    <row r="16" spans="1:24" x14ac:dyDescent="0.25">
      <c r="A16" t="s">
        <v>143</v>
      </c>
      <c r="B16" s="98">
        <f>s/SQRT(ES_3)*0.995</f>
        <v>3.489895421367744E-2</v>
      </c>
      <c r="D16">
        <v>1</v>
      </c>
      <c r="E16">
        <v>20.43</v>
      </c>
      <c r="F16" s="1">
        <v>0.80660879629629623</v>
      </c>
      <c r="G16" s="8" t="str">
        <f>IF(Qn-E16-Ta&gt;2*ENT,"Fara E","Admis")</f>
        <v>Admis</v>
      </c>
      <c r="H16">
        <f>D16</f>
        <v>1</v>
      </c>
      <c r="I16">
        <f>E16</f>
        <v>20.43</v>
      </c>
      <c r="J16" t="str">
        <f>IF(I16&gt;=CMA,"A","N")</f>
        <v>A</v>
      </c>
      <c r="N16">
        <f>D16</f>
        <v>1</v>
      </c>
      <c r="O16">
        <f>E16-Ta</f>
        <v>20.009999999999998</v>
      </c>
      <c r="P16" s="69">
        <f>O16-Xi</f>
        <v>-9.7500000000000142E-2</v>
      </c>
      <c r="Q16">
        <f>POWER(P16,2)</f>
        <v>9.5062500000000286E-3</v>
      </c>
      <c r="S16" s="70">
        <f>IF(ML&lt;=100,ML,IF(ML&gt;3201,80, IF(ML&gt;=501,50, IF(ML&gt;100,30,ML))))</f>
        <v>4</v>
      </c>
      <c r="T16" s="89">
        <f>IF(ML=30,1, IF(ML=50,2, IF(ML=80,3,1)))</f>
        <v>1</v>
      </c>
      <c r="U16" s="89">
        <f>COUNTIF(J:J, "N")</f>
        <v>0</v>
      </c>
      <c r="V16" s="89">
        <f>IF(ML=30,3, IF(ML=50,5, IF(ML=80,7,3)))</f>
        <v>3</v>
      </c>
      <c r="W16" t="str">
        <f>IF(CA_1&gt;=RN_1,"OK",IF(RN_1&gt;=CR_1,"NOT_OK","ES2 Needed"))</f>
        <v>OK</v>
      </c>
    </row>
    <row r="17" spans="2:23" x14ac:dyDescent="0.25">
      <c r="B17" s="8" t="str">
        <f>IF(Xi&gt;=QnES3 - 0.503 * s,"LOT ACCEPTAT","LOT RESPINS")</f>
        <v>LOT ACCEPTAT</v>
      </c>
      <c r="D17">
        <v>2</v>
      </c>
      <c r="E17">
        <v>20.48</v>
      </c>
      <c r="F17" s="1">
        <v>0.80663194444444442</v>
      </c>
      <c r="G17" s="8" t="str">
        <f>IF(Qn-E17-Ta&gt;2*ENT,"Fara E","Admis")</f>
        <v>Admis</v>
      </c>
      <c r="H17">
        <f>D17</f>
        <v>2</v>
      </c>
      <c r="I17">
        <f>E17</f>
        <v>20.48</v>
      </c>
      <c r="J17" t="str">
        <f>IF(I17&gt;=CMA,"A","N")</f>
        <v>A</v>
      </c>
      <c r="N17">
        <f>D17</f>
        <v>2</v>
      </c>
      <c r="O17">
        <f>E17-Ta</f>
        <v>20.059999999999999</v>
      </c>
      <c r="P17" s="69">
        <f>O17-Xi</f>
        <v>-4.7499999999999432E-2</v>
      </c>
      <c r="Q17">
        <f>POWER(P17,2)</f>
        <v>2.2562499999999458E-3</v>
      </c>
      <c r="S17" s="70">
        <f>IF(ML&lt;=100,0,ES_1)</f>
        <v>0</v>
      </c>
      <c r="T17" s="89">
        <f>IF(ML=30,4, IF(ML=50,6, IF(ML=80,8,4)))</f>
        <v>4</v>
      </c>
      <c r="U17" s="89" t="str">
        <f>IF(ES1_Status="ES2 Needed",COUNTIF(M:M, "N"),"")</f>
        <v/>
      </c>
      <c r="V17" s="89">
        <f>IF(ML=30,5, IF(ML=50,7, IF(ML=80,9,5)))</f>
        <v>5</v>
      </c>
      <c r="W17" t="str">
        <f>IF(ES1_Status="ES2Needed",IF(RN_1+RN_2&lt;=CA_2,"Ok","NotOk"),"Ok")</f>
        <v>Ok</v>
      </c>
    </row>
    <row r="18" spans="2:23" x14ac:dyDescent="0.25">
      <c r="D18">
        <v>3</v>
      </c>
      <c r="E18">
        <v>20.6</v>
      </c>
      <c r="F18" s="1">
        <v>0.80664351851851857</v>
      </c>
      <c r="G18" s="8" t="str">
        <f>IF(Qn-E18-Ta&gt;2*ENT,"Fara E","Admis")</f>
        <v>Admis</v>
      </c>
      <c r="H18">
        <f>D18</f>
        <v>3</v>
      </c>
      <c r="I18">
        <f>E18</f>
        <v>20.6</v>
      </c>
      <c r="J18" t="str">
        <f>IF(I18&gt;=CMA,"A","N")</f>
        <v>A</v>
      </c>
      <c r="N18">
        <f>D18</f>
        <v>3</v>
      </c>
      <c r="O18">
        <f>E18-Ta</f>
        <v>20.18</v>
      </c>
      <c r="P18">
        <f>O18-Xi</f>
        <v>7.2500000000001563E-2</v>
      </c>
      <c r="Q18">
        <f>POWER(P18,2)</f>
        <v>5.2562500000002269E-3</v>
      </c>
      <c r="S18" s="3">
        <v>4</v>
      </c>
      <c r="T18" s="4"/>
      <c r="U18" s="4"/>
      <c r="V18" s="4"/>
    </row>
    <row r="19" spans="2:23" x14ac:dyDescent="0.25">
      <c r="D19">
        <v>4</v>
      </c>
      <c r="E19">
        <v>20.6</v>
      </c>
      <c r="F19" s="1">
        <v>0.80666666666666664</v>
      </c>
      <c r="G19" s="8" t="str">
        <f>IF(Qn-E19-Ta&gt;2*ENT,"Fara E","Admis")</f>
        <v>Admis</v>
      </c>
      <c r="H19">
        <f>D19</f>
        <v>4</v>
      </c>
      <c r="I19">
        <f>E19</f>
        <v>20.6</v>
      </c>
      <c r="J19" t="str">
        <f>IF(I19&gt;=CMA,"A","N")</f>
        <v>A</v>
      </c>
      <c r="N19">
        <f>D19</f>
        <v>4</v>
      </c>
      <c r="O19">
        <f>E19-Ta</f>
        <v>20.18</v>
      </c>
      <c r="P19">
        <f>O19-Xi</f>
        <v>7.2500000000001563E-2</v>
      </c>
      <c r="Q19">
        <f>POWER(P19,2)</f>
        <v>5.2562500000002269E-3</v>
      </c>
    </row>
    <row r="20" spans="2:23" x14ac:dyDescent="0.25">
      <c r="D20"/>
      <c r="E20"/>
      <c r="F20" s="1"/>
    </row>
    <row r="21" spans="2:23" x14ac:dyDescent="0.25">
      <c r="D21"/>
      <c r="E21"/>
      <c r="F21" s="1"/>
    </row>
    <row r="22" spans="2:23" x14ac:dyDescent="0.25">
      <c r="D22"/>
      <c r="E22"/>
      <c r="F22" s="1"/>
    </row>
    <row r="23" spans="2:23" x14ac:dyDescent="0.25">
      <c r="D23"/>
      <c r="E23"/>
      <c r="F23" s="1"/>
    </row>
    <row r="24" spans="2:23" x14ac:dyDescent="0.25">
      <c r="D24"/>
      <c r="E24"/>
      <c r="F24" s="1"/>
    </row>
    <row r="25" spans="2:23" x14ac:dyDescent="0.25">
      <c r="D25"/>
      <c r="E25"/>
      <c r="F25" s="1"/>
    </row>
    <row r="26" spans="2:23" x14ac:dyDescent="0.25">
      <c r="D26"/>
      <c r="E26"/>
      <c r="F26" s="1"/>
    </row>
    <row r="27" spans="2:23" x14ac:dyDescent="0.25">
      <c r="D27"/>
      <c r="E27"/>
      <c r="F27" s="1"/>
    </row>
    <row r="28" spans="2:23" x14ac:dyDescent="0.25">
      <c r="D28"/>
      <c r="E28"/>
      <c r="F28" s="1"/>
    </row>
    <row r="29" spans="2:23" x14ac:dyDescent="0.25">
      <c r="D29"/>
      <c r="E29"/>
      <c r="F29" s="1"/>
    </row>
    <row r="30" spans="2:23" x14ac:dyDescent="0.25">
      <c r="D30"/>
      <c r="E30"/>
      <c r="F30" s="1"/>
    </row>
    <row r="31" spans="2:23" x14ac:dyDescent="0.25">
      <c r="D31"/>
      <c r="E31"/>
      <c r="F31" s="1"/>
    </row>
    <row r="32" spans="2:23" x14ac:dyDescent="0.25">
      <c r="D32"/>
      <c r="E32"/>
      <c r="F32" s="1"/>
    </row>
    <row r="33" spans="4:6" x14ac:dyDescent="0.25">
      <c r="D33"/>
      <c r="E33"/>
      <c r="F33" s="1"/>
    </row>
    <row r="34" spans="4:6" x14ac:dyDescent="0.25">
      <c r="D34"/>
      <c r="E34"/>
      <c r="F34" s="1"/>
    </row>
    <row r="35" spans="4:6" x14ac:dyDescent="0.25">
      <c r="D35"/>
      <c r="E35"/>
      <c r="F35" s="1"/>
    </row>
    <row r="36" spans="4:6" x14ac:dyDescent="0.25">
      <c r="D36"/>
      <c r="E36"/>
      <c r="F36" s="1"/>
    </row>
    <row r="37" spans="4:6" x14ac:dyDescent="0.25">
      <c r="D37"/>
      <c r="E37"/>
      <c r="F37" s="1"/>
    </row>
    <row r="38" spans="4:6" x14ac:dyDescent="0.25">
      <c r="D38"/>
      <c r="E38"/>
      <c r="F38" s="1"/>
    </row>
    <row r="39" spans="4:6" x14ac:dyDescent="0.25">
      <c r="D39"/>
      <c r="E39"/>
      <c r="F39" s="1"/>
    </row>
    <row r="40" spans="4:6" x14ac:dyDescent="0.25">
      <c r="D40"/>
      <c r="E40"/>
      <c r="F40" s="1"/>
    </row>
    <row r="41" spans="4:6" x14ac:dyDescent="0.25">
      <c r="D41"/>
      <c r="E41"/>
      <c r="F41" s="1"/>
    </row>
    <row r="42" spans="4:6" x14ac:dyDescent="0.25">
      <c r="D42"/>
      <c r="E42"/>
      <c r="F42" s="1"/>
    </row>
    <row r="43" spans="4:6" x14ac:dyDescent="0.25">
      <c r="D43"/>
      <c r="E43"/>
      <c r="F43" s="1"/>
    </row>
    <row r="44" spans="4:6" x14ac:dyDescent="0.25">
      <c r="D44"/>
      <c r="E44"/>
      <c r="F44" s="1"/>
    </row>
    <row r="45" spans="4:6" x14ac:dyDescent="0.25">
      <c r="D45"/>
      <c r="E45"/>
      <c r="F45" s="1"/>
    </row>
    <row r="46" spans="4:6" x14ac:dyDescent="0.25">
      <c r="D46"/>
      <c r="E46"/>
      <c r="F46" s="1"/>
    </row>
    <row r="47" spans="4:6" x14ac:dyDescent="0.25">
      <c r="D47"/>
      <c r="E47"/>
      <c r="F47" s="1"/>
    </row>
    <row r="48" spans="4:6" x14ac:dyDescent="0.25">
      <c r="D48"/>
      <c r="E48"/>
      <c r="F48" s="1"/>
    </row>
    <row r="49" spans="4:6" x14ac:dyDescent="0.25">
      <c r="D49"/>
      <c r="E49"/>
      <c r="F49" s="1"/>
    </row>
    <row r="50" spans="4:6" x14ac:dyDescent="0.25">
      <c r="D50"/>
      <c r="E50"/>
      <c r="F50" s="1"/>
    </row>
    <row r="51" spans="4:6" x14ac:dyDescent="0.25">
      <c r="D51"/>
      <c r="E51"/>
      <c r="F51" s="1"/>
    </row>
    <row r="52" spans="4:6" x14ac:dyDescent="0.25">
      <c r="D52"/>
      <c r="E52"/>
      <c r="F52" s="1"/>
    </row>
    <row r="53" spans="4:6" x14ac:dyDescent="0.25">
      <c r="D53"/>
      <c r="E53"/>
      <c r="F53" s="1"/>
    </row>
    <row r="54" spans="4:6" x14ac:dyDescent="0.25">
      <c r="D54"/>
      <c r="E54"/>
      <c r="F54" s="1"/>
    </row>
    <row r="55" spans="4:6" x14ac:dyDescent="0.25">
      <c r="D55"/>
      <c r="E55"/>
      <c r="F55" s="1"/>
    </row>
    <row r="56" spans="4:6" x14ac:dyDescent="0.25">
      <c r="D56"/>
      <c r="E56"/>
      <c r="F56" s="1"/>
    </row>
    <row r="57" spans="4:6" x14ac:dyDescent="0.25">
      <c r="D57"/>
      <c r="E57"/>
      <c r="F57" s="1"/>
    </row>
    <row r="58" spans="4:6" x14ac:dyDescent="0.25">
      <c r="D58"/>
      <c r="E58"/>
      <c r="F58" s="1"/>
    </row>
    <row r="59" spans="4:6" x14ac:dyDescent="0.25">
      <c r="D59"/>
      <c r="E59"/>
      <c r="F59" s="1"/>
    </row>
    <row r="60" spans="4:6" x14ac:dyDescent="0.25">
      <c r="D60"/>
      <c r="E60"/>
      <c r="F60" s="1"/>
    </row>
    <row r="61" spans="4:6" x14ac:dyDescent="0.25">
      <c r="D61"/>
      <c r="E61"/>
      <c r="F61" s="1"/>
    </row>
    <row r="62" spans="4:6" x14ac:dyDescent="0.25">
      <c r="D62"/>
      <c r="E62"/>
      <c r="F62" s="1"/>
    </row>
    <row r="63" spans="4:6" x14ac:dyDescent="0.25">
      <c r="D63"/>
      <c r="E63"/>
      <c r="F63" s="1"/>
    </row>
    <row r="64" spans="4:6" x14ac:dyDescent="0.25">
      <c r="D64"/>
      <c r="E64"/>
      <c r="F64" s="1"/>
    </row>
    <row r="65" spans="4:6" x14ac:dyDescent="0.25">
      <c r="D65"/>
      <c r="E65"/>
      <c r="F65" s="1"/>
    </row>
    <row r="66" spans="4:6" x14ac:dyDescent="0.25">
      <c r="D66"/>
      <c r="E66"/>
      <c r="F66" s="1"/>
    </row>
    <row r="67" spans="4:6" x14ac:dyDescent="0.25">
      <c r="D67"/>
      <c r="E67"/>
      <c r="F67" s="1"/>
    </row>
    <row r="68" spans="4:6" x14ac:dyDescent="0.25">
      <c r="D68"/>
      <c r="E68"/>
      <c r="F68" s="1"/>
    </row>
    <row r="69" spans="4:6" x14ac:dyDescent="0.25">
      <c r="D69"/>
      <c r="E69"/>
      <c r="F69" s="1"/>
    </row>
    <row r="70" spans="4:6" x14ac:dyDescent="0.25">
      <c r="D70"/>
      <c r="E70"/>
      <c r="F70" s="1"/>
    </row>
    <row r="71" spans="4:6" x14ac:dyDescent="0.25">
      <c r="D71"/>
      <c r="E71"/>
      <c r="F71" s="1"/>
    </row>
    <row r="72" spans="4:6" x14ac:dyDescent="0.25">
      <c r="D72"/>
      <c r="E72"/>
      <c r="F72" s="1"/>
    </row>
    <row r="73" spans="4:6" x14ac:dyDescent="0.25">
      <c r="D73"/>
      <c r="E73"/>
      <c r="F73" s="1"/>
    </row>
    <row r="74" spans="4:6" x14ac:dyDescent="0.25">
      <c r="D74"/>
      <c r="E74"/>
      <c r="F74" s="1"/>
    </row>
    <row r="75" spans="4:6" x14ac:dyDescent="0.25">
      <c r="D75"/>
      <c r="E75"/>
      <c r="F75" s="1"/>
    </row>
    <row r="76" spans="4:6" x14ac:dyDescent="0.25">
      <c r="D76"/>
      <c r="E76"/>
      <c r="F76" s="1"/>
    </row>
    <row r="77" spans="4:6" x14ac:dyDescent="0.25">
      <c r="D77"/>
      <c r="E77"/>
      <c r="F77" s="1"/>
    </row>
    <row r="78" spans="4:6" x14ac:dyDescent="0.25">
      <c r="D78"/>
      <c r="E78"/>
      <c r="F78" s="1"/>
    </row>
    <row r="79" spans="4:6" x14ac:dyDescent="0.25">
      <c r="D79"/>
      <c r="E79"/>
      <c r="F79" s="1"/>
    </row>
    <row r="80" spans="4:6" x14ac:dyDescent="0.25">
      <c r="D80"/>
      <c r="E80"/>
      <c r="F80" s="1"/>
    </row>
    <row r="81" spans="4:6" x14ac:dyDescent="0.25">
      <c r="D81"/>
      <c r="E81"/>
      <c r="F81" s="1"/>
    </row>
    <row r="82" spans="4:6" x14ac:dyDescent="0.25">
      <c r="D82"/>
      <c r="E82"/>
      <c r="F82" s="1"/>
    </row>
    <row r="83" spans="4:6" x14ac:dyDescent="0.25">
      <c r="D83"/>
      <c r="E83"/>
      <c r="F83" s="1"/>
    </row>
    <row r="84" spans="4:6" x14ac:dyDescent="0.25">
      <c r="D84"/>
      <c r="E84"/>
      <c r="F84" s="1"/>
    </row>
    <row r="85" spans="4:6" x14ac:dyDescent="0.25">
      <c r="D85"/>
      <c r="E85"/>
      <c r="F85" s="1"/>
    </row>
    <row r="86" spans="4:6" x14ac:dyDescent="0.25">
      <c r="D86"/>
      <c r="E86"/>
      <c r="F86" s="1"/>
    </row>
    <row r="87" spans="4:6" x14ac:dyDescent="0.25">
      <c r="D87"/>
      <c r="E87"/>
      <c r="F87" s="1"/>
    </row>
    <row r="88" spans="4:6" x14ac:dyDescent="0.25">
      <c r="D88"/>
      <c r="E88"/>
      <c r="F88" s="1"/>
    </row>
    <row r="89" spans="4:6" x14ac:dyDescent="0.25">
      <c r="D89"/>
      <c r="E89"/>
      <c r="F89" s="1"/>
    </row>
    <row r="90" spans="4:6" x14ac:dyDescent="0.25">
      <c r="D90"/>
      <c r="E90"/>
      <c r="F90" s="1"/>
    </row>
    <row r="91" spans="4:6" x14ac:dyDescent="0.25">
      <c r="D91"/>
      <c r="E91"/>
      <c r="F91" s="1"/>
    </row>
    <row r="92" spans="4:6" x14ac:dyDescent="0.25">
      <c r="D92"/>
      <c r="E92"/>
      <c r="F92" s="1"/>
    </row>
    <row r="93" spans="4:6" x14ac:dyDescent="0.25">
      <c r="D93"/>
      <c r="E93"/>
      <c r="F93" s="1"/>
    </row>
    <row r="94" spans="4:6" x14ac:dyDescent="0.25">
      <c r="D94"/>
      <c r="E94"/>
      <c r="F94" s="1"/>
    </row>
    <row r="95" spans="4:6" x14ac:dyDescent="0.25">
      <c r="D95"/>
      <c r="E95"/>
      <c r="F95" s="1"/>
    </row>
    <row r="96" spans="4:6" x14ac:dyDescent="0.25">
      <c r="D96"/>
      <c r="E96"/>
      <c r="F96" s="1"/>
    </row>
    <row r="97" spans="4:6" x14ac:dyDescent="0.25">
      <c r="D97"/>
      <c r="E97"/>
      <c r="F97" s="1"/>
    </row>
    <row r="98" spans="4:6" x14ac:dyDescent="0.25">
      <c r="D98"/>
      <c r="E98"/>
      <c r="F98" s="1"/>
    </row>
    <row r="99" spans="4:6" x14ac:dyDescent="0.25">
      <c r="D99"/>
      <c r="E99"/>
      <c r="F99" s="1"/>
    </row>
    <row r="100" spans="4:6" x14ac:dyDescent="0.25">
      <c r="D100"/>
      <c r="E100"/>
      <c r="F100" s="1"/>
    </row>
    <row r="101" spans="4:6" x14ac:dyDescent="0.25">
      <c r="D101"/>
      <c r="E101"/>
      <c r="F101" s="1"/>
    </row>
    <row r="102" spans="4:6" x14ac:dyDescent="0.25">
      <c r="D102"/>
      <c r="E102"/>
      <c r="F102" s="1"/>
    </row>
    <row r="103" spans="4:6" x14ac:dyDescent="0.25">
      <c r="D103"/>
      <c r="E103"/>
      <c r="F103" s="1"/>
    </row>
    <row r="104" spans="4:6" x14ac:dyDescent="0.25">
      <c r="D104"/>
      <c r="E104"/>
      <c r="F104" s="1"/>
    </row>
    <row r="105" spans="4:6" x14ac:dyDescent="0.25">
      <c r="D105"/>
      <c r="E105"/>
      <c r="F105" s="1"/>
    </row>
    <row r="106" spans="4:6" x14ac:dyDescent="0.25">
      <c r="D106"/>
      <c r="E106"/>
      <c r="F106" s="1"/>
    </row>
    <row r="107" spans="4:6" x14ac:dyDescent="0.25">
      <c r="D107"/>
      <c r="E107"/>
      <c r="F107" s="1"/>
    </row>
    <row r="108" spans="4:6" x14ac:dyDescent="0.25">
      <c r="D108"/>
      <c r="E108"/>
      <c r="F108" s="1"/>
    </row>
    <row r="109" spans="4:6" x14ac:dyDescent="0.25">
      <c r="D109"/>
      <c r="E109"/>
      <c r="F109" s="1"/>
    </row>
    <row r="110" spans="4:6" x14ac:dyDescent="0.25">
      <c r="D110"/>
      <c r="E110"/>
      <c r="F110" s="1"/>
    </row>
    <row r="111" spans="4:6" x14ac:dyDescent="0.25">
      <c r="D111"/>
      <c r="E111"/>
      <c r="F111" s="1"/>
    </row>
    <row r="112" spans="4:6" x14ac:dyDescent="0.25">
      <c r="D112"/>
      <c r="E112"/>
      <c r="F112" s="1"/>
    </row>
    <row r="113" spans="4:6" x14ac:dyDescent="0.25">
      <c r="D113"/>
      <c r="E113"/>
      <c r="F113" s="1"/>
    </row>
    <row r="114" spans="4:6" x14ac:dyDescent="0.25">
      <c r="D114"/>
      <c r="E114"/>
      <c r="F114" s="1"/>
    </row>
    <row r="115" spans="4:6" x14ac:dyDescent="0.25">
      <c r="D115"/>
      <c r="E115"/>
      <c r="F115" s="1"/>
    </row>
    <row r="116" spans="4:6" x14ac:dyDescent="0.25">
      <c r="D116"/>
      <c r="E116"/>
      <c r="F116" s="1"/>
    </row>
    <row r="117" spans="4:6" x14ac:dyDescent="0.25">
      <c r="D117"/>
      <c r="E117"/>
      <c r="F117" s="1"/>
    </row>
    <row r="118" spans="4:6" x14ac:dyDescent="0.25">
      <c r="D118"/>
      <c r="E118"/>
      <c r="F118" s="1"/>
    </row>
    <row r="119" spans="4:6" x14ac:dyDescent="0.25">
      <c r="D119"/>
      <c r="E119"/>
      <c r="F119" s="1"/>
    </row>
    <row r="120" spans="4:6" x14ac:dyDescent="0.25">
      <c r="D120"/>
      <c r="E120"/>
      <c r="F120" s="1"/>
    </row>
    <row r="121" spans="4:6" x14ac:dyDescent="0.25">
      <c r="D121"/>
      <c r="E121"/>
      <c r="F121" s="1"/>
    </row>
    <row r="122" spans="4:6" x14ac:dyDescent="0.25">
      <c r="D122"/>
      <c r="E122"/>
      <c r="F122" s="1"/>
    </row>
    <row r="123" spans="4:6" x14ac:dyDescent="0.25">
      <c r="D123"/>
      <c r="E123"/>
      <c r="F123" s="1"/>
    </row>
    <row r="124" spans="4:6" x14ac:dyDescent="0.25">
      <c r="D124"/>
      <c r="E124"/>
      <c r="F124" s="1"/>
    </row>
    <row r="125" spans="4:6" x14ac:dyDescent="0.25">
      <c r="D125"/>
      <c r="E125"/>
      <c r="F125" s="1"/>
    </row>
    <row r="126" spans="4:6" x14ac:dyDescent="0.25">
      <c r="D126"/>
      <c r="E126"/>
      <c r="F126" s="1"/>
    </row>
    <row r="127" spans="4:6" x14ac:dyDescent="0.25">
      <c r="D127"/>
      <c r="E127"/>
      <c r="F127" s="1"/>
    </row>
    <row r="128" spans="4:6" x14ac:dyDescent="0.25">
      <c r="D128"/>
      <c r="E128"/>
      <c r="F128" s="1"/>
    </row>
    <row r="129" spans="4:6" x14ac:dyDescent="0.25">
      <c r="D129"/>
      <c r="E129"/>
      <c r="F129" s="1"/>
    </row>
    <row r="130" spans="4:6" x14ac:dyDescent="0.25">
      <c r="D130"/>
      <c r="E130"/>
      <c r="F130" s="1"/>
    </row>
    <row r="131" spans="4:6" x14ac:dyDescent="0.25">
      <c r="D131"/>
      <c r="E131"/>
      <c r="F131" s="1"/>
    </row>
    <row r="132" spans="4:6" x14ac:dyDescent="0.25">
      <c r="D132"/>
      <c r="E132"/>
      <c r="F132" s="1"/>
    </row>
    <row r="133" spans="4:6" x14ac:dyDescent="0.25">
      <c r="D133"/>
      <c r="E133"/>
      <c r="F133" s="1"/>
    </row>
    <row r="134" spans="4:6" x14ac:dyDescent="0.25">
      <c r="D134"/>
      <c r="E134"/>
      <c r="F134" s="1"/>
    </row>
    <row r="135" spans="4:6" x14ac:dyDescent="0.25">
      <c r="D135"/>
      <c r="E135"/>
      <c r="F135" s="1"/>
    </row>
    <row r="136" spans="4:6" x14ac:dyDescent="0.25">
      <c r="D136"/>
      <c r="E136"/>
      <c r="F136" s="1"/>
    </row>
    <row r="137" spans="4:6" x14ac:dyDescent="0.25">
      <c r="D137"/>
      <c r="E137"/>
      <c r="F137" s="1"/>
    </row>
    <row r="138" spans="4:6" x14ac:dyDescent="0.25">
      <c r="D138"/>
      <c r="E138"/>
      <c r="F138" s="1"/>
    </row>
    <row r="139" spans="4:6" x14ac:dyDescent="0.25">
      <c r="D139"/>
      <c r="E139"/>
      <c r="F139" s="1"/>
    </row>
    <row r="140" spans="4:6" x14ac:dyDescent="0.25">
      <c r="D140"/>
      <c r="E140"/>
      <c r="F140" s="1"/>
    </row>
    <row r="141" spans="4:6" x14ac:dyDescent="0.25">
      <c r="D141"/>
      <c r="E141"/>
      <c r="F141" s="1"/>
    </row>
    <row r="142" spans="4:6" x14ac:dyDescent="0.25">
      <c r="D142"/>
      <c r="E142"/>
      <c r="F142" s="1"/>
    </row>
    <row r="143" spans="4:6" x14ac:dyDescent="0.25">
      <c r="D143"/>
      <c r="E143"/>
      <c r="F143" s="1"/>
    </row>
    <row r="144" spans="4:6" x14ac:dyDescent="0.25">
      <c r="D144"/>
      <c r="E144"/>
      <c r="F144" s="1"/>
    </row>
    <row r="145" spans="4:6" x14ac:dyDescent="0.25">
      <c r="D145"/>
      <c r="E145"/>
      <c r="F145" s="1"/>
    </row>
    <row r="146" spans="4:6" x14ac:dyDescent="0.25">
      <c r="D146"/>
      <c r="E146"/>
      <c r="F146" s="1"/>
    </row>
    <row r="147" spans="4:6" x14ac:dyDescent="0.25">
      <c r="D147"/>
      <c r="E147"/>
      <c r="F147" s="1"/>
    </row>
    <row r="148" spans="4:6" x14ac:dyDescent="0.25">
      <c r="D148"/>
      <c r="E148"/>
      <c r="F148" s="1"/>
    </row>
    <row r="149" spans="4:6" x14ac:dyDescent="0.25">
      <c r="D149"/>
      <c r="E149"/>
      <c r="F149" s="1"/>
    </row>
    <row r="150" spans="4:6" x14ac:dyDescent="0.25">
      <c r="D150"/>
      <c r="E150"/>
      <c r="F150" s="1"/>
    </row>
    <row r="151" spans="4:6" x14ac:dyDescent="0.25">
      <c r="D151"/>
      <c r="E151"/>
      <c r="F151" s="1"/>
    </row>
    <row r="152" spans="4:6" x14ac:dyDescent="0.25">
      <c r="D152"/>
      <c r="E152"/>
      <c r="F152" s="1"/>
    </row>
    <row r="153" spans="4:6" x14ac:dyDescent="0.25">
      <c r="D153"/>
      <c r="E153"/>
      <c r="F153" s="1"/>
    </row>
    <row r="154" spans="4:6" x14ac:dyDescent="0.25">
      <c r="D154"/>
      <c r="E154"/>
      <c r="F154" s="1"/>
    </row>
    <row r="155" spans="4:6" x14ac:dyDescent="0.25">
      <c r="D155"/>
      <c r="E155"/>
      <c r="F155" s="1"/>
    </row>
    <row r="156" spans="4:6" x14ac:dyDescent="0.25">
      <c r="D156"/>
      <c r="E156"/>
      <c r="F156" s="1"/>
    </row>
    <row r="157" spans="4:6" x14ac:dyDescent="0.25">
      <c r="D157"/>
      <c r="E157"/>
      <c r="F157" s="1"/>
    </row>
    <row r="158" spans="4:6" x14ac:dyDescent="0.25">
      <c r="D158"/>
      <c r="E158"/>
      <c r="F158" s="1"/>
    </row>
    <row r="159" spans="4:6" x14ac:dyDescent="0.25">
      <c r="D159"/>
      <c r="E159"/>
      <c r="F159" s="1"/>
    </row>
    <row r="160" spans="4:6" x14ac:dyDescent="0.25">
      <c r="D160"/>
      <c r="E160"/>
      <c r="F160" s="1"/>
    </row>
    <row r="161" spans="4:6" x14ac:dyDescent="0.25">
      <c r="D161"/>
      <c r="E161"/>
      <c r="F161" s="1"/>
    </row>
    <row r="162" spans="4:6" x14ac:dyDescent="0.25">
      <c r="D162"/>
      <c r="E162"/>
      <c r="F162" s="1"/>
    </row>
    <row r="163" spans="4:6" x14ac:dyDescent="0.25">
      <c r="D163"/>
      <c r="E163"/>
      <c r="F163" s="1"/>
    </row>
    <row r="164" spans="4:6" x14ac:dyDescent="0.25">
      <c r="D164"/>
      <c r="E164"/>
      <c r="F164" s="1"/>
    </row>
    <row r="165" spans="4:6" x14ac:dyDescent="0.25">
      <c r="D165"/>
      <c r="E165"/>
      <c r="F165" s="1"/>
    </row>
    <row r="166" spans="4:6" x14ac:dyDescent="0.25">
      <c r="D166"/>
      <c r="E166"/>
      <c r="F166" s="1"/>
    </row>
    <row r="167" spans="4:6" x14ac:dyDescent="0.25">
      <c r="D167"/>
      <c r="E167"/>
      <c r="F167" s="1"/>
    </row>
    <row r="168" spans="4:6" x14ac:dyDescent="0.25">
      <c r="D168"/>
      <c r="E168"/>
      <c r="F168" s="1"/>
    </row>
    <row r="169" spans="4:6" x14ac:dyDescent="0.25">
      <c r="D169"/>
      <c r="E169"/>
      <c r="F169" s="1"/>
    </row>
    <row r="170" spans="4:6" x14ac:dyDescent="0.25">
      <c r="D170"/>
      <c r="E170"/>
      <c r="F170" s="1"/>
    </row>
    <row r="171" spans="4:6" x14ac:dyDescent="0.25">
      <c r="D171"/>
      <c r="E171"/>
      <c r="F171" s="1"/>
    </row>
    <row r="172" spans="4:6" x14ac:dyDescent="0.25">
      <c r="D172"/>
      <c r="E172"/>
      <c r="F172" s="1"/>
    </row>
    <row r="173" spans="4:6" x14ac:dyDescent="0.25">
      <c r="D173"/>
      <c r="E173"/>
      <c r="F173" s="1"/>
    </row>
    <row r="174" spans="4:6" x14ac:dyDescent="0.25">
      <c r="D174"/>
      <c r="E174"/>
      <c r="F174" s="1"/>
    </row>
    <row r="175" spans="4:6" x14ac:dyDescent="0.25">
      <c r="D175"/>
      <c r="E175"/>
      <c r="F175" s="1"/>
    </row>
    <row r="176" spans="4:6" x14ac:dyDescent="0.25">
      <c r="D176"/>
      <c r="E176"/>
      <c r="F176" s="1"/>
    </row>
    <row r="177" spans="4:6" x14ac:dyDescent="0.25">
      <c r="D177"/>
      <c r="E177"/>
      <c r="F177" s="1"/>
    </row>
    <row r="178" spans="4:6" x14ac:dyDescent="0.25">
      <c r="D178"/>
      <c r="E178"/>
      <c r="F178" s="1"/>
    </row>
    <row r="179" spans="4:6" x14ac:dyDescent="0.25">
      <c r="D179"/>
      <c r="E179"/>
      <c r="F179" s="1"/>
    </row>
    <row r="180" spans="4:6" x14ac:dyDescent="0.25">
      <c r="D180"/>
      <c r="E180"/>
      <c r="F180" s="1"/>
    </row>
    <row r="181" spans="4:6" x14ac:dyDescent="0.25">
      <c r="D181"/>
      <c r="E181"/>
      <c r="F181" s="1"/>
    </row>
    <row r="182" spans="4:6" x14ac:dyDescent="0.25">
      <c r="D182"/>
      <c r="E182"/>
      <c r="F182" s="1"/>
    </row>
    <row r="183" spans="4:6" x14ac:dyDescent="0.25">
      <c r="D183"/>
      <c r="E183"/>
      <c r="F183" s="1"/>
    </row>
    <row r="184" spans="4:6" x14ac:dyDescent="0.25">
      <c r="D184"/>
      <c r="E184"/>
      <c r="F184" s="1"/>
    </row>
    <row r="185" spans="4:6" x14ac:dyDescent="0.25">
      <c r="D185"/>
      <c r="E185"/>
      <c r="F185" s="1"/>
    </row>
    <row r="186" spans="4:6" x14ac:dyDescent="0.25">
      <c r="D186"/>
      <c r="E186"/>
      <c r="F186" s="1"/>
    </row>
    <row r="187" spans="4:6" x14ac:dyDescent="0.25">
      <c r="D187"/>
      <c r="E187"/>
      <c r="F187" s="1"/>
    </row>
    <row r="188" spans="4:6" x14ac:dyDescent="0.25">
      <c r="D188"/>
      <c r="E188"/>
      <c r="F188" s="1"/>
    </row>
    <row r="189" spans="4:6" x14ac:dyDescent="0.25">
      <c r="D189"/>
      <c r="E189"/>
      <c r="F189" s="1"/>
    </row>
    <row r="190" spans="4:6" x14ac:dyDescent="0.25">
      <c r="D190"/>
      <c r="E190"/>
      <c r="F190" s="1"/>
    </row>
    <row r="191" spans="4:6" x14ac:dyDescent="0.25">
      <c r="D191"/>
      <c r="E191"/>
      <c r="F191" s="1"/>
    </row>
    <row r="192" spans="4:6" x14ac:dyDescent="0.25">
      <c r="D192"/>
      <c r="E192"/>
      <c r="F192" s="1"/>
    </row>
    <row r="193" spans="4:6" x14ac:dyDescent="0.25">
      <c r="D193"/>
      <c r="E193"/>
      <c r="F193" s="1"/>
    </row>
    <row r="194" spans="4:6" x14ac:dyDescent="0.25">
      <c r="D194"/>
      <c r="E194"/>
      <c r="F194" s="1"/>
    </row>
    <row r="195" spans="4:6" x14ac:dyDescent="0.25">
      <c r="D195"/>
      <c r="E195"/>
      <c r="F195" s="1"/>
    </row>
    <row r="196" spans="4:6" x14ac:dyDescent="0.25">
      <c r="D196"/>
      <c r="E196"/>
      <c r="F196" s="1"/>
    </row>
    <row r="197" spans="4:6" x14ac:dyDescent="0.25">
      <c r="D197"/>
      <c r="E197"/>
      <c r="F197" s="1"/>
    </row>
    <row r="198" spans="4:6" x14ac:dyDescent="0.25">
      <c r="D198"/>
      <c r="E198"/>
      <c r="F198" s="1"/>
    </row>
    <row r="199" spans="4:6" x14ac:dyDescent="0.25">
      <c r="D199"/>
      <c r="E199"/>
      <c r="F199" s="1"/>
    </row>
    <row r="200" spans="4:6" x14ac:dyDescent="0.25">
      <c r="D200"/>
      <c r="E200"/>
      <c r="F200" s="1"/>
    </row>
    <row r="201" spans="4:6" x14ac:dyDescent="0.25">
      <c r="D201"/>
      <c r="E201"/>
      <c r="F201" s="1"/>
    </row>
    <row r="202" spans="4:6" x14ac:dyDescent="0.25">
      <c r="D202"/>
      <c r="E202"/>
      <c r="F202" s="1"/>
    </row>
    <row r="203" spans="4:6" x14ac:dyDescent="0.25">
      <c r="D203"/>
      <c r="E203"/>
      <c r="F203" s="1"/>
    </row>
    <row r="204" spans="4:6" x14ac:dyDescent="0.25">
      <c r="D204"/>
      <c r="E204"/>
      <c r="F204" s="1"/>
    </row>
    <row r="205" spans="4:6" x14ac:dyDescent="0.25">
      <c r="D205"/>
      <c r="E205"/>
      <c r="F205" s="1"/>
    </row>
    <row r="206" spans="4:6" x14ac:dyDescent="0.25">
      <c r="D206"/>
      <c r="E206"/>
      <c r="F206" s="1"/>
    </row>
    <row r="207" spans="4:6" x14ac:dyDescent="0.25">
      <c r="D207"/>
      <c r="E207"/>
      <c r="F207" s="1"/>
    </row>
    <row r="208" spans="4:6" x14ac:dyDescent="0.25">
      <c r="D208"/>
      <c r="E208"/>
      <c r="F208" s="1"/>
    </row>
    <row r="209" spans="4:6" x14ac:dyDescent="0.25">
      <c r="D209"/>
      <c r="E209"/>
      <c r="F209" s="1"/>
    </row>
    <row r="210" spans="4:6" x14ac:dyDescent="0.25">
      <c r="D210"/>
      <c r="E210"/>
      <c r="F210" s="1"/>
    </row>
    <row r="211" spans="4:6" x14ac:dyDescent="0.25">
      <c r="D211"/>
      <c r="E211"/>
      <c r="F211" s="1"/>
    </row>
    <row r="212" spans="4:6" x14ac:dyDescent="0.25">
      <c r="D212"/>
      <c r="E212"/>
      <c r="F212" s="1"/>
    </row>
    <row r="213" spans="4:6" x14ac:dyDescent="0.25">
      <c r="D213"/>
      <c r="E213"/>
      <c r="F213" s="1"/>
    </row>
    <row r="214" spans="4:6" x14ac:dyDescent="0.25">
      <c r="D214"/>
      <c r="E214"/>
      <c r="F214" s="1"/>
    </row>
    <row r="215" spans="4:6" x14ac:dyDescent="0.25">
      <c r="D215"/>
      <c r="E215"/>
      <c r="F215" s="1"/>
    </row>
    <row r="216" spans="4:6" x14ac:dyDescent="0.25">
      <c r="D216"/>
      <c r="E216"/>
      <c r="F216" s="1"/>
    </row>
    <row r="217" spans="4:6" x14ac:dyDescent="0.25">
      <c r="D217"/>
      <c r="E217"/>
      <c r="F217" s="1"/>
    </row>
    <row r="218" spans="4:6" x14ac:dyDescent="0.25">
      <c r="D218"/>
      <c r="E218"/>
      <c r="F218" s="1"/>
    </row>
    <row r="219" spans="4:6" x14ac:dyDescent="0.25">
      <c r="D219"/>
      <c r="E219"/>
      <c r="F219" s="1"/>
    </row>
    <row r="220" spans="4:6" x14ac:dyDescent="0.25">
      <c r="D220"/>
      <c r="E220"/>
      <c r="F220" s="1"/>
    </row>
    <row r="221" spans="4:6" x14ac:dyDescent="0.25">
      <c r="D221"/>
      <c r="E221"/>
      <c r="F221" s="1"/>
    </row>
    <row r="222" spans="4:6" x14ac:dyDescent="0.25">
      <c r="D222"/>
      <c r="E222"/>
      <c r="F222" s="1"/>
    </row>
    <row r="223" spans="4:6" x14ac:dyDescent="0.25">
      <c r="D223"/>
      <c r="E223"/>
      <c r="F223" s="1"/>
    </row>
    <row r="224" spans="4:6" x14ac:dyDescent="0.25">
      <c r="D224"/>
      <c r="E224"/>
      <c r="F224" s="1"/>
    </row>
    <row r="225" spans="4:6" x14ac:dyDescent="0.25">
      <c r="D225"/>
      <c r="E225"/>
      <c r="F225" s="1"/>
    </row>
    <row r="226" spans="4:6" x14ac:dyDescent="0.25">
      <c r="F226" s="29"/>
    </row>
    <row r="227" spans="4:6" x14ac:dyDescent="0.25">
      <c r="F227" s="29"/>
    </row>
    <row r="228" spans="4:6" x14ac:dyDescent="0.25">
      <c r="F228" s="29"/>
    </row>
    <row r="229" spans="4:6" x14ac:dyDescent="0.25">
      <c r="F229" s="29"/>
    </row>
    <row r="230" spans="4:6" x14ac:dyDescent="0.25">
      <c r="F230" s="29"/>
    </row>
    <row r="231" spans="4:6" x14ac:dyDescent="0.25">
      <c r="F231" s="29"/>
    </row>
    <row r="232" spans="4:6" x14ac:dyDescent="0.25">
      <c r="F232" s="29"/>
    </row>
    <row r="233" spans="4:6" x14ac:dyDescent="0.25">
      <c r="F233" s="29"/>
    </row>
    <row r="234" spans="4:6" x14ac:dyDescent="0.25">
      <c r="F234" s="29"/>
    </row>
    <row r="235" spans="4:6" x14ac:dyDescent="0.25">
      <c r="F235" s="29"/>
    </row>
    <row r="236" spans="4:6" x14ac:dyDescent="0.25">
      <c r="F236" s="29"/>
    </row>
    <row r="237" spans="4:6" x14ac:dyDescent="0.25">
      <c r="F237" s="29"/>
    </row>
    <row r="238" spans="4:6" x14ac:dyDescent="0.25">
      <c r="F238" s="29"/>
    </row>
    <row r="239" spans="4:6" x14ac:dyDescent="0.25">
      <c r="F239" s="29"/>
    </row>
    <row r="240" spans="4:6" x14ac:dyDescent="0.25">
      <c r="F240" s="29"/>
    </row>
    <row r="241" spans="6:6" x14ac:dyDescent="0.25">
      <c r="F241" s="29"/>
    </row>
    <row r="242" spans="6:6" x14ac:dyDescent="0.25">
      <c r="F242" s="29"/>
    </row>
    <row r="243" spans="6:6" x14ac:dyDescent="0.25">
      <c r="F243" s="29"/>
    </row>
    <row r="244" spans="6:6" x14ac:dyDescent="0.25">
      <c r="F244" s="29"/>
    </row>
    <row r="245" spans="6:6" x14ac:dyDescent="0.25">
      <c r="F245" s="29"/>
    </row>
    <row r="246" spans="6:6" x14ac:dyDescent="0.25">
      <c r="F246" s="29"/>
    </row>
    <row r="247" spans="6:6" x14ac:dyDescent="0.25">
      <c r="F247" s="29"/>
    </row>
    <row r="248" spans="6:6" x14ac:dyDescent="0.25">
      <c r="F248" s="29"/>
    </row>
    <row r="249" spans="6:6" x14ac:dyDescent="0.25">
      <c r="F249" s="29"/>
    </row>
    <row r="250" spans="6:6" x14ac:dyDescent="0.25">
      <c r="F250" s="29"/>
    </row>
    <row r="251" spans="6:6" x14ac:dyDescent="0.25">
      <c r="F251" s="29"/>
    </row>
    <row r="252" spans="6:6" x14ac:dyDescent="0.25">
      <c r="F252" s="29"/>
    </row>
    <row r="253" spans="6:6" x14ac:dyDescent="0.25">
      <c r="F253" s="29"/>
    </row>
    <row r="254" spans="6:6" x14ac:dyDescent="0.25">
      <c r="F254" s="29"/>
    </row>
    <row r="255" spans="6:6" x14ac:dyDescent="0.25">
      <c r="F255" s="29"/>
    </row>
    <row r="256" spans="6:6" x14ac:dyDescent="0.25">
      <c r="F256" s="29"/>
    </row>
    <row r="257" spans="6:6" x14ac:dyDescent="0.25">
      <c r="F257" s="29"/>
    </row>
    <row r="258" spans="6:6" x14ac:dyDescent="0.25">
      <c r="F258" s="29"/>
    </row>
    <row r="259" spans="6:6" x14ac:dyDescent="0.25">
      <c r="F259" s="29"/>
    </row>
    <row r="260" spans="6:6" x14ac:dyDescent="0.25">
      <c r="F260" s="29"/>
    </row>
    <row r="261" spans="6:6" x14ac:dyDescent="0.25">
      <c r="F261" s="29"/>
    </row>
    <row r="262" spans="6:6" x14ac:dyDescent="0.25">
      <c r="F262" s="29"/>
    </row>
    <row r="263" spans="6:6" x14ac:dyDescent="0.25">
      <c r="F263" s="29"/>
    </row>
    <row r="264" spans="6:6" x14ac:dyDescent="0.25">
      <c r="F264" s="29"/>
    </row>
    <row r="265" spans="6:6" x14ac:dyDescent="0.25">
      <c r="F265" s="29"/>
    </row>
    <row r="266" spans="6:6" x14ac:dyDescent="0.25">
      <c r="F266" s="29"/>
    </row>
    <row r="267" spans="6:6" x14ac:dyDescent="0.25">
      <c r="F267" s="29"/>
    </row>
    <row r="268" spans="6:6" x14ac:dyDescent="0.25">
      <c r="F268" s="29"/>
    </row>
    <row r="269" spans="6:6" x14ac:dyDescent="0.25">
      <c r="F269" s="29"/>
    </row>
    <row r="270" spans="6:6" x14ac:dyDescent="0.25">
      <c r="F270" s="29"/>
    </row>
    <row r="271" spans="6:6" x14ac:dyDescent="0.25">
      <c r="F271" s="29"/>
    </row>
    <row r="272" spans="6:6" x14ac:dyDescent="0.25">
      <c r="F272" s="29"/>
    </row>
    <row r="273" spans="6:6" x14ac:dyDescent="0.25">
      <c r="F273" s="29"/>
    </row>
    <row r="274" spans="6:6" x14ac:dyDescent="0.25">
      <c r="F274" s="29"/>
    </row>
    <row r="275" spans="6:6" x14ac:dyDescent="0.25">
      <c r="F275" s="29"/>
    </row>
    <row r="276" spans="6:6" x14ac:dyDescent="0.25">
      <c r="F276" s="29"/>
    </row>
    <row r="277" spans="6:6" x14ac:dyDescent="0.25">
      <c r="F277" s="29"/>
    </row>
    <row r="278" spans="6:6" x14ac:dyDescent="0.25">
      <c r="F278" s="29"/>
    </row>
    <row r="279" spans="6:6" x14ac:dyDescent="0.25">
      <c r="F279" s="29"/>
    </row>
    <row r="280" spans="6:6" x14ac:dyDescent="0.25">
      <c r="F280" s="29"/>
    </row>
    <row r="281" spans="6:6" x14ac:dyDescent="0.25">
      <c r="F281" s="29"/>
    </row>
    <row r="282" spans="6:6" x14ac:dyDescent="0.25">
      <c r="F282" s="29"/>
    </row>
    <row r="283" spans="6:6" x14ac:dyDescent="0.25">
      <c r="F283" s="29"/>
    </row>
    <row r="284" spans="6:6" x14ac:dyDescent="0.25">
      <c r="F284" s="29"/>
    </row>
    <row r="285" spans="6:6" x14ac:dyDescent="0.25">
      <c r="F285" s="29"/>
    </row>
    <row r="286" spans="6:6" x14ac:dyDescent="0.25">
      <c r="F286" s="29"/>
    </row>
    <row r="287" spans="6:6" x14ac:dyDescent="0.25">
      <c r="F287" s="29"/>
    </row>
    <row r="288" spans="6:6" x14ac:dyDescent="0.25">
      <c r="F288" s="29"/>
    </row>
    <row r="289" spans="6:6" x14ac:dyDescent="0.25">
      <c r="F289" s="29"/>
    </row>
    <row r="290" spans="6:6" x14ac:dyDescent="0.25">
      <c r="F290" s="29"/>
    </row>
    <row r="291" spans="6:6" x14ac:dyDescent="0.25">
      <c r="F291" s="29"/>
    </row>
    <row r="292" spans="6:6" x14ac:dyDescent="0.25">
      <c r="F292" s="29"/>
    </row>
    <row r="293" spans="6:6" x14ac:dyDescent="0.25">
      <c r="F293" s="29"/>
    </row>
    <row r="294" spans="6:6" x14ac:dyDescent="0.25">
      <c r="F294" s="29"/>
    </row>
    <row r="295" spans="6:6" x14ac:dyDescent="0.25">
      <c r="F295" s="29"/>
    </row>
    <row r="296" spans="6:6" x14ac:dyDescent="0.25">
      <c r="F296" s="29"/>
    </row>
    <row r="297" spans="6:6" x14ac:dyDescent="0.25">
      <c r="F297" s="29"/>
    </row>
    <row r="298" spans="6:6" x14ac:dyDescent="0.25">
      <c r="F298" s="29"/>
    </row>
    <row r="299" spans="6:6" x14ac:dyDescent="0.25">
      <c r="F299" s="29"/>
    </row>
    <row r="300" spans="6:6" x14ac:dyDescent="0.25">
      <c r="F300" s="29"/>
    </row>
    <row r="301" spans="6:6" x14ac:dyDescent="0.25">
      <c r="F301" s="29"/>
    </row>
    <row r="302" spans="6:6" x14ac:dyDescent="0.25">
      <c r="F302" s="29"/>
    </row>
    <row r="303" spans="6:6" x14ac:dyDescent="0.25">
      <c r="F303" s="29"/>
    </row>
    <row r="304" spans="6:6" x14ac:dyDescent="0.25">
      <c r="F304" s="29"/>
    </row>
    <row r="305" spans="6:6" x14ac:dyDescent="0.25">
      <c r="F305" s="29"/>
    </row>
    <row r="306" spans="6:6" x14ac:dyDescent="0.25">
      <c r="F306" s="29"/>
    </row>
    <row r="307" spans="6:6" x14ac:dyDescent="0.25">
      <c r="F307" s="29"/>
    </row>
    <row r="308" spans="6:6" x14ac:dyDescent="0.25">
      <c r="F308" s="29"/>
    </row>
    <row r="309" spans="6:6" x14ac:dyDescent="0.25">
      <c r="F309" s="29"/>
    </row>
    <row r="310" spans="6:6" x14ac:dyDescent="0.25">
      <c r="F310" s="29"/>
    </row>
    <row r="311" spans="6:6" x14ac:dyDescent="0.25">
      <c r="F311" s="29"/>
    </row>
    <row r="312" spans="6:6" x14ac:dyDescent="0.25">
      <c r="F312" s="29"/>
    </row>
    <row r="313" spans="6:6" x14ac:dyDescent="0.25">
      <c r="F313" s="29"/>
    </row>
    <row r="314" spans="6:6" x14ac:dyDescent="0.25">
      <c r="F314" s="29"/>
    </row>
    <row r="315" spans="6:6" x14ac:dyDescent="0.25">
      <c r="F315" s="29"/>
    </row>
    <row r="316" spans="6:6" x14ac:dyDescent="0.25">
      <c r="F316" s="29"/>
    </row>
    <row r="317" spans="6:6" x14ac:dyDescent="0.25">
      <c r="F317" s="29"/>
    </row>
    <row r="318" spans="6:6" x14ac:dyDescent="0.25">
      <c r="F318" s="29"/>
    </row>
    <row r="319" spans="6:6" x14ac:dyDescent="0.25">
      <c r="F319" s="29"/>
    </row>
    <row r="320" spans="6:6" x14ac:dyDescent="0.25">
      <c r="F320" s="29"/>
    </row>
    <row r="321" spans="6:6" x14ac:dyDescent="0.25">
      <c r="F321" s="29"/>
    </row>
    <row r="322" spans="6:6" x14ac:dyDescent="0.25">
      <c r="F322" s="29"/>
    </row>
    <row r="323" spans="6:6" x14ac:dyDescent="0.25">
      <c r="F323" s="29"/>
    </row>
    <row r="324" spans="6:6" x14ac:dyDescent="0.25">
      <c r="F324" s="29"/>
    </row>
    <row r="325" spans="6:6" x14ac:dyDescent="0.25">
      <c r="F325" s="29"/>
    </row>
    <row r="326" spans="6:6" x14ac:dyDescent="0.25">
      <c r="F326" s="29"/>
    </row>
    <row r="327" spans="6:6" x14ac:dyDescent="0.25">
      <c r="F327" s="29"/>
    </row>
    <row r="328" spans="6:6" x14ac:dyDescent="0.25">
      <c r="F328" s="29"/>
    </row>
    <row r="329" spans="6:6" x14ac:dyDescent="0.25">
      <c r="F329" s="29"/>
    </row>
    <row r="330" spans="6:6" x14ac:dyDescent="0.25">
      <c r="F330" s="29"/>
    </row>
    <row r="331" spans="6:6" x14ac:dyDescent="0.25">
      <c r="F331" s="29"/>
    </row>
    <row r="332" spans="6:6" x14ac:dyDescent="0.25">
      <c r="F332" s="29"/>
    </row>
    <row r="333" spans="6:6" x14ac:dyDescent="0.25">
      <c r="F333" s="29"/>
    </row>
    <row r="334" spans="6:6" x14ac:dyDescent="0.25">
      <c r="F334" s="29"/>
    </row>
    <row r="335" spans="6:6" x14ac:dyDescent="0.25">
      <c r="F335" s="29"/>
    </row>
    <row r="336" spans="6:6" x14ac:dyDescent="0.25">
      <c r="F336" s="29"/>
    </row>
    <row r="337" spans="6:6" x14ac:dyDescent="0.25">
      <c r="F337" s="29"/>
    </row>
    <row r="338" spans="6:6" x14ac:dyDescent="0.25">
      <c r="F338" s="29"/>
    </row>
    <row r="339" spans="6:6" x14ac:dyDescent="0.25">
      <c r="F339" s="29"/>
    </row>
    <row r="340" spans="6:6" x14ac:dyDescent="0.25">
      <c r="F340" s="29"/>
    </row>
    <row r="341" spans="6:6" x14ac:dyDescent="0.25">
      <c r="F341" s="29"/>
    </row>
    <row r="342" spans="6:6" x14ac:dyDescent="0.25">
      <c r="F342" s="29"/>
    </row>
    <row r="343" spans="6:6" x14ac:dyDescent="0.25">
      <c r="F343" s="29"/>
    </row>
    <row r="344" spans="6:6" x14ac:dyDescent="0.25">
      <c r="F344" s="29"/>
    </row>
    <row r="345" spans="6:6" x14ac:dyDescent="0.25">
      <c r="F345" s="29"/>
    </row>
    <row r="346" spans="6:6" x14ac:dyDescent="0.25">
      <c r="F346" s="29"/>
    </row>
    <row r="347" spans="6:6" x14ac:dyDescent="0.25">
      <c r="F347" s="29"/>
    </row>
    <row r="348" spans="6:6" x14ac:dyDescent="0.25">
      <c r="F348" s="29"/>
    </row>
    <row r="349" spans="6:6" x14ac:dyDescent="0.25">
      <c r="F349" s="29"/>
    </row>
    <row r="350" spans="6:6" x14ac:dyDescent="0.25">
      <c r="F350" s="29"/>
    </row>
    <row r="351" spans="6:6" x14ac:dyDescent="0.25">
      <c r="F351" s="29"/>
    </row>
    <row r="352" spans="6:6" x14ac:dyDescent="0.25">
      <c r="F352" s="29"/>
    </row>
    <row r="353" spans="6:6" x14ac:dyDescent="0.25">
      <c r="F353" s="29"/>
    </row>
    <row r="354" spans="6:6" x14ac:dyDescent="0.25">
      <c r="F354" s="29"/>
    </row>
    <row r="355" spans="6:6" x14ac:dyDescent="0.25">
      <c r="F355" s="29"/>
    </row>
    <row r="356" spans="6:6" x14ac:dyDescent="0.25">
      <c r="F356" s="29"/>
    </row>
    <row r="357" spans="6:6" x14ac:dyDescent="0.25">
      <c r="F357" s="29"/>
    </row>
    <row r="358" spans="6:6" x14ac:dyDescent="0.25">
      <c r="F358" s="29"/>
    </row>
    <row r="359" spans="6:6" x14ac:dyDescent="0.25">
      <c r="F359" s="29"/>
    </row>
    <row r="360" spans="6:6" x14ac:dyDescent="0.25">
      <c r="F360" s="29"/>
    </row>
    <row r="361" spans="6:6" x14ac:dyDescent="0.25">
      <c r="F361" s="29"/>
    </row>
    <row r="362" spans="6:6" x14ac:dyDescent="0.25">
      <c r="F362" s="29"/>
    </row>
    <row r="363" spans="6:6" x14ac:dyDescent="0.25">
      <c r="F363" s="29"/>
    </row>
    <row r="364" spans="6:6" x14ac:dyDescent="0.25">
      <c r="F364" s="29"/>
    </row>
    <row r="365" spans="6:6" x14ac:dyDescent="0.25">
      <c r="F365" s="29"/>
    </row>
    <row r="366" spans="6:6" x14ac:dyDescent="0.25">
      <c r="F366" s="29"/>
    </row>
    <row r="367" spans="6:6" x14ac:dyDescent="0.25">
      <c r="F367" s="29"/>
    </row>
    <row r="368" spans="6:6" x14ac:dyDescent="0.25">
      <c r="F368" s="29"/>
    </row>
    <row r="369" spans="6:6" x14ac:dyDescent="0.25">
      <c r="F369" s="29"/>
    </row>
    <row r="370" spans="6:6" x14ac:dyDescent="0.25">
      <c r="F370" s="29"/>
    </row>
    <row r="371" spans="6:6" x14ac:dyDescent="0.25">
      <c r="F371" s="29"/>
    </row>
    <row r="372" spans="6:6" x14ac:dyDescent="0.25">
      <c r="F372" s="29"/>
    </row>
    <row r="373" spans="6:6" x14ac:dyDescent="0.25">
      <c r="F373" s="29"/>
    </row>
    <row r="374" spans="6:6" x14ac:dyDescent="0.25">
      <c r="F374" s="29"/>
    </row>
    <row r="375" spans="6:6" x14ac:dyDescent="0.25">
      <c r="F375" s="29"/>
    </row>
    <row r="376" spans="6:6" x14ac:dyDescent="0.25">
      <c r="F376" s="29"/>
    </row>
    <row r="377" spans="6:6" x14ac:dyDescent="0.25">
      <c r="F377" s="29"/>
    </row>
    <row r="378" spans="6:6" x14ac:dyDescent="0.25">
      <c r="F378" s="29"/>
    </row>
    <row r="379" spans="6:6" x14ac:dyDescent="0.25">
      <c r="F379" s="29"/>
    </row>
    <row r="380" spans="6:6" x14ac:dyDescent="0.25">
      <c r="F380" s="29"/>
    </row>
    <row r="381" spans="6:6" x14ac:dyDescent="0.25">
      <c r="F381" s="29"/>
    </row>
    <row r="382" spans="6:6" x14ac:dyDescent="0.25">
      <c r="F382" s="29"/>
    </row>
    <row r="383" spans="6:6" x14ac:dyDescent="0.25">
      <c r="F383" s="29"/>
    </row>
    <row r="384" spans="6:6" x14ac:dyDescent="0.25">
      <c r="F384" s="29"/>
    </row>
    <row r="385" spans="6:6" x14ac:dyDescent="0.25">
      <c r="F385" s="29"/>
    </row>
    <row r="386" spans="6:6" x14ac:dyDescent="0.25">
      <c r="F386" s="29"/>
    </row>
    <row r="387" spans="6:6" x14ac:dyDescent="0.25">
      <c r="F387" s="29"/>
    </row>
    <row r="388" spans="6:6" x14ac:dyDescent="0.25">
      <c r="F388" s="29"/>
    </row>
    <row r="389" spans="6:6" x14ac:dyDescent="0.25">
      <c r="F389" s="29"/>
    </row>
    <row r="390" spans="6:6" x14ac:dyDescent="0.25">
      <c r="F390" s="29"/>
    </row>
    <row r="391" spans="6:6" x14ac:dyDescent="0.25">
      <c r="F391" s="29"/>
    </row>
    <row r="392" spans="6:6" x14ac:dyDescent="0.25">
      <c r="F392" s="29"/>
    </row>
    <row r="393" spans="6:6" x14ac:dyDescent="0.25">
      <c r="F393" s="29"/>
    </row>
    <row r="394" spans="6:6" x14ac:dyDescent="0.25">
      <c r="F394" s="29"/>
    </row>
    <row r="395" spans="6:6" x14ac:dyDescent="0.25">
      <c r="F395" s="29"/>
    </row>
    <row r="396" spans="6:6" x14ac:dyDescent="0.25">
      <c r="F396" s="29"/>
    </row>
    <row r="397" spans="6:6" x14ac:dyDescent="0.25">
      <c r="F397" s="29"/>
    </row>
    <row r="398" spans="6:6" x14ac:dyDescent="0.25">
      <c r="F398" s="29"/>
    </row>
    <row r="399" spans="6:6" x14ac:dyDescent="0.25">
      <c r="F399" s="29"/>
    </row>
    <row r="400" spans="6:6" x14ac:dyDescent="0.25">
      <c r="F400" s="29"/>
    </row>
    <row r="401" spans="6:6" x14ac:dyDescent="0.25">
      <c r="F401" s="29"/>
    </row>
    <row r="402" spans="6:6" x14ac:dyDescent="0.25">
      <c r="F402" s="29"/>
    </row>
    <row r="403" spans="6:6" x14ac:dyDescent="0.25">
      <c r="F403" s="29"/>
    </row>
    <row r="404" spans="6:6" x14ac:dyDescent="0.25">
      <c r="F404" s="29"/>
    </row>
    <row r="405" spans="6:6" x14ac:dyDescent="0.25">
      <c r="F405" s="29"/>
    </row>
    <row r="406" spans="6:6" x14ac:dyDescent="0.25">
      <c r="F406" s="29"/>
    </row>
    <row r="407" spans="6:6" x14ac:dyDescent="0.25">
      <c r="F407" s="29"/>
    </row>
    <row r="408" spans="6:6" x14ac:dyDescent="0.25">
      <c r="F408" s="29"/>
    </row>
    <row r="409" spans="6:6" x14ac:dyDescent="0.25">
      <c r="F409" s="29"/>
    </row>
    <row r="410" spans="6:6" x14ac:dyDescent="0.25">
      <c r="F410" s="29"/>
    </row>
    <row r="411" spans="6:6" x14ac:dyDescent="0.25">
      <c r="F411" s="29"/>
    </row>
    <row r="412" spans="6:6" x14ac:dyDescent="0.25">
      <c r="F412" s="29"/>
    </row>
    <row r="413" spans="6:6" x14ac:dyDescent="0.25">
      <c r="F413" s="29"/>
    </row>
    <row r="414" spans="6:6" x14ac:dyDescent="0.25">
      <c r="F414" s="29"/>
    </row>
    <row r="415" spans="6:6" x14ac:dyDescent="0.25">
      <c r="F415" s="29"/>
    </row>
    <row r="416" spans="6:6" x14ac:dyDescent="0.25">
      <c r="F416" s="29"/>
    </row>
    <row r="417" spans="6:6" x14ac:dyDescent="0.25">
      <c r="F417" s="29"/>
    </row>
    <row r="418" spans="6:6" x14ac:dyDescent="0.25">
      <c r="F418" s="29"/>
    </row>
    <row r="419" spans="6:6" x14ac:dyDescent="0.25">
      <c r="F419" s="29"/>
    </row>
    <row r="420" spans="6:6" x14ac:dyDescent="0.25">
      <c r="F420" s="29"/>
    </row>
    <row r="421" spans="6:6" x14ac:dyDescent="0.25">
      <c r="F421" s="29"/>
    </row>
    <row r="422" spans="6:6" x14ac:dyDescent="0.25">
      <c r="F422" s="29"/>
    </row>
    <row r="423" spans="6:6" x14ac:dyDescent="0.25">
      <c r="F423" s="29"/>
    </row>
    <row r="424" spans="6:6" x14ac:dyDescent="0.25">
      <c r="F424" s="29"/>
    </row>
    <row r="425" spans="6:6" x14ac:dyDescent="0.25">
      <c r="F425" s="29"/>
    </row>
    <row r="426" spans="6:6" x14ac:dyDescent="0.25">
      <c r="F426" s="29"/>
    </row>
    <row r="427" spans="6:6" x14ac:dyDescent="0.25">
      <c r="F427" s="29"/>
    </row>
    <row r="428" spans="6:6" x14ac:dyDescent="0.25">
      <c r="F428" s="29"/>
    </row>
    <row r="429" spans="6:6" x14ac:dyDescent="0.25">
      <c r="F429" s="29"/>
    </row>
    <row r="430" spans="6:6" x14ac:dyDescent="0.25">
      <c r="F430" s="29"/>
    </row>
    <row r="431" spans="6:6" x14ac:dyDescent="0.25">
      <c r="F431" s="29"/>
    </row>
    <row r="432" spans="6:6" x14ac:dyDescent="0.25">
      <c r="F432" s="29"/>
    </row>
    <row r="433" spans="6:6" x14ac:dyDescent="0.25">
      <c r="F433" s="29"/>
    </row>
    <row r="434" spans="6:6" x14ac:dyDescent="0.25">
      <c r="F434" s="29"/>
    </row>
    <row r="435" spans="6:6" x14ac:dyDescent="0.25">
      <c r="F435" s="29"/>
    </row>
    <row r="436" spans="6:6" x14ac:dyDescent="0.25">
      <c r="F436" s="29"/>
    </row>
    <row r="437" spans="6:6" x14ac:dyDescent="0.25">
      <c r="F437" s="29"/>
    </row>
    <row r="438" spans="6:6" x14ac:dyDescent="0.25">
      <c r="F438" s="29"/>
    </row>
    <row r="439" spans="6:6" x14ac:dyDescent="0.25">
      <c r="F439" s="29"/>
    </row>
    <row r="440" spans="6:6" x14ac:dyDescent="0.25">
      <c r="F440" s="29"/>
    </row>
    <row r="441" spans="6:6" x14ac:dyDescent="0.25">
      <c r="F441" s="29"/>
    </row>
    <row r="442" spans="6:6" x14ac:dyDescent="0.25">
      <c r="F442" s="29"/>
    </row>
    <row r="443" spans="6:6" x14ac:dyDescent="0.25">
      <c r="F443" s="29"/>
    </row>
    <row r="444" spans="6:6" x14ac:dyDescent="0.25">
      <c r="F444" s="29"/>
    </row>
    <row r="445" spans="6:6" x14ac:dyDescent="0.25">
      <c r="F445" s="29"/>
    </row>
    <row r="446" spans="6:6" x14ac:dyDescent="0.25">
      <c r="F446" s="29"/>
    </row>
    <row r="447" spans="6:6" x14ac:dyDescent="0.25">
      <c r="F447" s="29"/>
    </row>
    <row r="448" spans="6:6" x14ac:dyDescent="0.25">
      <c r="F448" s="29"/>
    </row>
    <row r="449" spans="6:6" x14ac:dyDescent="0.25">
      <c r="F449" s="29"/>
    </row>
    <row r="450" spans="6:6" x14ac:dyDescent="0.25">
      <c r="F450" s="29"/>
    </row>
    <row r="451" spans="6:6" x14ac:dyDescent="0.25">
      <c r="F451" s="29"/>
    </row>
    <row r="452" spans="6:6" x14ac:dyDescent="0.25">
      <c r="F452" s="29"/>
    </row>
    <row r="453" spans="6:6" x14ac:dyDescent="0.25">
      <c r="F453" s="29"/>
    </row>
    <row r="454" spans="6:6" x14ac:dyDescent="0.25">
      <c r="F454" s="29"/>
    </row>
    <row r="455" spans="6:6" x14ac:dyDescent="0.25">
      <c r="F455" s="29"/>
    </row>
    <row r="456" spans="6:6" x14ac:dyDescent="0.25">
      <c r="F456" s="29"/>
    </row>
    <row r="457" spans="6:6" x14ac:dyDescent="0.25">
      <c r="F457" s="29"/>
    </row>
    <row r="458" spans="6:6" x14ac:dyDescent="0.25">
      <c r="F458" s="29"/>
    </row>
    <row r="459" spans="6:6" x14ac:dyDescent="0.25">
      <c r="F459" s="29"/>
    </row>
    <row r="460" spans="6:6" x14ac:dyDescent="0.25">
      <c r="F460" s="29"/>
    </row>
    <row r="461" spans="6:6" x14ac:dyDescent="0.25">
      <c r="F461" s="29"/>
    </row>
    <row r="462" spans="6:6" x14ac:dyDescent="0.25">
      <c r="F462" s="29"/>
    </row>
    <row r="463" spans="6:6" x14ac:dyDescent="0.25">
      <c r="F463" s="29"/>
    </row>
    <row r="464" spans="6:6" x14ac:dyDescent="0.25">
      <c r="F464" s="29"/>
    </row>
    <row r="465" spans="6:6" x14ac:dyDescent="0.25">
      <c r="F465" s="29"/>
    </row>
    <row r="466" spans="6:6" x14ac:dyDescent="0.25">
      <c r="F466" s="29"/>
    </row>
    <row r="467" spans="6:6" x14ac:dyDescent="0.25">
      <c r="F467" s="29"/>
    </row>
    <row r="468" spans="6:6" x14ac:dyDescent="0.25">
      <c r="F468" s="29"/>
    </row>
    <row r="469" spans="6:6" x14ac:dyDescent="0.25">
      <c r="F469" s="29"/>
    </row>
    <row r="470" spans="6:6" x14ac:dyDescent="0.25">
      <c r="F470" s="29"/>
    </row>
    <row r="471" spans="6:6" x14ac:dyDescent="0.25">
      <c r="F471" s="29"/>
    </row>
    <row r="472" spans="6:6" x14ac:dyDescent="0.25">
      <c r="F472" s="29"/>
    </row>
    <row r="473" spans="6:6" x14ac:dyDescent="0.25">
      <c r="F473" s="29"/>
    </row>
    <row r="474" spans="6:6" x14ac:dyDescent="0.25">
      <c r="F474" s="29"/>
    </row>
    <row r="475" spans="6:6" x14ac:dyDescent="0.25">
      <c r="F475" s="29"/>
    </row>
    <row r="476" spans="6:6" x14ac:dyDescent="0.25">
      <c r="F476" s="29"/>
    </row>
    <row r="477" spans="6:6" x14ac:dyDescent="0.25">
      <c r="F477" s="29"/>
    </row>
    <row r="478" spans="6:6" x14ac:dyDescent="0.25">
      <c r="F478" s="29"/>
    </row>
    <row r="479" spans="6:6" x14ac:dyDescent="0.25">
      <c r="F479" s="29"/>
    </row>
    <row r="480" spans="6:6" x14ac:dyDescent="0.25">
      <c r="F480" s="29"/>
    </row>
    <row r="481" spans="6:6" x14ac:dyDescent="0.25">
      <c r="F481" s="29"/>
    </row>
    <row r="482" spans="6:6" x14ac:dyDescent="0.25">
      <c r="F482" s="29"/>
    </row>
    <row r="483" spans="6:6" x14ac:dyDescent="0.25">
      <c r="F483" s="29"/>
    </row>
    <row r="484" spans="6:6" x14ac:dyDescent="0.25">
      <c r="F484" s="29"/>
    </row>
    <row r="485" spans="6:6" x14ac:dyDescent="0.25">
      <c r="F485" s="29"/>
    </row>
    <row r="486" spans="6:6" x14ac:dyDescent="0.25">
      <c r="F486" s="29"/>
    </row>
    <row r="487" spans="6:6" x14ac:dyDescent="0.25">
      <c r="F487" s="29"/>
    </row>
    <row r="488" spans="6:6" x14ac:dyDescent="0.25">
      <c r="F488" s="29"/>
    </row>
    <row r="489" spans="6:6" x14ac:dyDescent="0.25">
      <c r="F489" s="29"/>
    </row>
    <row r="490" spans="6:6" x14ac:dyDescent="0.25">
      <c r="F490" s="29"/>
    </row>
    <row r="491" spans="6:6" x14ac:dyDescent="0.25">
      <c r="F491" s="29"/>
    </row>
    <row r="492" spans="6:6" x14ac:dyDescent="0.25">
      <c r="F492" s="29"/>
    </row>
    <row r="493" spans="6:6" x14ac:dyDescent="0.25">
      <c r="F493" s="29"/>
    </row>
    <row r="494" spans="6:6" x14ac:dyDescent="0.25">
      <c r="F494" s="29"/>
    </row>
    <row r="495" spans="6:6" x14ac:dyDescent="0.25">
      <c r="F495" s="29"/>
    </row>
    <row r="496" spans="6:6" x14ac:dyDescent="0.25">
      <c r="F496" s="29"/>
    </row>
    <row r="497" spans="6:6" x14ac:dyDescent="0.25">
      <c r="F497" s="29"/>
    </row>
    <row r="498" spans="6:6" x14ac:dyDescent="0.25">
      <c r="F498" s="29"/>
    </row>
    <row r="499" spans="6:6" x14ac:dyDescent="0.25">
      <c r="F499" s="29"/>
    </row>
    <row r="500" spans="6:6" x14ac:dyDescent="0.25">
      <c r="F500" s="29"/>
    </row>
    <row r="501" spans="6:6" x14ac:dyDescent="0.25">
      <c r="F501" s="29"/>
    </row>
    <row r="502" spans="6:6" x14ac:dyDescent="0.25">
      <c r="F502" s="29"/>
    </row>
    <row r="503" spans="6:6" x14ac:dyDescent="0.25">
      <c r="F503" s="29"/>
    </row>
    <row r="504" spans="6:6" x14ac:dyDescent="0.25">
      <c r="F504" s="29"/>
    </row>
    <row r="505" spans="6:6" x14ac:dyDescent="0.25">
      <c r="F505" s="29"/>
    </row>
    <row r="506" spans="6:6" x14ac:dyDescent="0.25">
      <c r="F506" s="29"/>
    </row>
    <row r="507" spans="6:6" x14ac:dyDescent="0.25">
      <c r="F507" s="29"/>
    </row>
    <row r="508" spans="6:6" x14ac:dyDescent="0.25">
      <c r="F508" s="29"/>
    </row>
    <row r="509" spans="6:6" x14ac:dyDescent="0.25">
      <c r="F509" s="29"/>
    </row>
    <row r="510" spans="6:6" x14ac:dyDescent="0.25">
      <c r="F510" s="29"/>
    </row>
    <row r="511" spans="6:6" x14ac:dyDescent="0.25">
      <c r="F511" s="29"/>
    </row>
    <row r="512" spans="6:6" x14ac:dyDescent="0.25">
      <c r="F512" s="29"/>
    </row>
    <row r="513" spans="6:6" x14ac:dyDescent="0.25">
      <c r="F513" s="29"/>
    </row>
    <row r="514" spans="6:6" x14ac:dyDescent="0.25">
      <c r="F514" s="29"/>
    </row>
    <row r="515" spans="6:6" x14ac:dyDescent="0.25">
      <c r="F515" s="29"/>
    </row>
    <row r="516" spans="6:6" x14ac:dyDescent="0.25">
      <c r="F516" s="29"/>
    </row>
    <row r="517" spans="6:6" x14ac:dyDescent="0.25">
      <c r="F517" s="29"/>
    </row>
    <row r="518" spans="6:6" x14ac:dyDescent="0.25">
      <c r="F518" s="29"/>
    </row>
    <row r="519" spans="6:6" x14ac:dyDescent="0.25">
      <c r="F519" s="29"/>
    </row>
    <row r="520" spans="6:6" x14ac:dyDescent="0.25">
      <c r="F520" s="29"/>
    </row>
    <row r="521" spans="6:6" x14ac:dyDescent="0.25">
      <c r="F521" s="29"/>
    </row>
    <row r="522" spans="6:6" x14ac:dyDescent="0.25">
      <c r="F522" s="29"/>
    </row>
    <row r="523" spans="6:6" x14ac:dyDescent="0.25">
      <c r="F523" s="29"/>
    </row>
    <row r="524" spans="6:6" x14ac:dyDescent="0.25">
      <c r="F524" s="29"/>
    </row>
    <row r="525" spans="6:6" x14ac:dyDescent="0.25">
      <c r="F525" s="29"/>
    </row>
    <row r="526" spans="6:6" x14ac:dyDescent="0.25">
      <c r="F526" s="29"/>
    </row>
    <row r="527" spans="6:6" x14ac:dyDescent="0.25">
      <c r="F527" s="29"/>
    </row>
    <row r="528" spans="6:6" x14ac:dyDescent="0.25">
      <c r="F528" s="29"/>
    </row>
    <row r="529" spans="6:6" x14ac:dyDescent="0.25">
      <c r="F529" s="29"/>
    </row>
    <row r="530" spans="6:6" x14ac:dyDescent="0.25">
      <c r="F530" s="29"/>
    </row>
    <row r="531" spans="6:6" x14ac:dyDescent="0.25">
      <c r="F531" s="29"/>
    </row>
    <row r="532" spans="6:6" x14ac:dyDescent="0.25">
      <c r="F532" s="29"/>
    </row>
    <row r="533" spans="6:6" x14ac:dyDescent="0.25">
      <c r="F533" s="29"/>
    </row>
    <row r="534" spans="6:6" x14ac:dyDescent="0.25">
      <c r="F534" s="29"/>
    </row>
    <row r="535" spans="6:6" x14ac:dyDescent="0.25">
      <c r="F535" s="29"/>
    </row>
    <row r="536" spans="6:6" x14ac:dyDescent="0.25">
      <c r="F536" s="29"/>
    </row>
    <row r="537" spans="6:6" x14ac:dyDescent="0.25">
      <c r="F537" s="29"/>
    </row>
    <row r="538" spans="6:6" x14ac:dyDescent="0.25">
      <c r="F538" s="29"/>
    </row>
    <row r="539" spans="6:6" x14ac:dyDescent="0.25">
      <c r="F539" s="29"/>
    </row>
    <row r="540" spans="6:6" x14ac:dyDescent="0.25">
      <c r="F540" s="29"/>
    </row>
    <row r="541" spans="6:6" x14ac:dyDescent="0.25">
      <c r="F541" s="29"/>
    </row>
    <row r="542" spans="6:6" x14ac:dyDescent="0.25">
      <c r="F542" s="29"/>
    </row>
    <row r="543" spans="6:6" x14ac:dyDescent="0.25">
      <c r="F543" s="29"/>
    </row>
    <row r="544" spans="6:6" x14ac:dyDescent="0.25">
      <c r="F544" s="29"/>
    </row>
    <row r="545" spans="6:6" x14ac:dyDescent="0.25">
      <c r="F545" s="29"/>
    </row>
    <row r="546" spans="6:6" x14ac:dyDescent="0.25">
      <c r="F546" s="29"/>
    </row>
    <row r="547" spans="6:6" x14ac:dyDescent="0.25">
      <c r="F547" s="29"/>
    </row>
    <row r="548" spans="6:6" x14ac:dyDescent="0.25">
      <c r="F548" s="29"/>
    </row>
    <row r="549" spans="6:6" x14ac:dyDescent="0.25">
      <c r="F549" s="29"/>
    </row>
    <row r="550" spans="6:6" x14ac:dyDescent="0.25">
      <c r="F550" s="29"/>
    </row>
    <row r="551" spans="6:6" x14ac:dyDescent="0.25">
      <c r="F551" s="29"/>
    </row>
    <row r="552" spans="6:6" x14ac:dyDescent="0.25">
      <c r="F552" s="29"/>
    </row>
    <row r="553" spans="6:6" x14ac:dyDescent="0.25">
      <c r="F553" s="29"/>
    </row>
    <row r="554" spans="6:6" x14ac:dyDescent="0.25">
      <c r="F554" s="29"/>
    </row>
    <row r="555" spans="6:6" x14ac:dyDescent="0.25">
      <c r="F555" s="29"/>
    </row>
    <row r="556" spans="6:6" x14ac:dyDescent="0.25">
      <c r="F556" s="29"/>
    </row>
    <row r="557" spans="6:6" x14ac:dyDescent="0.25">
      <c r="F557" s="29"/>
    </row>
    <row r="558" spans="6:6" x14ac:dyDescent="0.25">
      <c r="F558" s="29"/>
    </row>
    <row r="559" spans="6:6" x14ac:dyDescent="0.25">
      <c r="F559" s="29"/>
    </row>
    <row r="560" spans="6:6" x14ac:dyDescent="0.25">
      <c r="F560" s="29"/>
    </row>
    <row r="561" spans="6:6" x14ac:dyDescent="0.25">
      <c r="F561" s="29"/>
    </row>
    <row r="562" spans="6:6" x14ac:dyDescent="0.25">
      <c r="F562" s="29"/>
    </row>
    <row r="563" spans="6:6" x14ac:dyDescent="0.25">
      <c r="F563" s="29"/>
    </row>
    <row r="564" spans="6:6" x14ac:dyDescent="0.25">
      <c r="F564" s="29"/>
    </row>
    <row r="565" spans="6:6" x14ac:dyDescent="0.25">
      <c r="F565" s="29"/>
    </row>
    <row r="566" spans="6:6" x14ac:dyDescent="0.25">
      <c r="F566" s="29"/>
    </row>
    <row r="567" spans="6:6" x14ac:dyDescent="0.25">
      <c r="F567" s="29"/>
    </row>
    <row r="568" spans="6:6" x14ac:dyDescent="0.25">
      <c r="F568" s="29"/>
    </row>
    <row r="569" spans="6:6" x14ac:dyDescent="0.25">
      <c r="F569" s="29"/>
    </row>
    <row r="570" spans="6:6" x14ac:dyDescent="0.25">
      <c r="F570" s="29"/>
    </row>
    <row r="571" spans="6:6" x14ac:dyDescent="0.25">
      <c r="F571" s="29"/>
    </row>
    <row r="572" spans="6:6" x14ac:dyDescent="0.25">
      <c r="F572" s="29"/>
    </row>
    <row r="573" spans="6:6" x14ac:dyDescent="0.25">
      <c r="F573" s="29"/>
    </row>
    <row r="574" spans="6:6" x14ac:dyDescent="0.25">
      <c r="F574" s="29"/>
    </row>
    <row r="575" spans="6:6" x14ac:dyDescent="0.25">
      <c r="F575" s="29"/>
    </row>
    <row r="576" spans="6:6" x14ac:dyDescent="0.25">
      <c r="F576" s="29"/>
    </row>
    <row r="577" spans="6:6" x14ac:dyDescent="0.25">
      <c r="F577" s="29"/>
    </row>
    <row r="578" spans="6:6" x14ac:dyDescent="0.25">
      <c r="F578" s="29"/>
    </row>
    <row r="579" spans="6:6" x14ac:dyDescent="0.25">
      <c r="F579" s="29"/>
    </row>
    <row r="580" spans="6:6" x14ac:dyDescent="0.25">
      <c r="F580" s="29"/>
    </row>
    <row r="581" spans="6:6" x14ac:dyDescent="0.25">
      <c r="F581" s="29"/>
    </row>
    <row r="582" spans="6:6" x14ac:dyDescent="0.25">
      <c r="F582" s="29"/>
    </row>
    <row r="583" spans="6:6" x14ac:dyDescent="0.25">
      <c r="F583" s="29"/>
    </row>
    <row r="584" spans="6:6" x14ac:dyDescent="0.25">
      <c r="F584" s="29"/>
    </row>
    <row r="585" spans="6:6" x14ac:dyDescent="0.25">
      <c r="F585" s="29"/>
    </row>
    <row r="586" spans="6:6" x14ac:dyDescent="0.25">
      <c r="F586" s="29"/>
    </row>
    <row r="587" spans="6:6" x14ac:dyDescent="0.25">
      <c r="F587" s="29"/>
    </row>
    <row r="588" spans="6:6" x14ac:dyDescent="0.25">
      <c r="F588" s="29"/>
    </row>
    <row r="589" spans="6:6" x14ac:dyDescent="0.25">
      <c r="F589" s="29"/>
    </row>
    <row r="590" spans="6:6" x14ac:dyDescent="0.25">
      <c r="F590" s="29"/>
    </row>
    <row r="591" spans="6:6" x14ac:dyDescent="0.25">
      <c r="F591" s="29"/>
    </row>
    <row r="592" spans="6:6" x14ac:dyDescent="0.25">
      <c r="F592" s="29"/>
    </row>
    <row r="593" spans="6:6" x14ac:dyDescent="0.25">
      <c r="F593" s="29"/>
    </row>
    <row r="594" spans="6:6" x14ac:dyDescent="0.25">
      <c r="F594" s="29"/>
    </row>
    <row r="595" spans="6:6" x14ac:dyDescent="0.25">
      <c r="F595" s="29"/>
    </row>
    <row r="596" spans="6:6" x14ac:dyDescent="0.25">
      <c r="F596" s="29"/>
    </row>
    <row r="597" spans="6:6" x14ac:dyDescent="0.25">
      <c r="F597" s="29"/>
    </row>
    <row r="598" spans="6:6" x14ac:dyDescent="0.25">
      <c r="F598" s="29"/>
    </row>
    <row r="599" spans="6:6" x14ac:dyDescent="0.25">
      <c r="F599" s="29"/>
    </row>
    <row r="600" spans="6:6" x14ac:dyDescent="0.25">
      <c r="F600" s="29"/>
    </row>
    <row r="601" spans="6:6" x14ac:dyDescent="0.25">
      <c r="F601" s="29"/>
    </row>
    <row r="602" spans="6:6" x14ac:dyDescent="0.25">
      <c r="F602" s="29"/>
    </row>
    <row r="603" spans="6:6" x14ac:dyDescent="0.25">
      <c r="F603" s="29"/>
    </row>
    <row r="604" spans="6:6" x14ac:dyDescent="0.25">
      <c r="F604" s="29"/>
    </row>
    <row r="605" spans="6:6" x14ac:dyDescent="0.25">
      <c r="F605" s="29"/>
    </row>
    <row r="606" spans="6:6" x14ac:dyDescent="0.25">
      <c r="F606" s="29"/>
    </row>
    <row r="607" spans="6:6" x14ac:dyDescent="0.25">
      <c r="F607" s="29"/>
    </row>
    <row r="608" spans="6:6" x14ac:dyDescent="0.25">
      <c r="F608" s="29"/>
    </row>
    <row r="609" spans="6:6" x14ac:dyDescent="0.25">
      <c r="F609" s="29"/>
    </row>
    <row r="610" spans="6:6" x14ac:dyDescent="0.25">
      <c r="F610" s="29"/>
    </row>
    <row r="611" spans="6:6" x14ac:dyDescent="0.25">
      <c r="F611" s="29"/>
    </row>
    <row r="612" spans="6:6" x14ac:dyDescent="0.25">
      <c r="F612" s="29"/>
    </row>
    <row r="613" spans="6:6" x14ac:dyDescent="0.25">
      <c r="F613" s="29"/>
    </row>
    <row r="614" spans="6:6" x14ac:dyDescent="0.25">
      <c r="F614" s="29"/>
    </row>
    <row r="615" spans="6:6" x14ac:dyDescent="0.25">
      <c r="F615" s="29"/>
    </row>
    <row r="616" spans="6:6" x14ac:dyDescent="0.25">
      <c r="F616" s="29"/>
    </row>
    <row r="617" spans="6:6" x14ac:dyDescent="0.25">
      <c r="F617" s="29"/>
    </row>
    <row r="618" spans="6:6" x14ac:dyDescent="0.25">
      <c r="F618" s="29"/>
    </row>
    <row r="619" spans="6:6" x14ac:dyDescent="0.25">
      <c r="F619" s="29"/>
    </row>
    <row r="620" spans="6:6" x14ac:dyDescent="0.25">
      <c r="F620" s="29"/>
    </row>
    <row r="621" spans="6:6" x14ac:dyDescent="0.25">
      <c r="F621" s="29"/>
    </row>
    <row r="622" spans="6:6" x14ac:dyDescent="0.25">
      <c r="F622" s="29"/>
    </row>
    <row r="623" spans="6:6" x14ac:dyDescent="0.25">
      <c r="F623" s="29"/>
    </row>
    <row r="624" spans="6:6" x14ac:dyDescent="0.25">
      <c r="F624" s="29"/>
    </row>
    <row r="625" spans="6:6" x14ac:dyDescent="0.25">
      <c r="F625" s="29"/>
    </row>
    <row r="626" spans="6:6" x14ac:dyDescent="0.25">
      <c r="F626" s="29"/>
    </row>
    <row r="627" spans="6:6" x14ac:dyDescent="0.25">
      <c r="F627" s="29"/>
    </row>
    <row r="628" spans="6:6" x14ac:dyDescent="0.25">
      <c r="F628" s="29"/>
    </row>
    <row r="629" spans="6:6" x14ac:dyDescent="0.25">
      <c r="F629" s="29"/>
    </row>
    <row r="630" spans="6:6" x14ac:dyDescent="0.25">
      <c r="F630" s="29"/>
    </row>
    <row r="631" spans="6:6" x14ac:dyDescent="0.25">
      <c r="F631" s="29"/>
    </row>
    <row r="632" spans="6:6" x14ac:dyDescent="0.25">
      <c r="F632" s="29"/>
    </row>
    <row r="633" spans="6:6" x14ac:dyDescent="0.25">
      <c r="F633" s="29"/>
    </row>
    <row r="634" spans="6:6" x14ac:dyDescent="0.25">
      <c r="F634" s="29"/>
    </row>
    <row r="635" spans="6:6" x14ac:dyDescent="0.25">
      <c r="F635" s="29"/>
    </row>
    <row r="636" spans="6:6" x14ac:dyDescent="0.25">
      <c r="F636" s="29"/>
    </row>
    <row r="637" spans="6:6" x14ac:dyDescent="0.25">
      <c r="F637" s="29"/>
    </row>
    <row r="638" spans="6:6" x14ac:dyDescent="0.25">
      <c r="F638" s="29"/>
    </row>
    <row r="639" spans="6:6" x14ac:dyDescent="0.25">
      <c r="F639" s="29"/>
    </row>
    <row r="640" spans="6:6" x14ac:dyDescent="0.25">
      <c r="F640" s="29"/>
    </row>
    <row r="641" spans="6:6" x14ac:dyDescent="0.25">
      <c r="F641" s="29"/>
    </row>
    <row r="642" spans="6:6" x14ac:dyDescent="0.25">
      <c r="F642" s="29"/>
    </row>
    <row r="643" spans="6:6" x14ac:dyDescent="0.25">
      <c r="F643" s="29"/>
    </row>
    <row r="644" spans="6:6" x14ac:dyDescent="0.25">
      <c r="F644" s="29"/>
    </row>
    <row r="645" spans="6:6" x14ac:dyDescent="0.25">
      <c r="F645" s="29"/>
    </row>
    <row r="646" spans="6:6" x14ac:dyDescent="0.25">
      <c r="F646" s="29"/>
    </row>
    <row r="647" spans="6:6" x14ac:dyDescent="0.25">
      <c r="F647" s="29"/>
    </row>
    <row r="648" spans="6:6" x14ac:dyDescent="0.25">
      <c r="F648" s="29"/>
    </row>
    <row r="649" spans="6:6" x14ac:dyDescent="0.25">
      <c r="F649" s="29"/>
    </row>
    <row r="650" spans="6:6" x14ac:dyDescent="0.25">
      <c r="F650" s="29"/>
    </row>
    <row r="651" spans="6:6" x14ac:dyDescent="0.25">
      <c r="F651" s="29"/>
    </row>
    <row r="652" spans="6:6" x14ac:dyDescent="0.25">
      <c r="F652" s="29"/>
    </row>
    <row r="653" spans="6:6" x14ac:dyDescent="0.25">
      <c r="F653" s="29"/>
    </row>
    <row r="654" spans="6:6" x14ac:dyDescent="0.25">
      <c r="F654" s="29"/>
    </row>
    <row r="655" spans="6:6" x14ac:dyDescent="0.25">
      <c r="F655" s="29"/>
    </row>
    <row r="656" spans="6:6" x14ac:dyDescent="0.25">
      <c r="F656" s="29"/>
    </row>
    <row r="657" spans="6:6" x14ac:dyDescent="0.25">
      <c r="F657" s="29"/>
    </row>
    <row r="658" spans="6:6" x14ac:dyDescent="0.25">
      <c r="F658" s="29"/>
    </row>
    <row r="659" spans="6:6" x14ac:dyDescent="0.25">
      <c r="F659" s="29"/>
    </row>
    <row r="660" spans="6:6" x14ac:dyDescent="0.25">
      <c r="F660" s="29"/>
    </row>
    <row r="661" spans="6:6" x14ac:dyDescent="0.25">
      <c r="F661" s="29"/>
    </row>
    <row r="662" spans="6:6" x14ac:dyDescent="0.25">
      <c r="F662" s="29"/>
    </row>
    <row r="663" spans="6:6" x14ac:dyDescent="0.25">
      <c r="F663" s="29"/>
    </row>
    <row r="664" spans="6:6" x14ac:dyDescent="0.25">
      <c r="F664" s="29"/>
    </row>
    <row r="665" spans="6:6" x14ac:dyDescent="0.25">
      <c r="F665" s="29"/>
    </row>
    <row r="666" spans="6:6" x14ac:dyDescent="0.25">
      <c r="F666" s="29"/>
    </row>
    <row r="667" spans="6:6" x14ac:dyDescent="0.25">
      <c r="F667" s="29"/>
    </row>
    <row r="668" spans="6:6" x14ac:dyDescent="0.25">
      <c r="F668" s="29"/>
    </row>
    <row r="669" spans="6:6" x14ac:dyDescent="0.25">
      <c r="F669" s="29"/>
    </row>
    <row r="670" spans="6:6" x14ac:dyDescent="0.25">
      <c r="F670" s="29"/>
    </row>
    <row r="671" spans="6:6" x14ac:dyDescent="0.25">
      <c r="F671" s="29"/>
    </row>
    <row r="672" spans="6:6" x14ac:dyDescent="0.25">
      <c r="F672" s="29"/>
    </row>
    <row r="673" spans="6:6" x14ac:dyDescent="0.25">
      <c r="F673" s="29"/>
    </row>
    <row r="674" spans="6:6" x14ac:dyDescent="0.25">
      <c r="F674" s="29"/>
    </row>
    <row r="675" spans="6:6" x14ac:dyDescent="0.25">
      <c r="F675" s="29"/>
    </row>
    <row r="676" spans="6:6" x14ac:dyDescent="0.25">
      <c r="F676" s="29"/>
    </row>
    <row r="677" spans="6:6" x14ac:dyDescent="0.25">
      <c r="F677" s="29"/>
    </row>
    <row r="678" spans="6:6" x14ac:dyDescent="0.25">
      <c r="F678" s="29"/>
    </row>
    <row r="679" spans="6:6" x14ac:dyDescent="0.25">
      <c r="F679" s="29"/>
    </row>
    <row r="680" spans="6:6" x14ac:dyDescent="0.25">
      <c r="F680" s="29"/>
    </row>
    <row r="681" spans="6:6" x14ac:dyDescent="0.25">
      <c r="F681" s="29"/>
    </row>
    <row r="682" spans="6:6" x14ac:dyDescent="0.25">
      <c r="F682" s="29"/>
    </row>
    <row r="683" spans="6:6" x14ac:dyDescent="0.25">
      <c r="F683" s="29"/>
    </row>
    <row r="684" spans="6:6" x14ac:dyDescent="0.25">
      <c r="F684" s="29"/>
    </row>
    <row r="685" spans="6:6" x14ac:dyDescent="0.25">
      <c r="F685" s="29"/>
    </row>
    <row r="686" spans="6:6" x14ac:dyDescent="0.25">
      <c r="F686" s="29"/>
    </row>
    <row r="687" spans="6:6" x14ac:dyDescent="0.25">
      <c r="F687" s="29"/>
    </row>
    <row r="688" spans="6:6" x14ac:dyDescent="0.25">
      <c r="F688" s="29"/>
    </row>
    <row r="689" spans="6:6" x14ac:dyDescent="0.25">
      <c r="F689" s="29"/>
    </row>
    <row r="690" spans="6:6" x14ac:dyDescent="0.25">
      <c r="F690" s="29"/>
    </row>
    <row r="691" spans="6:6" x14ac:dyDescent="0.25">
      <c r="F691" s="29"/>
    </row>
    <row r="692" spans="6:6" x14ac:dyDescent="0.25">
      <c r="F692" s="29"/>
    </row>
    <row r="693" spans="6:6" x14ac:dyDescent="0.25">
      <c r="F693" s="29"/>
    </row>
    <row r="694" spans="6:6" x14ac:dyDescent="0.25">
      <c r="F694" s="29"/>
    </row>
    <row r="695" spans="6:6" x14ac:dyDescent="0.25">
      <c r="F695" s="29"/>
    </row>
    <row r="696" spans="6:6" x14ac:dyDescent="0.25">
      <c r="F696" s="29"/>
    </row>
    <row r="697" spans="6:6" x14ac:dyDescent="0.25">
      <c r="F697" s="29"/>
    </row>
    <row r="698" spans="6:6" x14ac:dyDescent="0.25">
      <c r="F698" s="29"/>
    </row>
    <row r="699" spans="6:6" x14ac:dyDescent="0.25">
      <c r="F699" s="29"/>
    </row>
    <row r="700" spans="6:6" x14ac:dyDescent="0.25">
      <c r="F700" s="29"/>
    </row>
    <row r="701" spans="6:6" x14ac:dyDescent="0.25">
      <c r="F701" s="29"/>
    </row>
    <row r="702" spans="6:6" x14ac:dyDescent="0.25">
      <c r="F702" s="29"/>
    </row>
    <row r="703" spans="6:6" x14ac:dyDescent="0.25">
      <c r="F703" s="29"/>
    </row>
    <row r="704" spans="6:6" x14ac:dyDescent="0.25">
      <c r="F704" s="29"/>
    </row>
    <row r="705" spans="6:6" x14ac:dyDescent="0.25">
      <c r="F705" s="29"/>
    </row>
    <row r="706" spans="6:6" x14ac:dyDescent="0.25">
      <c r="F706" s="29"/>
    </row>
    <row r="707" spans="6:6" x14ac:dyDescent="0.25">
      <c r="F707" s="29"/>
    </row>
    <row r="708" spans="6:6" x14ac:dyDescent="0.25">
      <c r="F708" s="29"/>
    </row>
    <row r="709" spans="6:6" x14ac:dyDescent="0.25">
      <c r="F709" s="29"/>
    </row>
    <row r="710" spans="6:6" x14ac:dyDescent="0.25">
      <c r="F710" s="29"/>
    </row>
    <row r="711" spans="6:6" x14ac:dyDescent="0.25">
      <c r="F711" s="29"/>
    </row>
    <row r="712" spans="6:6" x14ac:dyDescent="0.25">
      <c r="F712" s="29"/>
    </row>
    <row r="713" spans="6:6" x14ac:dyDescent="0.25">
      <c r="F713" s="29"/>
    </row>
    <row r="714" spans="6:6" x14ac:dyDescent="0.25">
      <c r="F714" s="29"/>
    </row>
    <row r="715" spans="6:6" x14ac:dyDescent="0.25">
      <c r="F715" s="29"/>
    </row>
    <row r="716" spans="6:6" x14ac:dyDescent="0.25">
      <c r="F716" s="29"/>
    </row>
    <row r="717" spans="6:6" x14ac:dyDescent="0.25">
      <c r="F717" s="29"/>
    </row>
    <row r="718" spans="6:6" x14ac:dyDescent="0.25">
      <c r="F718" s="29"/>
    </row>
    <row r="719" spans="6:6" x14ac:dyDescent="0.25">
      <c r="F719" s="29"/>
    </row>
    <row r="720" spans="6:6" x14ac:dyDescent="0.25">
      <c r="F720" s="29"/>
    </row>
    <row r="721" spans="6:6" x14ac:dyDescent="0.25">
      <c r="F721" s="29"/>
    </row>
    <row r="722" spans="6:6" x14ac:dyDescent="0.25">
      <c r="F722" s="29"/>
    </row>
    <row r="723" spans="6:6" x14ac:dyDescent="0.25">
      <c r="F723" s="29"/>
    </row>
    <row r="724" spans="6:6" x14ac:dyDescent="0.25">
      <c r="F724" s="29"/>
    </row>
    <row r="725" spans="6:6" x14ac:dyDescent="0.25">
      <c r="F725" s="29"/>
    </row>
    <row r="726" spans="6:6" x14ac:dyDescent="0.25">
      <c r="F726" s="29"/>
    </row>
    <row r="727" spans="6:6" x14ac:dyDescent="0.25">
      <c r="F727" s="29"/>
    </row>
    <row r="728" spans="6:6" x14ac:dyDescent="0.25">
      <c r="F728" s="29"/>
    </row>
    <row r="729" spans="6:6" x14ac:dyDescent="0.25">
      <c r="F729" s="29"/>
    </row>
    <row r="730" spans="6:6" x14ac:dyDescent="0.25">
      <c r="F730" s="29"/>
    </row>
    <row r="731" spans="6:6" x14ac:dyDescent="0.25">
      <c r="F731" s="29"/>
    </row>
    <row r="732" spans="6:6" x14ac:dyDescent="0.25">
      <c r="F732" s="29"/>
    </row>
    <row r="733" spans="6:6" x14ac:dyDescent="0.25">
      <c r="F733" s="29"/>
    </row>
    <row r="734" spans="6:6" x14ac:dyDescent="0.25">
      <c r="F734" s="29"/>
    </row>
    <row r="735" spans="6:6" x14ac:dyDescent="0.25">
      <c r="F735" s="29"/>
    </row>
    <row r="736" spans="6:6" x14ac:dyDescent="0.25">
      <c r="F736" s="29"/>
    </row>
    <row r="737" spans="6:6" x14ac:dyDescent="0.25">
      <c r="F737" s="29"/>
    </row>
    <row r="738" spans="6:6" x14ac:dyDescent="0.25">
      <c r="F738" s="29"/>
    </row>
    <row r="739" spans="6:6" x14ac:dyDescent="0.25">
      <c r="F739" s="29"/>
    </row>
    <row r="740" spans="6:6" x14ac:dyDescent="0.25">
      <c r="F740" s="29"/>
    </row>
    <row r="741" spans="6:6" x14ac:dyDescent="0.25">
      <c r="F741" s="29"/>
    </row>
    <row r="742" spans="6:6" x14ac:dyDescent="0.25">
      <c r="F742" s="29"/>
    </row>
    <row r="743" spans="6:6" x14ac:dyDescent="0.25">
      <c r="F743" s="29"/>
    </row>
    <row r="744" spans="6:6" x14ac:dyDescent="0.25">
      <c r="F744" s="29"/>
    </row>
    <row r="745" spans="6:6" x14ac:dyDescent="0.25">
      <c r="F745" s="29"/>
    </row>
    <row r="746" spans="6:6" x14ac:dyDescent="0.25">
      <c r="F746" s="29"/>
    </row>
    <row r="747" spans="6:6" x14ac:dyDescent="0.25">
      <c r="F747" s="29"/>
    </row>
    <row r="748" spans="6:6" x14ac:dyDescent="0.25">
      <c r="F748" s="29"/>
    </row>
    <row r="749" spans="6:6" x14ac:dyDescent="0.25">
      <c r="F749" s="29"/>
    </row>
    <row r="750" spans="6:6" x14ac:dyDescent="0.25">
      <c r="F750" s="29"/>
    </row>
    <row r="751" spans="6:6" x14ac:dyDescent="0.25">
      <c r="F751" s="29"/>
    </row>
    <row r="752" spans="6:6" x14ac:dyDescent="0.25">
      <c r="F752" s="29"/>
    </row>
    <row r="753" spans="6:6" x14ac:dyDescent="0.25">
      <c r="F753" s="29"/>
    </row>
    <row r="754" spans="6:6" x14ac:dyDescent="0.25">
      <c r="F754" s="29"/>
    </row>
    <row r="755" spans="6:6" x14ac:dyDescent="0.25">
      <c r="F755" s="29"/>
    </row>
    <row r="756" spans="6:6" x14ac:dyDescent="0.25">
      <c r="F756" s="29"/>
    </row>
    <row r="757" spans="6:6" x14ac:dyDescent="0.25">
      <c r="F757" s="29"/>
    </row>
    <row r="758" spans="6:6" x14ac:dyDescent="0.25">
      <c r="F758" s="29"/>
    </row>
    <row r="759" spans="6:6" x14ac:dyDescent="0.25">
      <c r="F759" s="29"/>
    </row>
    <row r="760" spans="6:6" x14ac:dyDescent="0.25">
      <c r="F760" s="29"/>
    </row>
    <row r="761" spans="6:6" x14ac:dyDescent="0.25">
      <c r="F761" s="29"/>
    </row>
    <row r="762" spans="6:6" x14ac:dyDescent="0.25">
      <c r="F762" s="29"/>
    </row>
    <row r="763" spans="6:6" x14ac:dyDescent="0.25">
      <c r="F763" s="29"/>
    </row>
    <row r="764" spans="6:6" x14ac:dyDescent="0.25">
      <c r="F764" s="29"/>
    </row>
    <row r="765" spans="6:6" x14ac:dyDescent="0.25">
      <c r="F765" s="29"/>
    </row>
    <row r="766" spans="6:6" x14ac:dyDescent="0.25">
      <c r="F766" s="29"/>
    </row>
    <row r="767" spans="6:6" x14ac:dyDescent="0.25">
      <c r="F767" s="29"/>
    </row>
    <row r="768" spans="6:6" x14ac:dyDescent="0.25">
      <c r="F768" s="29"/>
    </row>
    <row r="769" spans="6:6" x14ac:dyDescent="0.25">
      <c r="F769" s="29"/>
    </row>
    <row r="770" spans="6:6" x14ac:dyDescent="0.25">
      <c r="F770" s="29"/>
    </row>
    <row r="771" spans="6:6" x14ac:dyDescent="0.25">
      <c r="F771" s="29"/>
    </row>
    <row r="772" spans="6:6" x14ac:dyDescent="0.25">
      <c r="F772" s="29"/>
    </row>
    <row r="773" spans="6:6" x14ac:dyDescent="0.25">
      <c r="F773" s="29"/>
    </row>
    <row r="774" spans="6:6" x14ac:dyDescent="0.25">
      <c r="F774" s="29"/>
    </row>
    <row r="775" spans="6:6" x14ac:dyDescent="0.25">
      <c r="F775" s="29"/>
    </row>
    <row r="776" spans="6:6" x14ac:dyDescent="0.25">
      <c r="F776" s="29"/>
    </row>
    <row r="777" spans="6:6" x14ac:dyDescent="0.25">
      <c r="F777" s="29"/>
    </row>
    <row r="778" spans="6:6" x14ac:dyDescent="0.25">
      <c r="F778" s="29"/>
    </row>
    <row r="779" spans="6:6" x14ac:dyDescent="0.25">
      <c r="F779" s="29"/>
    </row>
    <row r="780" spans="6:6" x14ac:dyDescent="0.25">
      <c r="F780" s="29"/>
    </row>
    <row r="781" spans="6:6" x14ac:dyDescent="0.25">
      <c r="F781" s="29"/>
    </row>
    <row r="782" spans="6:6" x14ac:dyDescent="0.25">
      <c r="F782" s="29"/>
    </row>
    <row r="783" spans="6:6" x14ac:dyDescent="0.25">
      <c r="F783" s="29"/>
    </row>
    <row r="784" spans="6:6" x14ac:dyDescent="0.25">
      <c r="F784" s="29"/>
    </row>
    <row r="785" spans="6:6" x14ac:dyDescent="0.25">
      <c r="F785" s="29"/>
    </row>
    <row r="786" spans="6:6" x14ac:dyDescent="0.25">
      <c r="F786" s="29"/>
    </row>
    <row r="787" spans="6:6" x14ac:dyDescent="0.25">
      <c r="F787" s="29"/>
    </row>
    <row r="788" spans="6:6" x14ac:dyDescent="0.25">
      <c r="F788" s="29"/>
    </row>
    <row r="789" spans="6:6" x14ac:dyDescent="0.25">
      <c r="F789" s="29"/>
    </row>
    <row r="790" spans="6:6" x14ac:dyDescent="0.25">
      <c r="F790" s="29"/>
    </row>
    <row r="791" spans="6:6" x14ac:dyDescent="0.25">
      <c r="F791" s="29"/>
    </row>
    <row r="792" spans="6:6" x14ac:dyDescent="0.25">
      <c r="F792" s="29"/>
    </row>
    <row r="793" spans="6:6" x14ac:dyDescent="0.25">
      <c r="F793" s="29"/>
    </row>
    <row r="794" spans="6:6" x14ac:dyDescent="0.25">
      <c r="F794" s="29"/>
    </row>
    <row r="795" spans="6:6" x14ac:dyDescent="0.25">
      <c r="F795" s="29"/>
    </row>
    <row r="796" spans="6:6" x14ac:dyDescent="0.25">
      <c r="F796" s="29"/>
    </row>
    <row r="797" spans="6:6" x14ac:dyDescent="0.25">
      <c r="F797" s="29"/>
    </row>
    <row r="798" spans="6:6" x14ac:dyDescent="0.25">
      <c r="F798" s="29"/>
    </row>
    <row r="799" spans="6:6" x14ac:dyDescent="0.25">
      <c r="F799" s="29"/>
    </row>
    <row r="800" spans="6:6" x14ac:dyDescent="0.25">
      <c r="F800" s="29"/>
    </row>
    <row r="801" spans="6:6" x14ac:dyDescent="0.25">
      <c r="F801" s="29"/>
    </row>
    <row r="802" spans="6:6" x14ac:dyDescent="0.25">
      <c r="F802" s="29"/>
    </row>
    <row r="803" spans="6:6" x14ac:dyDescent="0.25">
      <c r="F803" s="29"/>
    </row>
    <row r="804" spans="6:6" x14ac:dyDescent="0.25">
      <c r="F804" s="29"/>
    </row>
    <row r="805" spans="6:6" x14ac:dyDescent="0.25">
      <c r="F805" s="29"/>
    </row>
    <row r="806" spans="6:6" x14ac:dyDescent="0.25">
      <c r="F806" s="29"/>
    </row>
    <row r="807" spans="6:6" x14ac:dyDescent="0.25">
      <c r="F807" s="29"/>
    </row>
    <row r="808" spans="6:6" x14ac:dyDescent="0.25">
      <c r="F808" s="29"/>
    </row>
    <row r="809" spans="6:6" x14ac:dyDescent="0.25">
      <c r="F809" s="29"/>
    </row>
    <row r="810" spans="6:6" x14ac:dyDescent="0.25">
      <c r="F810" s="29"/>
    </row>
    <row r="811" spans="6:6" x14ac:dyDescent="0.25">
      <c r="F811" s="29"/>
    </row>
    <row r="812" spans="6:6" x14ac:dyDescent="0.25">
      <c r="F812" s="29"/>
    </row>
    <row r="813" spans="6:6" x14ac:dyDescent="0.25">
      <c r="F813" s="29"/>
    </row>
    <row r="814" spans="6:6" x14ac:dyDescent="0.25">
      <c r="F814" s="29"/>
    </row>
    <row r="815" spans="6:6" x14ac:dyDescent="0.25">
      <c r="F815" s="29"/>
    </row>
    <row r="816" spans="6:6" x14ac:dyDescent="0.25">
      <c r="F816" s="29"/>
    </row>
    <row r="817" spans="6:6" x14ac:dyDescent="0.25">
      <c r="F817" s="29"/>
    </row>
    <row r="818" spans="6:6" x14ac:dyDescent="0.25">
      <c r="F818" s="29"/>
    </row>
    <row r="819" spans="6:6" x14ac:dyDescent="0.25">
      <c r="F819" s="29"/>
    </row>
    <row r="820" spans="6:6" x14ac:dyDescent="0.25">
      <c r="F820" s="29"/>
    </row>
    <row r="821" spans="6:6" x14ac:dyDescent="0.25">
      <c r="F821" s="29"/>
    </row>
    <row r="822" spans="6:6" x14ac:dyDescent="0.25">
      <c r="F822" s="29"/>
    </row>
    <row r="823" spans="6:6" x14ac:dyDescent="0.25">
      <c r="F823" s="29"/>
    </row>
    <row r="824" spans="6:6" x14ac:dyDescent="0.25">
      <c r="F824" s="29"/>
    </row>
    <row r="825" spans="6:6" x14ac:dyDescent="0.25">
      <c r="F825" s="29"/>
    </row>
    <row r="826" spans="6:6" x14ac:dyDescent="0.25">
      <c r="F826" s="29"/>
    </row>
    <row r="827" spans="6:6" x14ac:dyDescent="0.25">
      <c r="F827" s="29"/>
    </row>
    <row r="828" spans="6:6" x14ac:dyDescent="0.25">
      <c r="F828" s="29"/>
    </row>
    <row r="829" spans="6:6" x14ac:dyDescent="0.25">
      <c r="F829" s="29"/>
    </row>
    <row r="830" spans="6:6" x14ac:dyDescent="0.25">
      <c r="F830" s="29"/>
    </row>
    <row r="831" spans="6:6" x14ac:dyDescent="0.25">
      <c r="F831" s="29"/>
    </row>
    <row r="832" spans="6:6" x14ac:dyDescent="0.25">
      <c r="F832" s="29"/>
    </row>
    <row r="833" spans="6:6" x14ac:dyDescent="0.25">
      <c r="F833" s="29"/>
    </row>
    <row r="834" spans="6:6" x14ac:dyDescent="0.25">
      <c r="F834" s="29"/>
    </row>
    <row r="835" spans="6:6" x14ac:dyDescent="0.25">
      <c r="F835" s="29"/>
    </row>
    <row r="836" spans="6:6" x14ac:dyDescent="0.25">
      <c r="F836" s="29"/>
    </row>
    <row r="837" spans="6:6" x14ac:dyDescent="0.25">
      <c r="F837" s="29"/>
    </row>
    <row r="838" spans="6:6" x14ac:dyDescent="0.25">
      <c r="F838" s="29"/>
    </row>
    <row r="839" spans="6:6" x14ac:dyDescent="0.25">
      <c r="F839" s="29"/>
    </row>
    <row r="840" spans="6:6" x14ac:dyDescent="0.25">
      <c r="F840" s="29"/>
    </row>
    <row r="841" spans="6:6" x14ac:dyDescent="0.25">
      <c r="F841" s="29"/>
    </row>
    <row r="842" spans="6:6" x14ac:dyDescent="0.25">
      <c r="F842" s="29"/>
    </row>
    <row r="843" spans="6:6" x14ac:dyDescent="0.25">
      <c r="F843" s="29"/>
    </row>
    <row r="844" spans="6:6" x14ac:dyDescent="0.25">
      <c r="F844" s="29"/>
    </row>
    <row r="845" spans="6:6" x14ac:dyDescent="0.25">
      <c r="F845" s="29"/>
    </row>
    <row r="846" spans="6:6" x14ac:dyDescent="0.25">
      <c r="F846" s="29"/>
    </row>
    <row r="847" spans="6:6" x14ac:dyDescent="0.25">
      <c r="F847" s="29"/>
    </row>
    <row r="848" spans="6:6" x14ac:dyDescent="0.25">
      <c r="F848" s="29"/>
    </row>
    <row r="849" spans="6:6" x14ac:dyDescent="0.25">
      <c r="F849" s="29"/>
    </row>
    <row r="850" spans="6:6" x14ac:dyDescent="0.25">
      <c r="F850" s="29"/>
    </row>
    <row r="851" spans="6:6" x14ac:dyDescent="0.25">
      <c r="F851" s="29"/>
    </row>
    <row r="852" spans="6:6" x14ac:dyDescent="0.25">
      <c r="F852" s="29"/>
    </row>
    <row r="853" spans="6:6" x14ac:dyDescent="0.25">
      <c r="F853" s="29"/>
    </row>
    <row r="854" spans="6:6" x14ac:dyDescent="0.25">
      <c r="F854" s="29"/>
    </row>
    <row r="855" spans="6:6" x14ac:dyDescent="0.25">
      <c r="F855" s="29"/>
    </row>
    <row r="856" spans="6:6" x14ac:dyDescent="0.25">
      <c r="F856" s="29"/>
    </row>
    <row r="857" spans="6:6" x14ac:dyDescent="0.25">
      <c r="F857" s="29"/>
    </row>
    <row r="858" spans="6:6" x14ac:dyDescent="0.25">
      <c r="F858" s="29"/>
    </row>
    <row r="859" spans="6:6" x14ac:dyDescent="0.25">
      <c r="F859" s="29"/>
    </row>
    <row r="860" spans="6:6" x14ac:dyDescent="0.25">
      <c r="F860" s="29"/>
    </row>
    <row r="861" spans="6:6" x14ac:dyDescent="0.25">
      <c r="F861" s="29"/>
    </row>
    <row r="862" spans="6:6" x14ac:dyDescent="0.25">
      <c r="F862" s="29"/>
    </row>
    <row r="863" spans="6:6" x14ac:dyDescent="0.25">
      <c r="F863" s="29"/>
    </row>
    <row r="864" spans="6:6" x14ac:dyDescent="0.25">
      <c r="F864" s="29"/>
    </row>
    <row r="865" spans="6:6" x14ac:dyDescent="0.25">
      <c r="F865" s="29"/>
    </row>
    <row r="866" spans="6:6" x14ac:dyDescent="0.25">
      <c r="F866" s="29"/>
    </row>
    <row r="867" spans="6:6" x14ac:dyDescent="0.25">
      <c r="F867" s="29"/>
    </row>
    <row r="868" spans="6:6" x14ac:dyDescent="0.25">
      <c r="F868" s="29"/>
    </row>
    <row r="869" spans="6:6" x14ac:dyDescent="0.25">
      <c r="F869" s="29"/>
    </row>
    <row r="870" spans="6:6" x14ac:dyDescent="0.25">
      <c r="F870" s="29"/>
    </row>
    <row r="871" spans="6:6" x14ac:dyDescent="0.25">
      <c r="F871" s="29"/>
    </row>
    <row r="872" spans="6:6" x14ac:dyDescent="0.25">
      <c r="F872" s="29"/>
    </row>
    <row r="873" spans="6:6" x14ac:dyDescent="0.25">
      <c r="F873" s="29"/>
    </row>
    <row r="874" spans="6:6" x14ac:dyDescent="0.25">
      <c r="F874" s="29"/>
    </row>
    <row r="875" spans="6:6" x14ac:dyDescent="0.25">
      <c r="F875" s="29"/>
    </row>
    <row r="876" spans="6:6" x14ac:dyDescent="0.25">
      <c r="F876" s="29"/>
    </row>
    <row r="877" spans="6:6" x14ac:dyDescent="0.25">
      <c r="F877" s="29"/>
    </row>
    <row r="878" spans="6:6" x14ac:dyDescent="0.25">
      <c r="F878" s="29"/>
    </row>
    <row r="879" spans="6:6" x14ac:dyDescent="0.25">
      <c r="F879" s="29"/>
    </row>
    <row r="880" spans="6:6" x14ac:dyDescent="0.25">
      <c r="F880" s="29"/>
    </row>
    <row r="881" spans="6:6" x14ac:dyDescent="0.25">
      <c r="F881" s="29"/>
    </row>
    <row r="882" spans="6:6" x14ac:dyDescent="0.25">
      <c r="F882" s="29"/>
    </row>
    <row r="883" spans="6:6" x14ac:dyDescent="0.25">
      <c r="F883" s="29"/>
    </row>
    <row r="884" spans="6:6" x14ac:dyDescent="0.25">
      <c r="F884" s="29"/>
    </row>
    <row r="885" spans="6:6" x14ac:dyDescent="0.25">
      <c r="F885" s="29"/>
    </row>
    <row r="886" spans="6:6" x14ac:dyDescent="0.25">
      <c r="F886" s="29"/>
    </row>
    <row r="887" spans="6:6" x14ac:dyDescent="0.25">
      <c r="F887" s="29"/>
    </row>
    <row r="888" spans="6:6" x14ac:dyDescent="0.25">
      <c r="F888" s="29"/>
    </row>
    <row r="889" spans="6:6" x14ac:dyDescent="0.25">
      <c r="F889" s="29"/>
    </row>
    <row r="890" spans="6:6" x14ac:dyDescent="0.25">
      <c r="F890" s="29"/>
    </row>
    <row r="891" spans="6:6" x14ac:dyDescent="0.25">
      <c r="F891" s="29"/>
    </row>
    <row r="892" spans="6:6" x14ac:dyDescent="0.25">
      <c r="F892" s="29"/>
    </row>
    <row r="893" spans="6:6" x14ac:dyDescent="0.25">
      <c r="F893" s="29"/>
    </row>
    <row r="894" spans="6:6" x14ac:dyDescent="0.25">
      <c r="F894" s="29"/>
    </row>
    <row r="895" spans="6:6" x14ac:dyDescent="0.25">
      <c r="F895" s="29"/>
    </row>
    <row r="896" spans="6:6" x14ac:dyDescent="0.25">
      <c r="F896" s="29"/>
    </row>
    <row r="897" spans="6:6" x14ac:dyDescent="0.25">
      <c r="F897" s="29"/>
    </row>
    <row r="898" spans="6:6" x14ac:dyDescent="0.25">
      <c r="F898" s="29"/>
    </row>
    <row r="899" spans="6:6" x14ac:dyDescent="0.25">
      <c r="F899" s="29"/>
    </row>
    <row r="900" spans="6:6" x14ac:dyDescent="0.25">
      <c r="F900" s="29"/>
    </row>
    <row r="901" spans="6:6" x14ac:dyDescent="0.25">
      <c r="F901" s="29"/>
    </row>
    <row r="902" spans="6:6" x14ac:dyDescent="0.25">
      <c r="F902" s="29"/>
    </row>
    <row r="903" spans="6:6" x14ac:dyDescent="0.25">
      <c r="F903" s="29"/>
    </row>
    <row r="904" spans="6:6" x14ac:dyDescent="0.25">
      <c r="F904" s="29"/>
    </row>
    <row r="905" spans="6:6" x14ac:dyDescent="0.25">
      <c r="F905" s="29"/>
    </row>
    <row r="906" spans="6:6" x14ac:dyDescent="0.25">
      <c r="F906" s="29"/>
    </row>
    <row r="907" spans="6:6" x14ac:dyDescent="0.25">
      <c r="F907" s="29"/>
    </row>
    <row r="908" spans="6:6" x14ac:dyDescent="0.25">
      <c r="F908" s="29"/>
    </row>
    <row r="909" spans="6:6" x14ac:dyDescent="0.25">
      <c r="F909" s="29"/>
    </row>
    <row r="910" spans="6:6" x14ac:dyDescent="0.25">
      <c r="F910" s="29"/>
    </row>
    <row r="911" spans="6:6" x14ac:dyDescent="0.25">
      <c r="F911" s="29"/>
    </row>
    <row r="912" spans="6:6" x14ac:dyDescent="0.25">
      <c r="F912" s="29"/>
    </row>
    <row r="913" spans="6:6" x14ac:dyDescent="0.25">
      <c r="F913" s="29"/>
    </row>
    <row r="914" spans="6:6" x14ac:dyDescent="0.25">
      <c r="F914" s="29"/>
    </row>
    <row r="915" spans="6:6" x14ac:dyDescent="0.25">
      <c r="F915" s="29"/>
    </row>
    <row r="916" spans="6:6" x14ac:dyDescent="0.25">
      <c r="F916" s="29"/>
    </row>
    <row r="917" spans="6:6" x14ac:dyDescent="0.25">
      <c r="F917" s="29"/>
    </row>
    <row r="918" spans="6:6" x14ac:dyDescent="0.25">
      <c r="F918" s="29"/>
    </row>
    <row r="919" spans="6:6" x14ac:dyDescent="0.25">
      <c r="F919" s="29"/>
    </row>
    <row r="920" spans="6:6" x14ac:dyDescent="0.25">
      <c r="F920" s="29"/>
    </row>
    <row r="921" spans="6:6" x14ac:dyDescent="0.25">
      <c r="F921" s="29"/>
    </row>
    <row r="922" spans="6:6" x14ac:dyDescent="0.25">
      <c r="F922" s="29"/>
    </row>
    <row r="923" spans="6:6" x14ac:dyDescent="0.25">
      <c r="F923" s="29"/>
    </row>
    <row r="924" spans="6:6" x14ac:dyDescent="0.25">
      <c r="F924" s="29"/>
    </row>
    <row r="925" spans="6:6" x14ac:dyDescent="0.25">
      <c r="F925" s="29"/>
    </row>
    <row r="926" spans="6:6" x14ac:dyDescent="0.25">
      <c r="F926" s="29"/>
    </row>
    <row r="927" spans="6:6" x14ac:dyDescent="0.25">
      <c r="F927" s="29"/>
    </row>
    <row r="928" spans="6:6" x14ac:dyDescent="0.25">
      <c r="F928" s="29"/>
    </row>
    <row r="929" spans="6:6" x14ac:dyDescent="0.25">
      <c r="F929" s="29"/>
    </row>
    <row r="930" spans="6:6" x14ac:dyDescent="0.25">
      <c r="F930" s="29"/>
    </row>
    <row r="931" spans="6:6" x14ac:dyDescent="0.25">
      <c r="F931" s="29"/>
    </row>
    <row r="932" spans="6:6" x14ac:dyDescent="0.25">
      <c r="F932" s="29"/>
    </row>
    <row r="933" spans="6:6" x14ac:dyDescent="0.25">
      <c r="F933" s="29"/>
    </row>
    <row r="934" spans="6:6" x14ac:dyDescent="0.25">
      <c r="F934" s="29"/>
    </row>
    <row r="935" spans="6:6" x14ac:dyDescent="0.25">
      <c r="F935" s="29"/>
    </row>
    <row r="936" spans="6:6" x14ac:dyDescent="0.25">
      <c r="F936" s="29"/>
    </row>
    <row r="937" spans="6:6" x14ac:dyDescent="0.25">
      <c r="F937" s="29"/>
    </row>
    <row r="938" spans="6:6" x14ac:dyDescent="0.25">
      <c r="F938" s="29"/>
    </row>
    <row r="939" spans="6:6" x14ac:dyDescent="0.25">
      <c r="F939" s="29"/>
    </row>
    <row r="940" spans="6:6" x14ac:dyDescent="0.25">
      <c r="F940" s="29"/>
    </row>
    <row r="941" spans="6:6" x14ac:dyDescent="0.25">
      <c r="F941" s="29"/>
    </row>
    <row r="942" spans="6:6" x14ac:dyDescent="0.25">
      <c r="F942" s="29"/>
    </row>
    <row r="943" spans="6:6" x14ac:dyDescent="0.25">
      <c r="F943" s="29"/>
    </row>
    <row r="944" spans="6:6" x14ac:dyDescent="0.25">
      <c r="F944" s="29"/>
    </row>
    <row r="945" spans="6:6" x14ac:dyDescent="0.25">
      <c r="F945" s="29"/>
    </row>
    <row r="946" spans="6:6" x14ac:dyDescent="0.25">
      <c r="F946" s="29"/>
    </row>
    <row r="947" spans="6:6" x14ac:dyDescent="0.25">
      <c r="F947" s="29"/>
    </row>
    <row r="948" spans="6:6" x14ac:dyDescent="0.25">
      <c r="F948" s="29"/>
    </row>
    <row r="949" spans="6:6" x14ac:dyDescent="0.25">
      <c r="F949" s="29"/>
    </row>
    <row r="950" spans="6:6" x14ac:dyDescent="0.25">
      <c r="F950" s="29"/>
    </row>
    <row r="951" spans="6:6" x14ac:dyDescent="0.25">
      <c r="F951" s="29"/>
    </row>
    <row r="952" spans="6:6" x14ac:dyDescent="0.25">
      <c r="F952" s="29"/>
    </row>
    <row r="953" spans="6:6" x14ac:dyDescent="0.25">
      <c r="F953" s="29"/>
    </row>
    <row r="954" spans="6:6" x14ac:dyDescent="0.25">
      <c r="F954" s="29"/>
    </row>
    <row r="955" spans="6:6" x14ac:dyDescent="0.25">
      <c r="F955" s="29"/>
    </row>
    <row r="956" spans="6:6" x14ac:dyDescent="0.25">
      <c r="F956" s="29"/>
    </row>
    <row r="957" spans="6:6" x14ac:dyDescent="0.25">
      <c r="F957" s="29"/>
    </row>
    <row r="958" spans="6:6" x14ac:dyDescent="0.25">
      <c r="F958" s="29"/>
    </row>
    <row r="959" spans="6:6" x14ac:dyDescent="0.25">
      <c r="F959" s="29"/>
    </row>
    <row r="960" spans="6:6" x14ac:dyDescent="0.25">
      <c r="F960" s="29"/>
    </row>
    <row r="961" spans="6:6" x14ac:dyDescent="0.25">
      <c r="F961" s="29"/>
    </row>
    <row r="962" spans="6:6" x14ac:dyDescent="0.25">
      <c r="F962" s="29"/>
    </row>
    <row r="963" spans="6:6" x14ac:dyDescent="0.25">
      <c r="F963" s="29"/>
    </row>
    <row r="964" spans="6:6" x14ac:dyDescent="0.25">
      <c r="F964" s="29"/>
    </row>
    <row r="965" spans="6:6" x14ac:dyDescent="0.25">
      <c r="F965" s="29"/>
    </row>
    <row r="966" spans="6:6" x14ac:dyDescent="0.25">
      <c r="F966" s="29"/>
    </row>
    <row r="967" spans="6:6" x14ac:dyDescent="0.25">
      <c r="F967" s="29"/>
    </row>
    <row r="968" spans="6:6" x14ac:dyDescent="0.25">
      <c r="F968" s="29"/>
    </row>
    <row r="969" spans="6:6" x14ac:dyDescent="0.25">
      <c r="F969" s="29"/>
    </row>
    <row r="970" spans="6:6" x14ac:dyDescent="0.25">
      <c r="F970" s="29"/>
    </row>
    <row r="971" spans="6:6" x14ac:dyDescent="0.25">
      <c r="F971" s="29"/>
    </row>
    <row r="972" spans="6:6" x14ac:dyDescent="0.25">
      <c r="F972" s="29"/>
    </row>
    <row r="973" spans="6:6" x14ac:dyDescent="0.25">
      <c r="F973" s="29"/>
    </row>
    <row r="974" spans="6:6" x14ac:dyDescent="0.25">
      <c r="F974" s="29"/>
    </row>
    <row r="975" spans="6:6" x14ac:dyDescent="0.25">
      <c r="F975" s="29"/>
    </row>
    <row r="976" spans="6:6" x14ac:dyDescent="0.25">
      <c r="F976" s="29"/>
    </row>
    <row r="977" spans="6:6" x14ac:dyDescent="0.25">
      <c r="F977" s="29"/>
    </row>
    <row r="978" spans="6:6" x14ac:dyDescent="0.25">
      <c r="F978" s="29"/>
    </row>
    <row r="979" spans="6:6" x14ac:dyDescent="0.25">
      <c r="F979" s="29"/>
    </row>
    <row r="980" spans="6:6" x14ac:dyDescent="0.25">
      <c r="F980" s="29"/>
    </row>
    <row r="981" spans="6:6" x14ac:dyDescent="0.25">
      <c r="F981" s="29"/>
    </row>
    <row r="982" spans="6:6" x14ac:dyDescent="0.25">
      <c r="F982" s="29"/>
    </row>
    <row r="983" spans="6:6" x14ac:dyDescent="0.25">
      <c r="F983" s="29"/>
    </row>
    <row r="984" spans="6:6" x14ac:dyDescent="0.25">
      <c r="F984" s="29"/>
    </row>
    <row r="985" spans="6:6" x14ac:dyDescent="0.25">
      <c r="F985" s="29"/>
    </row>
    <row r="986" spans="6:6" x14ac:dyDescent="0.25">
      <c r="F986" s="29"/>
    </row>
    <row r="987" spans="6:6" x14ac:dyDescent="0.25">
      <c r="F987" s="29"/>
    </row>
    <row r="988" spans="6:6" x14ac:dyDescent="0.25">
      <c r="F988" s="29"/>
    </row>
    <row r="989" spans="6:6" x14ac:dyDescent="0.25">
      <c r="F989" s="29"/>
    </row>
    <row r="990" spans="6:6" x14ac:dyDescent="0.25">
      <c r="F990" s="29"/>
    </row>
    <row r="991" spans="6:6" x14ac:dyDescent="0.25">
      <c r="F991" s="29"/>
    </row>
    <row r="992" spans="6:6" x14ac:dyDescent="0.25">
      <c r="F992" s="29"/>
    </row>
    <row r="993" spans="6:6" x14ac:dyDescent="0.25">
      <c r="F993" s="29"/>
    </row>
    <row r="994" spans="6:6" x14ac:dyDescent="0.25">
      <c r="F994" s="29"/>
    </row>
    <row r="995" spans="6:6" x14ac:dyDescent="0.25">
      <c r="F995" s="29"/>
    </row>
    <row r="996" spans="6:6" x14ac:dyDescent="0.25">
      <c r="F996" s="29"/>
    </row>
    <row r="997" spans="6:6" x14ac:dyDescent="0.25">
      <c r="F997" s="29"/>
    </row>
    <row r="998" spans="6:6" x14ac:dyDescent="0.25">
      <c r="F998" s="29"/>
    </row>
    <row r="999" spans="6:6" x14ac:dyDescent="0.25">
      <c r="F999" s="29"/>
    </row>
    <row r="1000" spans="6:6" x14ac:dyDescent="0.25">
      <c r="F1000" s="29"/>
    </row>
    <row r="1001" spans="6:6" x14ac:dyDescent="0.25">
      <c r="F1001" s="29"/>
    </row>
    <row r="1002" spans="6:6" x14ac:dyDescent="0.25">
      <c r="F1002" s="29"/>
    </row>
    <row r="1003" spans="6:6" x14ac:dyDescent="0.25">
      <c r="F1003" s="29"/>
    </row>
    <row r="1004" spans="6:6" x14ac:dyDescent="0.25">
      <c r="F1004" s="29"/>
    </row>
    <row r="1005" spans="6:6" x14ac:dyDescent="0.25">
      <c r="F1005" s="29"/>
    </row>
    <row r="1006" spans="6:6" x14ac:dyDescent="0.25">
      <c r="F1006" s="29"/>
    </row>
    <row r="1007" spans="6:6" x14ac:dyDescent="0.25">
      <c r="F1007" s="29"/>
    </row>
    <row r="1008" spans="6:6" x14ac:dyDescent="0.25">
      <c r="F1008" s="29"/>
    </row>
    <row r="1009" spans="6:6" x14ac:dyDescent="0.25">
      <c r="F1009" s="29"/>
    </row>
    <row r="1010" spans="6:6" x14ac:dyDescent="0.25">
      <c r="F1010" s="29"/>
    </row>
    <row r="1011" spans="6:6" x14ac:dyDescent="0.25">
      <c r="F1011" s="29"/>
    </row>
    <row r="1012" spans="6:6" x14ac:dyDescent="0.25">
      <c r="F1012" s="29"/>
    </row>
    <row r="1013" spans="6:6" x14ac:dyDescent="0.25">
      <c r="F1013" s="29"/>
    </row>
    <row r="1014" spans="6:6" x14ac:dyDescent="0.25">
      <c r="F1014" s="29"/>
    </row>
    <row r="1015" spans="6:6" x14ac:dyDescent="0.25">
      <c r="F1015" s="29"/>
    </row>
    <row r="1016" spans="6:6" x14ac:dyDescent="0.25">
      <c r="F1016" s="29"/>
    </row>
    <row r="1017" spans="6:6" x14ac:dyDescent="0.25">
      <c r="F1017" s="29"/>
    </row>
    <row r="1018" spans="6:6" x14ac:dyDescent="0.25">
      <c r="F1018" s="29"/>
    </row>
    <row r="1019" spans="6:6" x14ac:dyDescent="0.25">
      <c r="F1019" s="29"/>
    </row>
    <row r="1020" spans="6:6" x14ac:dyDescent="0.25">
      <c r="F1020" s="29"/>
    </row>
    <row r="1021" spans="6:6" x14ac:dyDescent="0.25">
      <c r="F1021" s="29"/>
    </row>
    <row r="1022" spans="6:6" x14ac:dyDescent="0.25">
      <c r="F1022" s="29"/>
    </row>
    <row r="1023" spans="6:6" x14ac:dyDescent="0.25">
      <c r="F1023" s="29"/>
    </row>
    <row r="1024" spans="6:6" x14ac:dyDescent="0.25">
      <c r="F1024" s="29"/>
    </row>
    <row r="1025" spans="6:6" x14ac:dyDescent="0.25">
      <c r="F1025" s="29"/>
    </row>
    <row r="1026" spans="6:6" x14ac:dyDescent="0.25">
      <c r="F1026" s="29"/>
    </row>
    <row r="1027" spans="6:6" x14ac:dyDescent="0.25">
      <c r="F1027" s="29"/>
    </row>
    <row r="1028" spans="6:6" x14ac:dyDescent="0.25">
      <c r="F1028" s="29"/>
    </row>
    <row r="1029" spans="6:6" x14ac:dyDescent="0.25">
      <c r="F1029" s="29"/>
    </row>
    <row r="1030" spans="6:6" x14ac:dyDescent="0.25">
      <c r="F1030" s="29"/>
    </row>
    <row r="1031" spans="6:6" x14ac:dyDescent="0.25">
      <c r="F1031" s="29"/>
    </row>
    <row r="1032" spans="6:6" x14ac:dyDescent="0.25">
      <c r="F1032" s="29"/>
    </row>
    <row r="1033" spans="6:6" x14ac:dyDescent="0.25">
      <c r="F1033" s="29"/>
    </row>
    <row r="1034" spans="6:6" x14ac:dyDescent="0.25">
      <c r="F1034" s="29"/>
    </row>
    <row r="1035" spans="6:6" x14ac:dyDescent="0.25">
      <c r="F1035" s="29"/>
    </row>
    <row r="1036" spans="6:6" x14ac:dyDescent="0.25">
      <c r="F1036" s="29"/>
    </row>
    <row r="1037" spans="6:6" x14ac:dyDescent="0.25">
      <c r="F1037" s="29"/>
    </row>
    <row r="1038" spans="6:6" x14ac:dyDescent="0.25">
      <c r="F1038" s="29"/>
    </row>
    <row r="1039" spans="6:6" x14ac:dyDescent="0.25">
      <c r="F1039" s="29"/>
    </row>
  </sheetData>
  <mergeCells count="1">
    <mergeCell ref="U1:X1"/>
  </mergeCell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0" r:id="rId4" name="cbFileSelect">
          <controlPr autoLine="0" linkedCell="#REF!" r:id="rId5">
            <anchor moveWithCells="1">
              <from>
                <xdr:col>19</xdr:col>
                <xdr:colOff>666750</xdr:colOff>
                <xdr:row>1</xdr:row>
                <xdr:rowOff>142875</xdr:rowOff>
              </from>
              <to>
                <xdr:col>27</xdr:col>
                <xdr:colOff>190500</xdr:colOff>
                <xdr:row>3</xdr:row>
                <xdr:rowOff>9525</xdr:rowOff>
              </to>
            </anchor>
          </controlPr>
        </control>
      </mc:Choice>
      <mc:Fallback>
        <control shapeId="2050" r:id="rId4" name="cbFileSelect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Refresh_Click">
            <anchor moveWithCells="1">
              <from>
                <xdr:col>20</xdr:col>
                <xdr:colOff>0</xdr:colOff>
                <xdr:row>3</xdr:row>
                <xdr:rowOff>85725</xdr:rowOff>
              </from>
              <to>
                <xdr:col>22</xdr:col>
                <xdr:colOff>266700</xdr:colOff>
                <xdr:row>5</xdr:row>
                <xdr:rowOff>66675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030"/>
  <sheetViews>
    <sheetView workbookViewId="0">
      <selection activeCell="B13" sqref="B13"/>
    </sheetView>
  </sheetViews>
  <sheetFormatPr defaultRowHeight="15" x14ac:dyDescent="0.25"/>
  <cols>
    <col min="1" max="1" width="2" customWidth="1"/>
    <col min="2" max="2" width="22.85546875" customWidth="1"/>
    <col min="3" max="3" width="8.140625" customWidth="1"/>
    <col min="4" max="4" width="5" customWidth="1"/>
    <col min="5" max="5" width="23.7109375" customWidth="1"/>
    <col min="6" max="6" width="10.85546875" customWidth="1"/>
    <col min="7" max="7" width="6.7109375" style="5" customWidth="1"/>
    <col min="8" max="8" width="6.7109375" customWidth="1"/>
    <col min="9" max="9" width="8.7109375" customWidth="1"/>
    <col min="10" max="10" width="5.140625" customWidth="1"/>
    <col min="11" max="11" width="10.140625" customWidth="1"/>
    <col min="12" max="14" width="9.140625" customWidth="1"/>
  </cols>
  <sheetData>
    <row r="1" spans="1:9" x14ac:dyDescent="0.25">
      <c r="A1" t="s">
        <v>127</v>
      </c>
      <c r="B1" t="s">
        <v>128</v>
      </c>
      <c r="C1" t="s">
        <v>129</v>
      </c>
      <c r="D1">
        <v>1235</v>
      </c>
      <c r="E1" t="s">
        <v>130</v>
      </c>
      <c r="F1" t="s">
        <v>131</v>
      </c>
      <c r="G1" t="s">
        <v>132</v>
      </c>
      <c r="H1" t="s">
        <v>133</v>
      </c>
      <c r="I1" s="90">
        <v>43163</v>
      </c>
    </row>
    <row r="2" spans="1:9" x14ac:dyDescent="0.25">
      <c r="A2">
        <v>1</v>
      </c>
      <c r="B2">
        <v>20.43</v>
      </c>
      <c r="C2" s="1">
        <v>0.80660879629629623</v>
      </c>
      <c r="G2"/>
    </row>
    <row r="3" spans="1:9" x14ac:dyDescent="0.25">
      <c r="A3">
        <v>2</v>
      </c>
      <c r="B3">
        <v>20.48</v>
      </c>
      <c r="C3" s="1">
        <v>0.80663194444444442</v>
      </c>
      <c r="G3"/>
    </row>
    <row r="4" spans="1:9" x14ac:dyDescent="0.25">
      <c r="A4">
        <v>3</v>
      </c>
      <c r="B4">
        <v>20.6</v>
      </c>
      <c r="C4" s="1">
        <v>0.80664351851851857</v>
      </c>
      <c r="G4"/>
    </row>
    <row r="5" spans="1:9" x14ac:dyDescent="0.25">
      <c r="A5">
        <v>4</v>
      </c>
      <c r="B5">
        <v>20.6</v>
      </c>
      <c r="C5" s="1">
        <v>0.80666666666666664</v>
      </c>
      <c r="G5"/>
    </row>
    <row r="6" spans="1:9" x14ac:dyDescent="0.25">
      <c r="G6"/>
    </row>
    <row r="7" spans="1:9" x14ac:dyDescent="0.25">
      <c r="G7"/>
    </row>
    <row r="8" spans="1:9" x14ac:dyDescent="0.25">
      <c r="G8"/>
    </row>
    <row r="9" spans="1:9" x14ac:dyDescent="0.25">
      <c r="G9"/>
    </row>
    <row r="10" spans="1:9" x14ac:dyDescent="0.25">
      <c r="G10"/>
    </row>
    <row r="11" spans="1:9" x14ac:dyDescent="0.25">
      <c r="G11"/>
    </row>
    <row r="12" spans="1:9" x14ac:dyDescent="0.25">
      <c r="G12"/>
    </row>
    <row r="13" spans="1:9" x14ac:dyDescent="0.25">
      <c r="G13"/>
    </row>
    <row r="14" spans="1:9" x14ac:dyDescent="0.25">
      <c r="G14"/>
    </row>
    <row r="15" spans="1:9" x14ac:dyDescent="0.25">
      <c r="G15"/>
    </row>
    <row r="16" spans="1:9" x14ac:dyDescent="0.25">
      <c r="G16"/>
    </row>
    <row r="17" spans="7:7" x14ac:dyDescent="0.25">
      <c r="G17"/>
    </row>
    <row r="18" spans="7:7" x14ac:dyDescent="0.25">
      <c r="G18"/>
    </row>
    <row r="19" spans="7:7" x14ac:dyDescent="0.25">
      <c r="G19"/>
    </row>
    <row r="20" spans="7:7" x14ac:dyDescent="0.25">
      <c r="G20"/>
    </row>
    <row r="21" spans="7:7" x14ac:dyDescent="0.25">
      <c r="G21"/>
    </row>
    <row r="22" spans="7:7" x14ac:dyDescent="0.25">
      <c r="G22"/>
    </row>
    <row r="23" spans="7:7" x14ac:dyDescent="0.25">
      <c r="G23"/>
    </row>
    <row r="24" spans="7:7" x14ac:dyDescent="0.25">
      <c r="G24"/>
    </row>
    <row r="25" spans="7:7" x14ac:dyDescent="0.25">
      <c r="G25"/>
    </row>
    <row r="26" spans="7:7" x14ac:dyDescent="0.25">
      <c r="G26"/>
    </row>
    <row r="27" spans="7:7" x14ac:dyDescent="0.25">
      <c r="G27"/>
    </row>
    <row r="28" spans="7:7" x14ac:dyDescent="0.25">
      <c r="G28"/>
    </row>
    <row r="29" spans="7:7" x14ac:dyDescent="0.25">
      <c r="G29"/>
    </row>
    <row r="30" spans="7:7" x14ac:dyDescent="0.25">
      <c r="G30"/>
    </row>
    <row r="31" spans="7:7" x14ac:dyDescent="0.25">
      <c r="G31"/>
    </row>
    <row r="32" spans="7:7" x14ac:dyDescent="0.25">
      <c r="G32"/>
    </row>
    <row r="33" spans="7:7" x14ac:dyDescent="0.25">
      <c r="G33"/>
    </row>
    <row r="34" spans="7:7" x14ac:dyDescent="0.25">
      <c r="G34"/>
    </row>
    <row r="35" spans="7:7" x14ac:dyDescent="0.25">
      <c r="G35"/>
    </row>
    <row r="36" spans="7:7" x14ac:dyDescent="0.25">
      <c r="G36"/>
    </row>
    <row r="37" spans="7:7" x14ac:dyDescent="0.25">
      <c r="G37"/>
    </row>
    <row r="38" spans="7:7" x14ac:dyDescent="0.25">
      <c r="G38"/>
    </row>
    <row r="39" spans="7:7" x14ac:dyDescent="0.25">
      <c r="G39"/>
    </row>
    <row r="40" spans="7:7" x14ac:dyDescent="0.25">
      <c r="G40"/>
    </row>
    <row r="41" spans="7:7" x14ac:dyDescent="0.25">
      <c r="G41"/>
    </row>
    <row r="42" spans="7:7" x14ac:dyDescent="0.25">
      <c r="G42"/>
    </row>
    <row r="43" spans="7:7" x14ac:dyDescent="0.25">
      <c r="G43"/>
    </row>
    <row r="44" spans="7:7" x14ac:dyDescent="0.25">
      <c r="G44"/>
    </row>
    <row r="45" spans="7:7" x14ac:dyDescent="0.25">
      <c r="G45"/>
    </row>
    <row r="46" spans="7:7" x14ac:dyDescent="0.25">
      <c r="G46"/>
    </row>
    <row r="47" spans="7:7" x14ac:dyDescent="0.25">
      <c r="G47"/>
    </row>
    <row r="48" spans="7:7" x14ac:dyDescent="0.25">
      <c r="G48"/>
    </row>
    <row r="49" spans="7:7" x14ac:dyDescent="0.25">
      <c r="G49"/>
    </row>
    <row r="50" spans="7:7" x14ac:dyDescent="0.25">
      <c r="G50"/>
    </row>
    <row r="51" spans="7:7" x14ac:dyDescent="0.25">
      <c r="G51"/>
    </row>
    <row r="52" spans="7:7" x14ac:dyDescent="0.25">
      <c r="G52"/>
    </row>
    <row r="53" spans="7:7" x14ac:dyDescent="0.25">
      <c r="G53"/>
    </row>
    <row r="54" spans="7:7" x14ac:dyDescent="0.25">
      <c r="G54"/>
    </row>
    <row r="55" spans="7:7" x14ac:dyDescent="0.25">
      <c r="G55"/>
    </row>
    <row r="56" spans="7:7" x14ac:dyDescent="0.25">
      <c r="G56"/>
    </row>
    <row r="57" spans="7:7" x14ac:dyDescent="0.25">
      <c r="G57"/>
    </row>
    <row r="58" spans="7:7" x14ac:dyDescent="0.25">
      <c r="G58"/>
    </row>
    <row r="59" spans="7:7" x14ac:dyDescent="0.25">
      <c r="G59"/>
    </row>
    <row r="60" spans="7:7" x14ac:dyDescent="0.25">
      <c r="G60"/>
    </row>
    <row r="61" spans="7:7" x14ac:dyDescent="0.25">
      <c r="G61"/>
    </row>
    <row r="62" spans="7:7" x14ac:dyDescent="0.25">
      <c r="G62"/>
    </row>
    <row r="63" spans="7:7" x14ac:dyDescent="0.25">
      <c r="G63"/>
    </row>
    <row r="64" spans="7:7" x14ac:dyDescent="0.25">
      <c r="G64"/>
    </row>
    <row r="65" spans="7:7" x14ac:dyDescent="0.25">
      <c r="G65"/>
    </row>
    <row r="66" spans="7:7" x14ac:dyDescent="0.25">
      <c r="G66"/>
    </row>
    <row r="67" spans="7:7" x14ac:dyDescent="0.25">
      <c r="G67"/>
    </row>
    <row r="68" spans="7:7" x14ac:dyDescent="0.25">
      <c r="G68"/>
    </row>
    <row r="69" spans="7:7" x14ac:dyDescent="0.25">
      <c r="G69"/>
    </row>
    <row r="70" spans="7:7" x14ac:dyDescent="0.25">
      <c r="G70"/>
    </row>
    <row r="71" spans="7:7" x14ac:dyDescent="0.25">
      <c r="G71"/>
    </row>
    <row r="72" spans="7:7" x14ac:dyDescent="0.25">
      <c r="G72"/>
    </row>
    <row r="73" spans="7:7" x14ac:dyDescent="0.25">
      <c r="G73"/>
    </row>
    <row r="74" spans="7:7" x14ac:dyDescent="0.25">
      <c r="G74"/>
    </row>
    <row r="75" spans="7:7" x14ac:dyDescent="0.25">
      <c r="G75"/>
    </row>
    <row r="76" spans="7:7" x14ac:dyDescent="0.25">
      <c r="G76"/>
    </row>
    <row r="77" spans="7:7" x14ac:dyDescent="0.25">
      <c r="G77"/>
    </row>
    <row r="78" spans="7:7" x14ac:dyDescent="0.25">
      <c r="G78"/>
    </row>
    <row r="79" spans="7:7" x14ac:dyDescent="0.25">
      <c r="G79"/>
    </row>
    <row r="80" spans="7:7" x14ac:dyDescent="0.25">
      <c r="G80"/>
    </row>
    <row r="81" spans="7:7" x14ac:dyDescent="0.25">
      <c r="G81"/>
    </row>
    <row r="82" spans="7:7" x14ac:dyDescent="0.25">
      <c r="G82"/>
    </row>
    <row r="83" spans="7:7" x14ac:dyDescent="0.25">
      <c r="G83"/>
    </row>
    <row r="84" spans="7:7" x14ac:dyDescent="0.25">
      <c r="G84"/>
    </row>
    <row r="85" spans="7:7" x14ac:dyDescent="0.25">
      <c r="G85"/>
    </row>
    <row r="86" spans="7:7" x14ac:dyDescent="0.25">
      <c r="G86"/>
    </row>
    <row r="87" spans="7:7" x14ac:dyDescent="0.25">
      <c r="G87"/>
    </row>
    <row r="88" spans="7:7" x14ac:dyDescent="0.25">
      <c r="G88"/>
    </row>
    <row r="89" spans="7:7" x14ac:dyDescent="0.25">
      <c r="G89"/>
    </row>
    <row r="90" spans="7:7" x14ac:dyDescent="0.25">
      <c r="G90"/>
    </row>
    <row r="91" spans="7:7" x14ac:dyDescent="0.25">
      <c r="G91"/>
    </row>
    <row r="92" spans="7:7" x14ac:dyDescent="0.25">
      <c r="G92"/>
    </row>
    <row r="93" spans="7:7" x14ac:dyDescent="0.25">
      <c r="G93"/>
    </row>
    <row r="94" spans="7:7" x14ac:dyDescent="0.25">
      <c r="G94"/>
    </row>
    <row r="95" spans="7:7" x14ac:dyDescent="0.25">
      <c r="G95"/>
    </row>
    <row r="96" spans="7:7" x14ac:dyDescent="0.25">
      <c r="G96"/>
    </row>
    <row r="97" spans="7:7" x14ac:dyDescent="0.25">
      <c r="G97"/>
    </row>
    <row r="98" spans="7:7" x14ac:dyDescent="0.25">
      <c r="G98"/>
    </row>
    <row r="99" spans="7:7" x14ac:dyDescent="0.25">
      <c r="G99"/>
    </row>
    <row r="100" spans="7:7" x14ac:dyDescent="0.25">
      <c r="G100"/>
    </row>
    <row r="101" spans="7:7" x14ac:dyDescent="0.25">
      <c r="G101"/>
    </row>
    <row r="102" spans="7:7" x14ac:dyDescent="0.25">
      <c r="G102"/>
    </row>
    <row r="103" spans="7:7" x14ac:dyDescent="0.25">
      <c r="G103"/>
    </row>
    <row r="104" spans="7:7" x14ac:dyDescent="0.25">
      <c r="G104"/>
    </row>
    <row r="105" spans="7:7" x14ac:dyDescent="0.25">
      <c r="G105"/>
    </row>
    <row r="106" spans="7:7" x14ac:dyDescent="0.25">
      <c r="G106"/>
    </row>
    <row r="107" spans="7:7" x14ac:dyDescent="0.25">
      <c r="G107"/>
    </row>
    <row r="108" spans="7:7" x14ac:dyDescent="0.25">
      <c r="G108"/>
    </row>
    <row r="109" spans="7:7" x14ac:dyDescent="0.25">
      <c r="G109"/>
    </row>
    <row r="110" spans="7:7" x14ac:dyDescent="0.25">
      <c r="G110"/>
    </row>
    <row r="111" spans="7:7" x14ac:dyDescent="0.25">
      <c r="G111"/>
    </row>
    <row r="112" spans="7:7" x14ac:dyDescent="0.25">
      <c r="G112"/>
    </row>
    <row r="113" spans="7:7" x14ac:dyDescent="0.25">
      <c r="G113"/>
    </row>
    <row r="114" spans="7:7" x14ac:dyDescent="0.25">
      <c r="G114"/>
    </row>
    <row r="115" spans="7:7" x14ac:dyDescent="0.25">
      <c r="G115"/>
    </row>
    <row r="116" spans="7:7" x14ac:dyDescent="0.25">
      <c r="G116"/>
    </row>
    <row r="117" spans="7:7" x14ac:dyDescent="0.25">
      <c r="G117"/>
    </row>
    <row r="118" spans="7:7" x14ac:dyDescent="0.25">
      <c r="G118"/>
    </row>
    <row r="119" spans="7:7" x14ac:dyDescent="0.25">
      <c r="G119"/>
    </row>
    <row r="120" spans="7:7" x14ac:dyDescent="0.25">
      <c r="G120"/>
    </row>
    <row r="121" spans="7:7" x14ac:dyDescent="0.25">
      <c r="G121"/>
    </row>
    <row r="122" spans="7:7" x14ac:dyDescent="0.25">
      <c r="G122"/>
    </row>
    <row r="123" spans="7:7" x14ac:dyDescent="0.25">
      <c r="G123"/>
    </row>
    <row r="124" spans="7:7" x14ac:dyDescent="0.25">
      <c r="G124"/>
    </row>
    <row r="125" spans="7:7" x14ac:dyDescent="0.25">
      <c r="G125"/>
    </row>
    <row r="126" spans="7:7" x14ac:dyDescent="0.25">
      <c r="G126"/>
    </row>
    <row r="127" spans="7:7" x14ac:dyDescent="0.25">
      <c r="G127"/>
    </row>
    <row r="128" spans="7:7" x14ac:dyDescent="0.25">
      <c r="G128"/>
    </row>
    <row r="129" spans="7:7" x14ac:dyDescent="0.25">
      <c r="G129"/>
    </row>
    <row r="130" spans="7:7" x14ac:dyDescent="0.25">
      <c r="G130"/>
    </row>
    <row r="131" spans="7:7" x14ac:dyDescent="0.25">
      <c r="G131"/>
    </row>
    <row r="132" spans="7:7" x14ac:dyDescent="0.25">
      <c r="G132"/>
    </row>
    <row r="133" spans="7:7" x14ac:dyDescent="0.25">
      <c r="G133"/>
    </row>
    <row r="134" spans="7:7" x14ac:dyDescent="0.25">
      <c r="G134"/>
    </row>
    <row r="135" spans="7:7" x14ac:dyDescent="0.25">
      <c r="G135"/>
    </row>
    <row r="136" spans="7:7" x14ac:dyDescent="0.25">
      <c r="G136"/>
    </row>
    <row r="137" spans="7:7" x14ac:dyDescent="0.25">
      <c r="G137"/>
    </row>
    <row r="138" spans="7:7" x14ac:dyDescent="0.25">
      <c r="G138"/>
    </row>
    <row r="139" spans="7:7" x14ac:dyDescent="0.25">
      <c r="G139"/>
    </row>
    <row r="140" spans="7:7" x14ac:dyDescent="0.25">
      <c r="G140"/>
    </row>
    <row r="141" spans="7:7" x14ac:dyDescent="0.25">
      <c r="G141"/>
    </row>
    <row r="142" spans="7:7" x14ac:dyDescent="0.25">
      <c r="G142"/>
    </row>
    <row r="143" spans="7:7" x14ac:dyDescent="0.25">
      <c r="G143"/>
    </row>
    <row r="144" spans="7:7" x14ac:dyDescent="0.25">
      <c r="G144"/>
    </row>
    <row r="145" spans="7:7" x14ac:dyDescent="0.25">
      <c r="G145"/>
    </row>
    <row r="146" spans="7:7" x14ac:dyDescent="0.25">
      <c r="G146"/>
    </row>
    <row r="147" spans="7:7" x14ac:dyDescent="0.25">
      <c r="G147"/>
    </row>
    <row r="148" spans="7:7" x14ac:dyDescent="0.25">
      <c r="G148"/>
    </row>
    <row r="149" spans="7:7" x14ac:dyDescent="0.25">
      <c r="G149"/>
    </row>
    <row r="150" spans="7:7" x14ac:dyDescent="0.25">
      <c r="G150"/>
    </row>
    <row r="151" spans="7:7" x14ac:dyDescent="0.25">
      <c r="G151"/>
    </row>
    <row r="152" spans="7:7" x14ac:dyDescent="0.25">
      <c r="G152"/>
    </row>
    <row r="153" spans="7:7" x14ac:dyDescent="0.25">
      <c r="G153"/>
    </row>
    <row r="154" spans="7:7" x14ac:dyDescent="0.25">
      <c r="G154"/>
    </row>
    <row r="155" spans="7:7" x14ac:dyDescent="0.25">
      <c r="G155"/>
    </row>
    <row r="156" spans="7:7" x14ac:dyDescent="0.25">
      <c r="G156"/>
    </row>
    <row r="157" spans="7:7" x14ac:dyDescent="0.25">
      <c r="G157"/>
    </row>
    <row r="158" spans="7:7" x14ac:dyDescent="0.25">
      <c r="G158"/>
    </row>
    <row r="159" spans="7:7" x14ac:dyDescent="0.25">
      <c r="G159"/>
    </row>
    <row r="160" spans="7:7" x14ac:dyDescent="0.25">
      <c r="G160"/>
    </row>
    <row r="161" spans="7:7" x14ac:dyDescent="0.25">
      <c r="G161"/>
    </row>
    <row r="162" spans="7:7" x14ac:dyDescent="0.25">
      <c r="G162"/>
    </row>
    <row r="163" spans="7:7" x14ac:dyDescent="0.25">
      <c r="G163"/>
    </row>
    <row r="164" spans="7:7" x14ac:dyDescent="0.25">
      <c r="G164"/>
    </row>
    <row r="165" spans="7:7" x14ac:dyDescent="0.25">
      <c r="G165"/>
    </row>
    <row r="166" spans="7:7" x14ac:dyDescent="0.25">
      <c r="G166"/>
    </row>
    <row r="167" spans="7:7" x14ac:dyDescent="0.25">
      <c r="G167"/>
    </row>
    <row r="168" spans="7:7" x14ac:dyDescent="0.25">
      <c r="G168"/>
    </row>
    <row r="169" spans="7:7" x14ac:dyDescent="0.25">
      <c r="G169"/>
    </row>
    <row r="170" spans="7:7" x14ac:dyDescent="0.25">
      <c r="G170"/>
    </row>
    <row r="171" spans="7:7" x14ac:dyDescent="0.25">
      <c r="G171"/>
    </row>
    <row r="172" spans="7:7" x14ac:dyDescent="0.25">
      <c r="G172"/>
    </row>
    <row r="173" spans="7:7" x14ac:dyDescent="0.25">
      <c r="G173"/>
    </row>
    <row r="174" spans="7:7" x14ac:dyDescent="0.25">
      <c r="G174"/>
    </row>
    <row r="175" spans="7:7" x14ac:dyDescent="0.25">
      <c r="G175"/>
    </row>
    <row r="176" spans="7:7" x14ac:dyDescent="0.25">
      <c r="G176"/>
    </row>
    <row r="177" spans="7:7" x14ac:dyDescent="0.25">
      <c r="G177"/>
    </row>
    <row r="178" spans="7:7" x14ac:dyDescent="0.25">
      <c r="G178"/>
    </row>
    <row r="179" spans="7:7" x14ac:dyDescent="0.25">
      <c r="G179"/>
    </row>
    <row r="180" spans="7:7" x14ac:dyDescent="0.25">
      <c r="G180"/>
    </row>
    <row r="181" spans="7:7" x14ac:dyDescent="0.25">
      <c r="G181"/>
    </row>
    <row r="182" spans="7:7" x14ac:dyDescent="0.25">
      <c r="G182"/>
    </row>
    <row r="183" spans="7:7" x14ac:dyDescent="0.25">
      <c r="G183"/>
    </row>
    <row r="184" spans="7:7" x14ac:dyDescent="0.25">
      <c r="G184"/>
    </row>
    <row r="185" spans="7:7" x14ac:dyDescent="0.25">
      <c r="G185"/>
    </row>
    <row r="186" spans="7:7" x14ac:dyDescent="0.25">
      <c r="G186"/>
    </row>
    <row r="187" spans="7:7" x14ac:dyDescent="0.25">
      <c r="G187"/>
    </row>
    <row r="188" spans="7:7" x14ac:dyDescent="0.25">
      <c r="G188"/>
    </row>
    <row r="189" spans="7:7" x14ac:dyDescent="0.25">
      <c r="G189"/>
    </row>
    <row r="190" spans="7:7" x14ac:dyDescent="0.25">
      <c r="G190"/>
    </row>
    <row r="191" spans="7:7" x14ac:dyDescent="0.25">
      <c r="G191"/>
    </row>
    <row r="192" spans="7:7" x14ac:dyDescent="0.25">
      <c r="G192"/>
    </row>
    <row r="193" spans="7:7" x14ac:dyDescent="0.25">
      <c r="G193"/>
    </row>
    <row r="194" spans="7:7" x14ac:dyDescent="0.25">
      <c r="G194"/>
    </row>
    <row r="195" spans="7:7" x14ac:dyDescent="0.25">
      <c r="G195"/>
    </row>
    <row r="196" spans="7:7" x14ac:dyDescent="0.25">
      <c r="G196"/>
    </row>
    <row r="197" spans="7:7" x14ac:dyDescent="0.25">
      <c r="G197"/>
    </row>
    <row r="198" spans="7:7" x14ac:dyDescent="0.25">
      <c r="G198"/>
    </row>
    <row r="199" spans="7:7" x14ac:dyDescent="0.25">
      <c r="G199"/>
    </row>
    <row r="200" spans="7:7" x14ac:dyDescent="0.25">
      <c r="G200"/>
    </row>
    <row r="201" spans="7:7" x14ac:dyDescent="0.25">
      <c r="G201"/>
    </row>
    <row r="202" spans="7:7" x14ac:dyDescent="0.25">
      <c r="G202"/>
    </row>
    <row r="203" spans="7:7" x14ac:dyDescent="0.25">
      <c r="G203"/>
    </row>
    <row r="204" spans="7:7" x14ac:dyDescent="0.25">
      <c r="G204"/>
    </row>
    <row r="205" spans="7:7" x14ac:dyDescent="0.25">
      <c r="G205"/>
    </row>
    <row r="206" spans="7:7" x14ac:dyDescent="0.25">
      <c r="G206"/>
    </row>
    <row r="207" spans="7:7" x14ac:dyDescent="0.25">
      <c r="G207"/>
    </row>
    <row r="208" spans="7:7" x14ac:dyDescent="0.25">
      <c r="G208"/>
    </row>
    <row r="209" spans="7:7" x14ac:dyDescent="0.25">
      <c r="G209"/>
    </row>
    <row r="210" spans="7:7" x14ac:dyDescent="0.25">
      <c r="G210"/>
    </row>
    <row r="211" spans="7:7" x14ac:dyDescent="0.25">
      <c r="G211"/>
    </row>
    <row r="212" spans="7:7" x14ac:dyDescent="0.25">
      <c r="G212"/>
    </row>
    <row r="213" spans="7:7" x14ac:dyDescent="0.25">
      <c r="G213"/>
    </row>
    <row r="214" spans="7:7" x14ac:dyDescent="0.25">
      <c r="G214"/>
    </row>
    <row r="215" spans="7:7" x14ac:dyDescent="0.25">
      <c r="G215"/>
    </row>
    <row r="216" spans="7:7" x14ac:dyDescent="0.25">
      <c r="G216"/>
    </row>
    <row r="217" spans="7:7" x14ac:dyDescent="0.25">
      <c r="G217"/>
    </row>
    <row r="218" spans="7:7" x14ac:dyDescent="0.25">
      <c r="G218"/>
    </row>
    <row r="219" spans="7:7" x14ac:dyDescent="0.25">
      <c r="G219"/>
    </row>
    <row r="220" spans="7:7" x14ac:dyDescent="0.25">
      <c r="G220"/>
    </row>
    <row r="221" spans="7:7" x14ac:dyDescent="0.25">
      <c r="G221"/>
    </row>
    <row r="222" spans="7:7" x14ac:dyDescent="0.25">
      <c r="G222"/>
    </row>
    <row r="223" spans="7:7" x14ac:dyDescent="0.25">
      <c r="G223"/>
    </row>
    <row r="224" spans="7:7" x14ac:dyDescent="0.25">
      <c r="G224"/>
    </row>
    <row r="225" spans="7:7" x14ac:dyDescent="0.25">
      <c r="G225"/>
    </row>
    <row r="226" spans="7:7" x14ac:dyDescent="0.25">
      <c r="G226"/>
    </row>
    <row r="227" spans="7:7" x14ac:dyDescent="0.25">
      <c r="G227"/>
    </row>
    <row r="228" spans="7:7" x14ac:dyDescent="0.25">
      <c r="G228"/>
    </row>
    <row r="229" spans="7:7" x14ac:dyDescent="0.25">
      <c r="G229"/>
    </row>
    <row r="230" spans="7:7" x14ac:dyDescent="0.25">
      <c r="G230"/>
    </row>
    <row r="231" spans="7:7" x14ac:dyDescent="0.25">
      <c r="G231"/>
    </row>
    <row r="232" spans="7:7" x14ac:dyDescent="0.25">
      <c r="G232"/>
    </row>
    <row r="233" spans="7:7" x14ac:dyDescent="0.25">
      <c r="G233"/>
    </row>
    <row r="234" spans="7:7" x14ac:dyDescent="0.25">
      <c r="G234"/>
    </row>
    <row r="235" spans="7:7" x14ac:dyDescent="0.25">
      <c r="G235"/>
    </row>
    <row r="236" spans="7:7" x14ac:dyDescent="0.25">
      <c r="G236"/>
    </row>
    <row r="237" spans="7:7" x14ac:dyDescent="0.25">
      <c r="G237"/>
    </row>
    <row r="238" spans="7:7" x14ac:dyDescent="0.25">
      <c r="G238"/>
    </row>
    <row r="239" spans="7:7" x14ac:dyDescent="0.25">
      <c r="G239"/>
    </row>
    <row r="240" spans="7:7" x14ac:dyDescent="0.25">
      <c r="G240"/>
    </row>
    <row r="241" spans="7:7" x14ac:dyDescent="0.25">
      <c r="G241"/>
    </row>
    <row r="242" spans="7:7" x14ac:dyDescent="0.25">
      <c r="G242"/>
    </row>
    <row r="243" spans="7:7" x14ac:dyDescent="0.25">
      <c r="G243"/>
    </row>
    <row r="244" spans="7:7" x14ac:dyDescent="0.25">
      <c r="G244"/>
    </row>
    <row r="245" spans="7:7" x14ac:dyDescent="0.25">
      <c r="G245"/>
    </row>
    <row r="246" spans="7:7" x14ac:dyDescent="0.25">
      <c r="G246"/>
    </row>
    <row r="247" spans="7:7" x14ac:dyDescent="0.25">
      <c r="G247"/>
    </row>
    <row r="248" spans="7:7" x14ac:dyDescent="0.25">
      <c r="G248"/>
    </row>
    <row r="249" spans="7:7" x14ac:dyDescent="0.25">
      <c r="G249"/>
    </row>
    <row r="250" spans="7:7" x14ac:dyDescent="0.25">
      <c r="G250"/>
    </row>
    <row r="251" spans="7:7" x14ac:dyDescent="0.25">
      <c r="G251"/>
    </row>
    <row r="252" spans="7:7" x14ac:dyDescent="0.25">
      <c r="G252"/>
    </row>
    <row r="253" spans="7:7" x14ac:dyDescent="0.25">
      <c r="G253"/>
    </row>
    <row r="254" spans="7:7" x14ac:dyDescent="0.25">
      <c r="G254"/>
    </row>
    <row r="255" spans="7:7" x14ac:dyDescent="0.25">
      <c r="G255"/>
    </row>
    <row r="256" spans="7:7" x14ac:dyDescent="0.25">
      <c r="G256"/>
    </row>
    <row r="257" spans="7:7" x14ac:dyDescent="0.25">
      <c r="G257"/>
    </row>
    <row r="258" spans="7:7" x14ac:dyDescent="0.25">
      <c r="G258"/>
    </row>
    <row r="259" spans="7:7" x14ac:dyDescent="0.25">
      <c r="G259"/>
    </row>
    <row r="260" spans="7:7" x14ac:dyDescent="0.25">
      <c r="G260"/>
    </row>
    <row r="261" spans="7:7" x14ac:dyDescent="0.25">
      <c r="G261"/>
    </row>
    <row r="262" spans="7:7" x14ac:dyDescent="0.25">
      <c r="G262"/>
    </row>
    <row r="263" spans="7:7" x14ac:dyDescent="0.25">
      <c r="G263"/>
    </row>
    <row r="264" spans="7:7" x14ac:dyDescent="0.25">
      <c r="G264"/>
    </row>
    <row r="265" spans="7:7" x14ac:dyDescent="0.25">
      <c r="G265"/>
    </row>
    <row r="266" spans="7:7" x14ac:dyDescent="0.25">
      <c r="G266"/>
    </row>
    <row r="267" spans="7:7" x14ac:dyDescent="0.25">
      <c r="G267"/>
    </row>
    <row r="268" spans="7:7" x14ac:dyDescent="0.25">
      <c r="G268"/>
    </row>
    <row r="269" spans="7:7" x14ac:dyDescent="0.25">
      <c r="G269"/>
    </row>
    <row r="270" spans="7:7" x14ac:dyDescent="0.25">
      <c r="G270"/>
    </row>
    <row r="271" spans="7:7" x14ac:dyDescent="0.25">
      <c r="G271"/>
    </row>
    <row r="272" spans="7:7" x14ac:dyDescent="0.25">
      <c r="G272"/>
    </row>
    <row r="273" spans="7:7" x14ac:dyDescent="0.25">
      <c r="G273"/>
    </row>
    <row r="274" spans="7:7" x14ac:dyDescent="0.25">
      <c r="G274"/>
    </row>
    <row r="275" spans="7:7" x14ac:dyDescent="0.25">
      <c r="G275"/>
    </row>
    <row r="276" spans="7:7" x14ac:dyDescent="0.25">
      <c r="G276"/>
    </row>
    <row r="277" spans="7:7" x14ac:dyDescent="0.25">
      <c r="G277"/>
    </row>
    <row r="278" spans="7:7" x14ac:dyDescent="0.25">
      <c r="G278"/>
    </row>
    <row r="279" spans="7:7" x14ac:dyDescent="0.25">
      <c r="G279"/>
    </row>
    <row r="280" spans="7:7" x14ac:dyDescent="0.25">
      <c r="G280"/>
    </row>
    <row r="281" spans="7:7" x14ac:dyDescent="0.25">
      <c r="G281"/>
    </row>
    <row r="282" spans="7:7" x14ac:dyDescent="0.25">
      <c r="G282"/>
    </row>
    <row r="283" spans="7:7" x14ac:dyDescent="0.25">
      <c r="G283"/>
    </row>
    <row r="284" spans="7:7" x14ac:dyDescent="0.25">
      <c r="G284"/>
    </row>
    <row r="285" spans="7:7" x14ac:dyDescent="0.25">
      <c r="G285"/>
    </row>
    <row r="286" spans="7:7" x14ac:dyDescent="0.25">
      <c r="G286"/>
    </row>
    <row r="287" spans="7:7" x14ac:dyDescent="0.25">
      <c r="G287"/>
    </row>
    <row r="288" spans="7:7" x14ac:dyDescent="0.25">
      <c r="G288"/>
    </row>
    <row r="289" spans="7:7" x14ac:dyDescent="0.25">
      <c r="G289"/>
    </row>
    <row r="290" spans="7:7" x14ac:dyDescent="0.25">
      <c r="G290"/>
    </row>
    <row r="291" spans="7:7" x14ac:dyDescent="0.25">
      <c r="G291"/>
    </row>
    <row r="292" spans="7:7" x14ac:dyDescent="0.25">
      <c r="G292"/>
    </row>
    <row r="293" spans="7:7" x14ac:dyDescent="0.25">
      <c r="G293"/>
    </row>
    <row r="294" spans="7:7" x14ac:dyDescent="0.25">
      <c r="G294"/>
    </row>
    <row r="295" spans="7:7" x14ac:dyDescent="0.25">
      <c r="G295"/>
    </row>
    <row r="296" spans="7:7" x14ac:dyDescent="0.25">
      <c r="G296"/>
    </row>
    <row r="297" spans="7:7" x14ac:dyDescent="0.25">
      <c r="G297"/>
    </row>
    <row r="298" spans="7:7" x14ac:dyDescent="0.25">
      <c r="G298"/>
    </row>
    <row r="299" spans="7:7" x14ac:dyDescent="0.25">
      <c r="G299"/>
    </row>
    <row r="300" spans="7:7" x14ac:dyDescent="0.25">
      <c r="G300"/>
    </row>
    <row r="301" spans="7:7" x14ac:dyDescent="0.25">
      <c r="G301"/>
    </row>
    <row r="302" spans="7:7" x14ac:dyDescent="0.25">
      <c r="G302"/>
    </row>
    <row r="303" spans="7:7" x14ac:dyDescent="0.25">
      <c r="G303"/>
    </row>
    <row r="304" spans="7:7" x14ac:dyDescent="0.25">
      <c r="G304"/>
    </row>
    <row r="305" spans="7:7" x14ac:dyDescent="0.25">
      <c r="G305"/>
    </row>
    <row r="306" spans="7:7" x14ac:dyDescent="0.25">
      <c r="G306"/>
    </row>
    <row r="307" spans="7:7" x14ac:dyDescent="0.25">
      <c r="G307"/>
    </row>
    <row r="308" spans="7:7" x14ac:dyDescent="0.25">
      <c r="G308"/>
    </row>
    <row r="309" spans="7:7" x14ac:dyDescent="0.25">
      <c r="G309"/>
    </row>
    <row r="310" spans="7:7" x14ac:dyDescent="0.25">
      <c r="G310"/>
    </row>
    <row r="311" spans="7:7" x14ac:dyDescent="0.25">
      <c r="G311"/>
    </row>
    <row r="312" spans="7:7" x14ac:dyDescent="0.25">
      <c r="G312"/>
    </row>
    <row r="313" spans="7:7" x14ac:dyDescent="0.25">
      <c r="G313"/>
    </row>
    <row r="314" spans="7:7" x14ac:dyDescent="0.25">
      <c r="G314"/>
    </row>
    <row r="315" spans="7:7" x14ac:dyDescent="0.25">
      <c r="G315"/>
    </row>
    <row r="316" spans="7:7" x14ac:dyDescent="0.25">
      <c r="G316"/>
    </row>
    <row r="317" spans="7:7" x14ac:dyDescent="0.25">
      <c r="G317"/>
    </row>
    <row r="318" spans="7:7" x14ac:dyDescent="0.25">
      <c r="G318"/>
    </row>
    <row r="319" spans="7:7" x14ac:dyDescent="0.25">
      <c r="G319"/>
    </row>
    <row r="320" spans="7:7" x14ac:dyDescent="0.25">
      <c r="G320"/>
    </row>
    <row r="321" spans="7:7" x14ac:dyDescent="0.25">
      <c r="G321"/>
    </row>
    <row r="322" spans="7:7" x14ac:dyDescent="0.25">
      <c r="G322"/>
    </row>
    <row r="323" spans="7:7" x14ac:dyDescent="0.25">
      <c r="G323"/>
    </row>
    <row r="324" spans="7:7" x14ac:dyDescent="0.25">
      <c r="G324"/>
    </row>
    <row r="325" spans="7:7" x14ac:dyDescent="0.25">
      <c r="G325"/>
    </row>
    <row r="326" spans="7:7" x14ac:dyDescent="0.25">
      <c r="G326"/>
    </row>
    <row r="327" spans="7:7" x14ac:dyDescent="0.25">
      <c r="G327"/>
    </row>
    <row r="328" spans="7:7" x14ac:dyDescent="0.25">
      <c r="G328"/>
    </row>
    <row r="329" spans="7:7" x14ac:dyDescent="0.25">
      <c r="G329"/>
    </row>
    <row r="330" spans="7:7" x14ac:dyDescent="0.25">
      <c r="G330"/>
    </row>
    <row r="331" spans="7:7" x14ac:dyDescent="0.25">
      <c r="G331"/>
    </row>
    <row r="332" spans="7:7" x14ac:dyDescent="0.25">
      <c r="G332"/>
    </row>
    <row r="333" spans="7:7" x14ac:dyDescent="0.25">
      <c r="G333"/>
    </row>
    <row r="334" spans="7:7" x14ac:dyDescent="0.25">
      <c r="G334"/>
    </row>
    <row r="335" spans="7:7" x14ac:dyDescent="0.25">
      <c r="G335"/>
    </row>
    <row r="336" spans="7:7" x14ac:dyDescent="0.25">
      <c r="G336"/>
    </row>
    <row r="337" spans="7:7" x14ac:dyDescent="0.25">
      <c r="G337"/>
    </row>
    <row r="338" spans="7:7" x14ac:dyDescent="0.25">
      <c r="G338"/>
    </row>
    <row r="339" spans="7:7" x14ac:dyDescent="0.25">
      <c r="G339"/>
    </row>
    <row r="340" spans="7:7" x14ac:dyDescent="0.25">
      <c r="G340"/>
    </row>
    <row r="341" spans="7:7" x14ac:dyDescent="0.25">
      <c r="G341"/>
    </row>
    <row r="342" spans="7:7" x14ac:dyDescent="0.25">
      <c r="G342"/>
    </row>
    <row r="343" spans="7:7" x14ac:dyDescent="0.25">
      <c r="G343"/>
    </row>
    <row r="344" spans="7:7" x14ac:dyDescent="0.25">
      <c r="G344"/>
    </row>
    <row r="345" spans="7:7" x14ac:dyDescent="0.25">
      <c r="G345"/>
    </row>
    <row r="346" spans="7:7" x14ac:dyDescent="0.25">
      <c r="G346"/>
    </row>
    <row r="347" spans="7:7" x14ac:dyDescent="0.25">
      <c r="G347"/>
    </row>
    <row r="348" spans="7:7" x14ac:dyDescent="0.25">
      <c r="G348"/>
    </row>
    <row r="349" spans="7:7" x14ac:dyDescent="0.25">
      <c r="G349"/>
    </row>
    <row r="350" spans="7:7" x14ac:dyDescent="0.25">
      <c r="G350"/>
    </row>
    <row r="351" spans="7:7" x14ac:dyDescent="0.25">
      <c r="G351"/>
    </row>
    <row r="352" spans="7:7" x14ac:dyDescent="0.25">
      <c r="G352"/>
    </row>
    <row r="353" spans="7:7" x14ac:dyDescent="0.25">
      <c r="G353"/>
    </row>
    <row r="354" spans="7:7" x14ac:dyDescent="0.25">
      <c r="G354"/>
    </row>
    <row r="355" spans="7:7" x14ac:dyDescent="0.25">
      <c r="G355"/>
    </row>
    <row r="356" spans="7:7" x14ac:dyDescent="0.25">
      <c r="G356"/>
    </row>
    <row r="357" spans="7:7" x14ac:dyDescent="0.25">
      <c r="G357"/>
    </row>
    <row r="358" spans="7:7" x14ac:dyDescent="0.25">
      <c r="G358"/>
    </row>
    <row r="359" spans="7:7" x14ac:dyDescent="0.25">
      <c r="G359"/>
    </row>
    <row r="360" spans="7:7" x14ac:dyDescent="0.25">
      <c r="G360"/>
    </row>
    <row r="361" spans="7:7" x14ac:dyDescent="0.25">
      <c r="G361"/>
    </row>
    <row r="362" spans="7:7" x14ac:dyDescent="0.25">
      <c r="G362"/>
    </row>
    <row r="363" spans="7:7" x14ac:dyDescent="0.25">
      <c r="G363"/>
    </row>
    <row r="364" spans="7:7" x14ac:dyDescent="0.25">
      <c r="G364"/>
    </row>
    <row r="365" spans="7:7" x14ac:dyDescent="0.25">
      <c r="G365"/>
    </row>
    <row r="366" spans="7:7" x14ac:dyDescent="0.25">
      <c r="G366"/>
    </row>
    <row r="367" spans="7:7" x14ac:dyDescent="0.25">
      <c r="G367"/>
    </row>
    <row r="368" spans="7:7" x14ac:dyDescent="0.25">
      <c r="G368"/>
    </row>
    <row r="369" spans="7:7" x14ac:dyDescent="0.25">
      <c r="G369"/>
    </row>
    <row r="370" spans="7:7" x14ac:dyDescent="0.25">
      <c r="G370"/>
    </row>
    <row r="371" spans="7:7" x14ac:dyDescent="0.25">
      <c r="G371"/>
    </row>
    <row r="372" spans="7:7" x14ac:dyDescent="0.25">
      <c r="G372"/>
    </row>
    <row r="373" spans="7:7" x14ac:dyDescent="0.25">
      <c r="G373"/>
    </row>
    <row r="374" spans="7:7" x14ac:dyDescent="0.25">
      <c r="G374"/>
    </row>
    <row r="375" spans="7:7" x14ac:dyDescent="0.25">
      <c r="G375"/>
    </row>
    <row r="376" spans="7:7" x14ac:dyDescent="0.25">
      <c r="G376"/>
    </row>
    <row r="377" spans="7:7" x14ac:dyDescent="0.25">
      <c r="G377"/>
    </row>
    <row r="378" spans="7:7" x14ac:dyDescent="0.25">
      <c r="G378"/>
    </row>
    <row r="379" spans="7:7" x14ac:dyDescent="0.25">
      <c r="G379"/>
    </row>
    <row r="380" spans="7:7" x14ac:dyDescent="0.25">
      <c r="G380"/>
    </row>
    <row r="381" spans="7:7" x14ac:dyDescent="0.25">
      <c r="G381"/>
    </row>
    <row r="382" spans="7:7" x14ac:dyDescent="0.25">
      <c r="G382"/>
    </row>
    <row r="383" spans="7:7" x14ac:dyDescent="0.25">
      <c r="G383"/>
    </row>
    <row r="384" spans="7:7" x14ac:dyDescent="0.25">
      <c r="G384"/>
    </row>
    <row r="385" spans="7:7" x14ac:dyDescent="0.25">
      <c r="G385"/>
    </row>
    <row r="386" spans="7:7" x14ac:dyDescent="0.25">
      <c r="G386"/>
    </row>
    <row r="387" spans="7:7" x14ac:dyDescent="0.25">
      <c r="G387"/>
    </row>
    <row r="388" spans="7:7" x14ac:dyDescent="0.25">
      <c r="G388"/>
    </row>
    <row r="389" spans="7:7" x14ac:dyDescent="0.25">
      <c r="G389"/>
    </row>
    <row r="390" spans="7:7" x14ac:dyDescent="0.25">
      <c r="G390"/>
    </row>
    <row r="391" spans="7:7" x14ac:dyDescent="0.25">
      <c r="G391"/>
    </row>
    <row r="392" spans="7:7" x14ac:dyDescent="0.25">
      <c r="G392"/>
    </row>
    <row r="393" spans="7:7" x14ac:dyDescent="0.25">
      <c r="G393"/>
    </row>
    <row r="394" spans="7:7" x14ac:dyDescent="0.25">
      <c r="G394"/>
    </row>
    <row r="395" spans="7:7" x14ac:dyDescent="0.25">
      <c r="G395"/>
    </row>
    <row r="396" spans="7:7" x14ac:dyDescent="0.25">
      <c r="G396"/>
    </row>
    <row r="397" spans="7:7" x14ac:dyDescent="0.25">
      <c r="G397"/>
    </row>
    <row r="398" spans="7:7" x14ac:dyDescent="0.25">
      <c r="G398"/>
    </row>
    <row r="399" spans="7:7" x14ac:dyDescent="0.25">
      <c r="G399"/>
    </row>
    <row r="400" spans="7:7" x14ac:dyDescent="0.25">
      <c r="G400"/>
    </row>
    <row r="401" spans="7:7" x14ac:dyDescent="0.25">
      <c r="G401"/>
    </row>
    <row r="402" spans="7:7" x14ac:dyDescent="0.25">
      <c r="G402"/>
    </row>
    <row r="403" spans="7:7" x14ac:dyDescent="0.25">
      <c r="G403"/>
    </row>
    <row r="404" spans="7:7" x14ac:dyDescent="0.25">
      <c r="G404"/>
    </row>
    <row r="405" spans="7:7" x14ac:dyDescent="0.25">
      <c r="G405"/>
    </row>
    <row r="406" spans="7:7" x14ac:dyDescent="0.25">
      <c r="G406"/>
    </row>
    <row r="407" spans="7:7" x14ac:dyDescent="0.25">
      <c r="G407"/>
    </row>
    <row r="408" spans="7:7" x14ac:dyDescent="0.25">
      <c r="G408"/>
    </row>
    <row r="409" spans="7:7" x14ac:dyDescent="0.25">
      <c r="G409"/>
    </row>
    <row r="410" spans="7:7" x14ac:dyDescent="0.25">
      <c r="G410"/>
    </row>
    <row r="411" spans="7:7" x14ac:dyDescent="0.25">
      <c r="G411"/>
    </row>
    <row r="412" spans="7:7" x14ac:dyDescent="0.25">
      <c r="G412"/>
    </row>
    <row r="413" spans="7:7" x14ac:dyDescent="0.25">
      <c r="G413"/>
    </row>
    <row r="414" spans="7:7" x14ac:dyDescent="0.25">
      <c r="G414"/>
    </row>
    <row r="415" spans="7:7" x14ac:dyDescent="0.25">
      <c r="G415"/>
    </row>
    <row r="416" spans="7:7" x14ac:dyDescent="0.25">
      <c r="G416"/>
    </row>
    <row r="417" spans="7:7" x14ac:dyDescent="0.25">
      <c r="G417"/>
    </row>
    <row r="418" spans="7:7" x14ac:dyDescent="0.25">
      <c r="G418"/>
    </row>
    <row r="419" spans="7:7" x14ac:dyDescent="0.25">
      <c r="G419"/>
    </row>
    <row r="420" spans="7:7" x14ac:dyDescent="0.25">
      <c r="G420"/>
    </row>
    <row r="421" spans="7:7" x14ac:dyDescent="0.25">
      <c r="G421"/>
    </row>
    <row r="422" spans="7:7" x14ac:dyDescent="0.25">
      <c r="G422"/>
    </row>
    <row r="423" spans="7:7" x14ac:dyDescent="0.25">
      <c r="G423"/>
    </row>
    <row r="424" spans="7:7" x14ac:dyDescent="0.25">
      <c r="G424"/>
    </row>
    <row r="425" spans="7:7" x14ac:dyDescent="0.25">
      <c r="G425"/>
    </row>
    <row r="426" spans="7:7" x14ac:dyDescent="0.25">
      <c r="G426"/>
    </row>
    <row r="427" spans="7:7" x14ac:dyDescent="0.25">
      <c r="G427"/>
    </row>
    <row r="428" spans="7:7" x14ac:dyDescent="0.25">
      <c r="G428"/>
    </row>
    <row r="429" spans="7:7" x14ac:dyDescent="0.25">
      <c r="G429"/>
    </row>
    <row r="430" spans="7:7" x14ac:dyDescent="0.25">
      <c r="G430"/>
    </row>
    <row r="431" spans="7:7" x14ac:dyDescent="0.25">
      <c r="G431"/>
    </row>
    <row r="432" spans="7:7" x14ac:dyDescent="0.25">
      <c r="G432"/>
    </row>
    <row r="433" spans="7:7" x14ac:dyDescent="0.25">
      <c r="G433"/>
    </row>
    <row r="434" spans="7:7" x14ac:dyDescent="0.25">
      <c r="G434"/>
    </row>
    <row r="435" spans="7:7" x14ac:dyDescent="0.25">
      <c r="G435"/>
    </row>
    <row r="436" spans="7:7" x14ac:dyDescent="0.25">
      <c r="G436"/>
    </row>
    <row r="437" spans="7:7" x14ac:dyDescent="0.25">
      <c r="G437"/>
    </row>
    <row r="438" spans="7:7" x14ac:dyDescent="0.25">
      <c r="G438"/>
    </row>
    <row r="439" spans="7:7" x14ac:dyDescent="0.25">
      <c r="G439"/>
    </row>
    <row r="440" spans="7:7" x14ac:dyDescent="0.25">
      <c r="G440"/>
    </row>
    <row r="441" spans="7:7" x14ac:dyDescent="0.25">
      <c r="G441"/>
    </row>
    <row r="442" spans="7:7" x14ac:dyDescent="0.25">
      <c r="G442"/>
    </row>
    <row r="443" spans="7:7" x14ac:dyDescent="0.25">
      <c r="G443"/>
    </row>
    <row r="444" spans="7:7" x14ac:dyDescent="0.25">
      <c r="G444"/>
    </row>
    <row r="445" spans="7:7" x14ac:dyDescent="0.25">
      <c r="G445"/>
    </row>
    <row r="446" spans="7:7" x14ac:dyDescent="0.25">
      <c r="G446"/>
    </row>
    <row r="447" spans="7:7" x14ac:dyDescent="0.25">
      <c r="G447"/>
    </row>
    <row r="448" spans="7:7" x14ac:dyDescent="0.25">
      <c r="G448"/>
    </row>
    <row r="449" spans="7:7" x14ac:dyDescent="0.25">
      <c r="G449"/>
    </row>
    <row r="450" spans="7:7" x14ac:dyDescent="0.25">
      <c r="G450"/>
    </row>
    <row r="451" spans="7:7" x14ac:dyDescent="0.25">
      <c r="G451"/>
    </row>
    <row r="452" spans="7:7" x14ac:dyDescent="0.25">
      <c r="G452"/>
    </row>
    <row r="453" spans="7:7" x14ac:dyDescent="0.25">
      <c r="G453"/>
    </row>
    <row r="454" spans="7:7" x14ac:dyDescent="0.25">
      <c r="G454"/>
    </row>
    <row r="455" spans="7:7" x14ac:dyDescent="0.25">
      <c r="G455"/>
    </row>
    <row r="456" spans="7:7" x14ac:dyDescent="0.25">
      <c r="G456"/>
    </row>
    <row r="457" spans="7:7" x14ac:dyDescent="0.25">
      <c r="G457"/>
    </row>
    <row r="458" spans="7:7" x14ac:dyDescent="0.25">
      <c r="G458"/>
    </row>
    <row r="459" spans="7:7" x14ac:dyDescent="0.25">
      <c r="G459"/>
    </row>
    <row r="460" spans="7:7" x14ac:dyDescent="0.25">
      <c r="G460"/>
    </row>
    <row r="461" spans="7:7" x14ac:dyDescent="0.25">
      <c r="G461"/>
    </row>
    <row r="462" spans="7:7" x14ac:dyDescent="0.25">
      <c r="G462"/>
    </row>
    <row r="463" spans="7:7" x14ac:dyDescent="0.25">
      <c r="G463"/>
    </row>
    <row r="464" spans="7:7" x14ac:dyDescent="0.25">
      <c r="G464"/>
    </row>
    <row r="465" spans="7:7" x14ac:dyDescent="0.25">
      <c r="G465"/>
    </row>
    <row r="466" spans="7:7" x14ac:dyDescent="0.25">
      <c r="G466"/>
    </row>
    <row r="467" spans="7:7" x14ac:dyDescent="0.25">
      <c r="G467"/>
    </row>
    <row r="468" spans="7:7" x14ac:dyDescent="0.25">
      <c r="G468"/>
    </row>
    <row r="469" spans="7:7" x14ac:dyDescent="0.25">
      <c r="G469"/>
    </row>
    <row r="470" spans="7:7" x14ac:dyDescent="0.25">
      <c r="G470"/>
    </row>
    <row r="471" spans="7:7" x14ac:dyDescent="0.25">
      <c r="G471"/>
    </row>
    <row r="472" spans="7:7" x14ac:dyDescent="0.25">
      <c r="G472"/>
    </row>
    <row r="473" spans="7:7" x14ac:dyDescent="0.25">
      <c r="G473"/>
    </row>
    <row r="474" spans="7:7" x14ac:dyDescent="0.25">
      <c r="G474"/>
    </row>
    <row r="475" spans="7:7" x14ac:dyDescent="0.25">
      <c r="G475"/>
    </row>
    <row r="476" spans="7:7" x14ac:dyDescent="0.25">
      <c r="G476"/>
    </row>
    <row r="477" spans="7:7" x14ac:dyDescent="0.25">
      <c r="G477"/>
    </row>
    <row r="478" spans="7:7" x14ac:dyDescent="0.25">
      <c r="G478"/>
    </row>
    <row r="479" spans="7:7" x14ac:dyDescent="0.25">
      <c r="G479"/>
    </row>
    <row r="480" spans="7:7" x14ac:dyDescent="0.25">
      <c r="G480"/>
    </row>
    <row r="481" spans="7:7" x14ac:dyDescent="0.25">
      <c r="G481"/>
    </row>
    <row r="482" spans="7:7" x14ac:dyDescent="0.25">
      <c r="G482"/>
    </row>
    <row r="483" spans="7:7" x14ac:dyDescent="0.25">
      <c r="G483"/>
    </row>
    <row r="484" spans="7:7" x14ac:dyDescent="0.25">
      <c r="G484"/>
    </row>
    <row r="485" spans="7:7" x14ac:dyDescent="0.25">
      <c r="G485"/>
    </row>
    <row r="486" spans="7:7" x14ac:dyDescent="0.25">
      <c r="G486"/>
    </row>
    <row r="487" spans="7:7" x14ac:dyDescent="0.25">
      <c r="G487"/>
    </row>
    <row r="488" spans="7:7" x14ac:dyDescent="0.25">
      <c r="G488"/>
    </row>
    <row r="489" spans="7:7" x14ac:dyDescent="0.25">
      <c r="G489"/>
    </row>
    <row r="490" spans="7:7" x14ac:dyDescent="0.25">
      <c r="G490"/>
    </row>
    <row r="491" spans="7:7" x14ac:dyDescent="0.25">
      <c r="G491"/>
    </row>
    <row r="492" spans="7:7" x14ac:dyDescent="0.25">
      <c r="G492"/>
    </row>
    <row r="493" spans="7:7" x14ac:dyDescent="0.25">
      <c r="G493"/>
    </row>
    <row r="494" spans="7:7" x14ac:dyDescent="0.25">
      <c r="G494"/>
    </row>
    <row r="495" spans="7:7" x14ac:dyDescent="0.25">
      <c r="G495"/>
    </row>
    <row r="496" spans="7:7" x14ac:dyDescent="0.25">
      <c r="G496"/>
    </row>
    <row r="497" spans="7:7" x14ac:dyDescent="0.25">
      <c r="G497"/>
    </row>
    <row r="498" spans="7:7" x14ac:dyDescent="0.25">
      <c r="G498"/>
    </row>
    <row r="499" spans="7:7" x14ac:dyDescent="0.25">
      <c r="G499"/>
    </row>
    <row r="500" spans="7:7" x14ac:dyDescent="0.25">
      <c r="G500"/>
    </row>
    <row r="501" spans="7:7" x14ac:dyDescent="0.25">
      <c r="G501"/>
    </row>
    <row r="502" spans="7:7" x14ac:dyDescent="0.25">
      <c r="G502"/>
    </row>
    <row r="503" spans="7:7" x14ac:dyDescent="0.25">
      <c r="G503"/>
    </row>
    <row r="504" spans="7:7" x14ac:dyDescent="0.25">
      <c r="G504"/>
    </row>
    <row r="505" spans="7:7" x14ac:dyDescent="0.25">
      <c r="G505"/>
    </row>
    <row r="506" spans="7:7" x14ac:dyDescent="0.25">
      <c r="G506"/>
    </row>
    <row r="507" spans="7:7" x14ac:dyDescent="0.25">
      <c r="G507"/>
    </row>
    <row r="508" spans="7:7" x14ac:dyDescent="0.25">
      <c r="G508"/>
    </row>
    <row r="509" spans="7:7" x14ac:dyDescent="0.25">
      <c r="G509"/>
    </row>
    <row r="510" spans="7:7" x14ac:dyDescent="0.25">
      <c r="G510"/>
    </row>
    <row r="511" spans="7:7" x14ac:dyDescent="0.25">
      <c r="G511"/>
    </row>
    <row r="512" spans="7:7" x14ac:dyDescent="0.25">
      <c r="G512"/>
    </row>
    <row r="513" spans="7:7" x14ac:dyDescent="0.25">
      <c r="G513"/>
    </row>
    <row r="514" spans="7:7" x14ac:dyDescent="0.25">
      <c r="G514"/>
    </row>
    <row r="515" spans="7:7" x14ac:dyDescent="0.25">
      <c r="G515"/>
    </row>
    <row r="516" spans="7:7" x14ac:dyDescent="0.25">
      <c r="G516"/>
    </row>
    <row r="517" spans="7:7" x14ac:dyDescent="0.25">
      <c r="G517"/>
    </row>
    <row r="518" spans="7:7" x14ac:dyDescent="0.25">
      <c r="G518"/>
    </row>
    <row r="519" spans="7:7" x14ac:dyDescent="0.25">
      <c r="G519"/>
    </row>
    <row r="520" spans="7:7" x14ac:dyDescent="0.25">
      <c r="G520"/>
    </row>
    <row r="521" spans="7:7" x14ac:dyDescent="0.25">
      <c r="G521"/>
    </row>
    <row r="522" spans="7:7" x14ac:dyDescent="0.25">
      <c r="G522"/>
    </row>
    <row r="523" spans="7:7" x14ac:dyDescent="0.25">
      <c r="G523"/>
    </row>
    <row r="524" spans="7:7" x14ac:dyDescent="0.25">
      <c r="G524"/>
    </row>
    <row r="525" spans="7:7" x14ac:dyDescent="0.25">
      <c r="G525"/>
    </row>
    <row r="526" spans="7:7" x14ac:dyDescent="0.25">
      <c r="G526"/>
    </row>
    <row r="527" spans="7:7" x14ac:dyDescent="0.25">
      <c r="G527"/>
    </row>
    <row r="528" spans="7:7" x14ac:dyDescent="0.25">
      <c r="G528"/>
    </row>
    <row r="529" spans="7:7" x14ac:dyDescent="0.25">
      <c r="G529"/>
    </row>
    <row r="530" spans="7:7" x14ac:dyDescent="0.25">
      <c r="G530"/>
    </row>
    <row r="531" spans="7:7" x14ac:dyDescent="0.25">
      <c r="G531"/>
    </row>
    <row r="532" spans="7:7" x14ac:dyDescent="0.25">
      <c r="G532"/>
    </row>
    <row r="533" spans="7:7" x14ac:dyDescent="0.25">
      <c r="G533"/>
    </row>
    <row r="534" spans="7:7" x14ac:dyDescent="0.25">
      <c r="G534"/>
    </row>
    <row r="535" spans="7:7" x14ac:dyDescent="0.25">
      <c r="G535"/>
    </row>
    <row r="536" spans="7:7" x14ac:dyDescent="0.25">
      <c r="G536"/>
    </row>
    <row r="537" spans="7:7" x14ac:dyDescent="0.25">
      <c r="G537"/>
    </row>
    <row r="538" spans="7:7" x14ac:dyDescent="0.25">
      <c r="G538"/>
    </row>
    <row r="539" spans="7:7" x14ac:dyDescent="0.25">
      <c r="G539"/>
    </row>
    <row r="540" spans="7:7" x14ac:dyDescent="0.25">
      <c r="G540"/>
    </row>
    <row r="541" spans="7:7" x14ac:dyDescent="0.25">
      <c r="G541"/>
    </row>
    <row r="542" spans="7:7" x14ac:dyDescent="0.25">
      <c r="G542"/>
    </row>
    <row r="543" spans="7:7" x14ac:dyDescent="0.25">
      <c r="G543"/>
    </row>
    <row r="544" spans="7:7" x14ac:dyDescent="0.25">
      <c r="G544"/>
    </row>
    <row r="545" spans="7:7" x14ac:dyDescent="0.25">
      <c r="G545"/>
    </row>
    <row r="546" spans="7:7" x14ac:dyDescent="0.25">
      <c r="G546"/>
    </row>
    <row r="547" spans="7:7" x14ac:dyDescent="0.25">
      <c r="G547"/>
    </row>
    <row r="548" spans="7:7" x14ac:dyDescent="0.25">
      <c r="G548"/>
    </row>
    <row r="549" spans="7:7" x14ac:dyDescent="0.25">
      <c r="G549"/>
    </row>
    <row r="550" spans="7:7" x14ac:dyDescent="0.25">
      <c r="G550"/>
    </row>
    <row r="551" spans="7:7" x14ac:dyDescent="0.25">
      <c r="G551"/>
    </row>
    <row r="552" spans="7:7" x14ac:dyDescent="0.25">
      <c r="G552"/>
    </row>
    <row r="553" spans="7:7" x14ac:dyDescent="0.25">
      <c r="G553"/>
    </row>
    <row r="554" spans="7:7" x14ac:dyDescent="0.25">
      <c r="G554"/>
    </row>
    <row r="555" spans="7:7" x14ac:dyDescent="0.25">
      <c r="G555"/>
    </row>
    <row r="556" spans="7:7" x14ac:dyDescent="0.25">
      <c r="G556"/>
    </row>
    <row r="557" spans="7:7" x14ac:dyDescent="0.25">
      <c r="G557"/>
    </row>
    <row r="558" spans="7:7" x14ac:dyDescent="0.25">
      <c r="G558"/>
    </row>
    <row r="559" spans="7:7" x14ac:dyDescent="0.25">
      <c r="G559"/>
    </row>
    <row r="560" spans="7:7" x14ac:dyDescent="0.25">
      <c r="G560"/>
    </row>
    <row r="561" spans="7:7" x14ac:dyDescent="0.25">
      <c r="G561"/>
    </row>
    <row r="562" spans="7:7" x14ac:dyDescent="0.25">
      <c r="G562"/>
    </row>
    <row r="563" spans="7:7" x14ac:dyDescent="0.25">
      <c r="G563"/>
    </row>
    <row r="564" spans="7:7" x14ac:dyDescent="0.25">
      <c r="G564"/>
    </row>
    <row r="565" spans="7:7" x14ac:dyDescent="0.25">
      <c r="G565"/>
    </row>
    <row r="566" spans="7:7" x14ac:dyDescent="0.25">
      <c r="G566"/>
    </row>
    <row r="567" spans="7:7" x14ac:dyDescent="0.25">
      <c r="G567"/>
    </row>
    <row r="568" spans="7:7" x14ac:dyDescent="0.25">
      <c r="G568"/>
    </row>
    <row r="569" spans="7:7" x14ac:dyDescent="0.25">
      <c r="G569"/>
    </row>
    <row r="570" spans="7:7" x14ac:dyDescent="0.25">
      <c r="G570"/>
    </row>
    <row r="571" spans="7:7" x14ac:dyDescent="0.25">
      <c r="G571"/>
    </row>
    <row r="572" spans="7:7" x14ac:dyDescent="0.25">
      <c r="G572"/>
    </row>
    <row r="573" spans="7:7" x14ac:dyDescent="0.25">
      <c r="G573"/>
    </row>
    <row r="574" spans="7:7" x14ac:dyDescent="0.25">
      <c r="G574"/>
    </row>
    <row r="575" spans="7:7" x14ac:dyDescent="0.25">
      <c r="G575"/>
    </row>
    <row r="576" spans="7:7" x14ac:dyDescent="0.25">
      <c r="G576"/>
    </row>
    <row r="577" spans="7:7" x14ac:dyDescent="0.25">
      <c r="G577"/>
    </row>
    <row r="578" spans="7:7" x14ac:dyDescent="0.25">
      <c r="G578"/>
    </row>
    <row r="579" spans="7:7" x14ac:dyDescent="0.25">
      <c r="G579"/>
    </row>
    <row r="580" spans="7:7" x14ac:dyDescent="0.25">
      <c r="G580"/>
    </row>
    <row r="581" spans="7:7" x14ac:dyDescent="0.25">
      <c r="G581"/>
    </row>
    <row r="582" spans="7:7" x14ac:dyDescent="0.25">
      <c r="G582"/>
    </row>
    <row r="583" spans="7:7" x14ac:dyDescent="0.25">
      <c r="G583"/>
    </row>
    <row r="584" spans="7:7" x14ac:dyDescent="0.25">
      <c r="G584"/>
    </row>
    <row r="585" spans="7:7" x14ac:dyDescent="0.25">
      <c r="G585"/>
    </row>
    <row r="586" spans="7:7" x14ac:dyDescent="0.25">
      <c r="G586"/>
    </row>
    <row r="587" spans="7:7" x14ac:dyDescent="0.25">
      <c r="G587"/>
    </row>
    <row r="588" spans="7:7" x14ac:dyDescent="0.25">
      <c r="G588"/>
    </row>
    <row r="589" spans="7:7" x14ac:dyDescent="0.25">
      <c r="G589"/>
    </row>
    <row r="590" spans="7:7" x14ac:dyDescent="0.25">
      <c r="G590"/>
    </row>
    <row r="591" spans="7:7" x14ac:dyDescent="0.25">
      <c r="G591"/>
    </row>
    <row r="592" spans="7:7" x14ac:dyDescent="0.25">
      <c r="G592"/>
    </row>
    <row r="593" spans="7:7" x14ac:dyDescent="0.25">
      <c r="G593"/>
    </row>
    <row r="594" spans="7:7" x14ac:dyDescent="0.25">
      <c r="G594"/>
    </row>
    <row r="595" spans="7:7" x14ac:dyDescent="0.25">
      <c r="G595"/>
    </row>
    <row r="596" spans="7:7" x14ac:dyDescent="0.25">
      <c r="G596"/>
    </row>
    <row r="597" spans="7:7" x14ac:dyDescent="0.25">
      <c r="G597"/>
    </row>
    <row r="598" spans="7:7" x14ac:dyDescent="0.25">
      <c r="G598"/>
    </row>
    <row r="599" spans="7:7" x14ac:dyDescent="0.25">
      <c r="G599"/>
    </row>
    <row r="600" spans="7:7" x14ac:dyDescent="0.25">
      <c r="G600"/>
    </row>
    <row r="601" spans="7:7" x14ac:dyDescent="0.25">
      <c r="G601"/>
    </row>
    <row r="602" spans="7:7" x14ac:dyDescent="0.25">
      <c r="G602"/>
    </row>
    <row r="603" spans="7:7" x14ac:dyDescent="0.25">
      <c r="G603"/>
    </row>
    <row r="604" spans="7:7" x14ac:dyDescent="0.25">
      <c r="G604"/>
    </row>
    <row r="605" spans="7:7" x14ac:dyDescent="0.25">
      <c r="G605"/>
    </row>
    <row r="606" spans="7:7" x14ac:dyDescent="0.25">
      <c r="G606"/>
    </row>
    <row r="607" spans="7:7" x14ac:dyDescent="0.25">
      <c r="G607"/>
    </row>
    <row r="608" spans="7:7" x14ac:dyDescent="0.25">
      <c r="G608"/>
    </row>
    <row r="609" spans="7:7" x14ac:dyDescent="0.25">
      <c r="G609"/>
    </row>
    <row r="610" spans="7:7" x14ac:dyDescent="0.25">
      <c r="G610"/>
    </row>
    <row r="611" spans="7:7" x14ac:dyDescent="0.25">
      <c r="G611"/>
    </row>
    <row r="612" spans="7:7" x14ac:dyDescent="0.25">
      <c r="G612"/>
    </row>
    <row r="613" spans="7:7" x14ac:dyDescent="0.25">
      <c r="G613"/>
    </row>
    <row r="614" spans="7:7" x14ac:dyDescent="0.25">
      <c r="G614"/>
    </row>
    <row r="615" spans="7:7" x14ac:dyDescent="0.25">
      <c r="G615"/>
    </row>
    <row r="616" spans="7:7" x14ac:dyDescent="0.25">
      <c r="G616"/>
    </row>
    <row r="617" spans="7:7" x14ac:dyDescent="0.25">
      <c r="G617"/>
    </row>
    <row r="618" spans="7:7" x14ac:dyDescent="0.25">
      <c r="G618"/>
    </row>
    <row r="619" spans="7:7" x14ac:dyDescent="0.25">
      <c r="G619"/>
    </row>
    <row r="620" spans="7:7" x14ac:dyDescent="0.25">
      <c r="G620"/>
    </row>
    <row r="621" spans="7:7" x14ac:dyDescent="0.25">
      <c r="G621"/>
    </row>
    <row r="622" spans="7:7" x14ac:dyDescent="0.25">
      <c r="G622"/>
    </row>
    <row r="623" spans="7:7" x14ac:dyDescent="0.25">
      <c r="G623"/>
    </row>
    <row r="624" spans="7:7" x14ac:dyDescent="0.25">
      <c r="G624"/>
    </row>
    <row r="625" spans="7:7" x14ac:dyDescent="0.25">
      <c r="G625"/>
    </row>
    <row r="626" spans="7:7" x14ac:dyDescent="0.25">
      <c r="G626"/>
    </row>
    <row r="627" spans="7:7" x14ac:dyDescent="0.25">
      <c r="G627"/>
    </row>
    <row r="628" spans="7:7" x14ac:dyDescent="0.25">
      <c r="G628"/>
    </row>
    <row r="629" spans="7:7" x14ac:dyDescent="0.25">
      <c r="G629"/>
    </row>
    <row r="630" spans="7:7" x14ac:dyDescent="0.25">
      <c r="G630"/>
    </row>
    <row r="631" spans="7:7" x14ac:dyDescent="0.25">
      <c r="G631"/>
    </row>
    <row r="632" spans="7:7" x14ac:dyDescent="0.25">
      <c r="G632"/>
    </row>
    <row r="633" spans="7:7" x14ac:dyDescent="0.25">
      <c r="G633"/>
    </row>
    <row r="634" spans="7:7" x14ac:dyDescent="0.25">
      <c r="G634"/>
    </row>
    <row r="635" spans="7:7" x14ac:dyDescent="0.25">
      <c r="G635"/>
    </row>
    <row r="636" spans="7:7" x14ac:dyDescent="0.25">
      <c r="G636"/>
    </row>
    <row r="637" spans="7:7" x14ac:dyDescent="0.25">
      <c r="G637"/>
    </row>
    <row r="638" spans="7:7" x14ac:dyDescent="0.25">
      <c r="G638"/>
    </row>
    <row r="639" spans="7:7" x14ac:dyDescent="0.25">
      <c r="G639"/>
    </row>
    <row r="640" spans="7:7" x14ac:dyDescent="0.25">
      <c r="G640"/>
    </row>
    <row r="641" spans="7:7" x14ac:dyDescent="0.25">
      <c r="G641"/>
    </row>
    <row r="642" spans="7:7" x14ac:dyDescent="0.25">
      <c r="G642"/>
    </row>
    <row r="643" spans="7:7" x14ac:dyDescent="0.25">
      <c r="G643"/>
    </row>
    <row r="644" spans="7:7" x14ac:dyDescent="0.25">
      <c r="G644"/>
    </row>
    <row r="645" spans="7:7" x14ac:dyDescent="0.25">
      <c r="G645"/>
    </row>
    <row r="646" spans="7:7" x14ac:dyDescent="0.25">
      <c r="G646"/>
    </row>
    <row r="647" spans="7:7" x14ac:dyDescent="0.25">
      <c r="G647"/>
    </row>
    <row r="648" spans="7:7" x14ac:dyDescent="0.25">
      <c r="G648"/>
    </row>
    <row r="649" spans="7:7" x14ac:dyDescent="0.25">
      <c r="G649"/>
    </row>
    <row r="650" spans="7:7" x14ac:dyDescent="0.25">
      <c r="G650"/>
    </row>
    <row r="651" spans="7:7" x14ac:dyDescent="0.25">
      <c r="G651"/>
    </row>
    <row r="652" spans="7:7" x14ac:dyDescent="0.25">
      <c r="G652"/>
    </row>
    <row r="653" spans="7:7" x14ac:dyDescent="0.25">
      <c r="G653"/>
    </row>
    <row r="654" spans="7:7" x14ac:dyDescent="0.25">
      <c r="G654"/>
    </row>
    <row r="655" spans="7:7" x14ac:dyDescent="0.25">
      <c r="G655"/>
    </row>
    <row r="656" spans="7:7" x14ac:dyDescent="0.25">
      <c r="G656"/>
    </row>
    <row r="657" spans="7:7" x14ac:dyDescent="0.25">
      <c r="G657"/>
    </row>
    <row r="658" spans="7:7" x14ac:dyDescent="0.25">
      <c r="G658"/>
    </row>
    <row r="659" spans="7:7" x14ac:dyDescent="0.25">
      <c r="G659"/>
    </row>
    <row r="660" spans="7:7" x14ac:dyDescent="0.25">
      <c r="G660"/>
    </row>
    <row r="661" spans="7:7" x14ac:dyDescent="0.25">
      <c r="G661"/>
    </row>
    <row r="662" spans="7:7" x14ac:dyDescent="0.25">
      <c r="G662"/>
    </row>
    <row r="663" spans="7:7" x14ac:dyDescent="0.25">
      <c r="G663"/>
    </row>
    <row r="664" spans="7:7" x14ac:dyDescent="0.25">
      <c r="G664"/>
    </row>
    <row r="665" spans="7:7" x14ac:dyDescent="0.25">
      <c r="G665"/>
    </row>
    <row r="666" spans="7:7" x14ac:dyDescent="0.25">
      <c r="G666"/>
    </row>
    <row r="667" spans="7:7" x14ac:dyDescent="0.25">
      <c r="G667"/>
    </row>
    <row r="668" spans="7:7" x14ac:dyDescent="0.25">
      <c r="G668"/>
    </row>
    <row r="669" spans="7:7" x14ac:dyDescent="0.25">
      <c r="G669"/>
    </row>
    <row r="670" spans="7:7" x14ac:dyDescent="0.25">
      <c r="G670"/>
    </row>
    <row r="671" spans="7:7" x14ac:dyDescent="0.25">
      <c r="G671"/>
    </row>
    <row r="672" spans="7:7" x14ac:dyDescent="0.25">
      <c r="G672"/>
    </row>
    <row r="673" spans="7:7" x14ac:dyDescent="0.25">
      <c r="G673"/>
    </row>
    <row r="674" spans="7:7" x14ac:dyDescent="0.25">
      <c r="G674"/>
    </row>
    <row r="675" spans="7:7" x14ac:dyDescent="0.25">
      <c r="G675"/>
    </row>
    <row r="676" spans="7:7" x14ac:dyDescent="0.25">
      <c r="G676"/>
    </row>
    <row r="677" spans="7:7" x14ac:dyDescent="0.25">
      <c r="G677"/>
    </row>
    <row r="678" spans="7:7" x14ac:dyDescent="0.25">
      <c r="G678"/>
    </row>
    <row r="679" spans="7:7" x14ac:dyDescent="0.25">
      <c r="G679"/>
    </row>
    <row r="680" spans="7:7" x14ac:dyDescent="0.25">
      <c r="G680"/>
    </row>
    <row r="681" spans="7:7" x14ac:dyDescent="0.25">
      <c r="G681"/>
    </row>
    <row r="682" spans="7:7" x14ac:dyDescent="0.25">
      <c r="G682"/>
    </row>
    <row r="683" spans="7:7" x14ac:dyDescent="0.25">
      <c r="G683"/>
    </row>
    <row r="684" spans="7:7" x14ac:dyDescent="0.25">
      <c r="G684"/>
    </row>
    <row r="685" spans="7:7" x14ac:dyDescent="0.25">
      <c r="G685"/>
    </row>
    <row r="686" spans="7:7" x14ac:dyDescent="0.25">
      <c r="G686"/>
    </row>
    <row r="687" spans="7:7" x14ac:dyDescent="0.25">
      <c r="G687"/>
    </row>
    <row r="688" spans="7:7" x14ac:dyDescent="0.25">
      <c r="G688"/>
    </row>
    <row r="689" spans="7:7" x14ac:dyDescent="0.25">
      <c r="G689"/>
    </row>
    <row r="690" spans="7:7" x14ac:dyDescent="0.25">
      <c r="G690"/>
    </row>
    <row r="691" spans="7:7" x14ac:dyDescent="0.25">
      <c r="G691"/>
    </row>
    <row r="692" spans="7:7" x14ac:dyDescent="0.25">
      <c r="G692"/>
    </row>
    <row r="693" spans="7:7" x14ac:dyDescent="0.25">
      <c r="G693"/>
    </row>
    <row r="694" spans="7:7" x14ac:dyDescent="0.25">
      <c r="G694"/>
    </row>
    <row r="695" spans="7:7" x14ac:dyDescent="0.25">
      <c r="G695"/>
    </row>
    <row r="696" spans="7:7" x14ac:dyDescent="0.25">
      <c r="G696"/>
    </row>
    <row r="697" spans="7:7" x14ac:dyDescent="0.25">
      <c r="G697"/>
    </row>
    <row r="698" spans="7:7" x14ac:dyDescent="0.25">
      <c r="G698"/>
    </row>
    <row r="699" spans="7:7" x14ac:dyDescent="0.25">
      <c r="G699"/>
    </row>
    <row r="700" spans="7:7" x14ac:dyDescent="0.25">
      <c r="G700"/>
    </row>
    <row r="701" spans="7:7" x14ac:dyDescent="0.25">
      <c r="G701"/>
    </row>
    <row r="702" spans="7:7" x14ac:dyDescent="0.25">
      <c r="G702"/>
    </row>
    <row r="703" spans="7:7" x14ac:dyDescent="0.25">
      <c r="G703"/>
    </row>
    <row r="704" spans="7:7" x14ac:dyDescent="0.25">
      <c r="G704"/>
    </row>
    <row r="705" spans="7:7" x14ac:dyDescent="0.25">
      <c r="G705"/>
    </row>
    <row r="706" spans="7:7" x14ac:dyDescent="0.25">
      <c r="G706"/>
    </row>
    <row r="707" spans="7:7" x14ac:dyDescent="0.25">
      <c r="G707"/>
    </row>
    <row r="708" spans="7:7" x14ac:dyDescent="0.25">
      <c r="G708"/>
    </row>
    <row r="709" spans="7:7" x14ac:dyDescent="0.25">
      <c r="G709"/>
    </row>
    <row r="710" spans="7:7" x14ac:dyDescent="0.25">
      <c r="G710"/>
    </row>
    <row r="711" spans="7:7" x14ac:dyDescent="0.25">
      <c r="G711"/>
    </row>
    <row r="712" spans="7:7" x14ac:dyDescent="0.25">
      <c r="G712"/>
    </row>
    <row r="713" spans="7:7" x14ac:dyDescent="0.25">
      <c r="G713"/>
    </row>
    <row r="714" spans="7:7" x14ac:dyDescent="0.25">
      <c r="G714"/>
    </row>
    <row r="715" spans="7:7" x14ac:dyDescent="0.25">
      <c r="G715"/>
    </row>
    <row r="716" spans="7:7" x14ac:dyDescent="0.25">
      <c r="G716"/>
    </row>
    <row r="717" spans="7:7" x14ac:dyDescent="0.25">
      <c r="G717"/>
    </row>
    <row r="718" spans="7:7" x14ac:dyDescent="0.25">
      <c r="G718"/>
    </row>
    <row r="719" spans="7:7" x14ac:dyDescent="0.25">
      <c r="G719"/>
    </row>
    <row r="720" spans="7:7" x14ac:dyDescent="0.25">
      <c r="G720"/>
    </row>
    <row r="721" spans="7:7" x14ac:dyDescent="0.25">
      <c r="G721"/>
    </row>
    <row r="722" spans="7:7" x14ac:dyDescent="0.25">
      <c r="G722"/>
    </row>
    <row r="723" spans="7:7" x14ac:dyDescent="0.25">
      <c r="G723"/>
    </row>
    <row r="724" spans="7:7" x14ac:dyDescent="0.25">
      <c r="G724"/>
    </row>
    <row r="725" spans="7:7" x14ac:dyDescent="0.25">
      <c r="G725"/>
    </row>
    <row r="726" spans="7:7" x14ac:dyDescent="0.25">
      <c r="G726"/>
    </row>
    <row r="727" spans="7:7" x14ac:dyDescent="0.25">
      <c r="G727"/>
    </row>
    <row r="728" spans="7:7" x14ac:dyDescent="0.25">
      <c r="G728"/>
    </row>
    <row r="729" spans="7:7" x14ac:dyDescent="0.25">
      <c r="G729"/>
    </row>
    <row r="730" spans="7:7" x14ac:dyDescent="0.25">
      <c r="G730"/>
    </row>
    <row r="731" spans="7:7" x14ac:dyDescent="0.25">
      <c r="G731"/>
    </row>
    <row r="732" spans="7:7" x14ac:dyDescent="0.25">
      <c r="G732"/>
    </row>
    <row r="733" spans="7:7" x14ac:dyDescent="0.25">
      <c r="G733"/>
    </row>
    <row r="734" spans="7:7" x14ac:dyDescent="0.25">
      <c r="G734"/>
    </row>
    <row r="735" spans="7:7" x14ac:dyDescent="0.25">
      <c r="G735"/>
    </row>
    <row r="736" spans="7:7" x14ac:dyDescent="0.25">
      <c r="G736"/>
    </row>
    <row r="737" spans="7:7" x14ac:dyDescent="0.25">
      <c r="G737"/>
    </row>
    <row r="738" spans="7:7" x14ac:dyDescent="0.25">
      <c r="G738"/>
    </row>
    <row r="739" spans="7:7" x14ac:dyDescent="0.25">
      <c r="G739"/>
    </row>
    <row r="740" spans="7:7" x14ac:dyDescent="0.25">
      <c r="G740"/>
    </row>
    <row r="741" spans="7:7" x14ac:dyDescent="0.25">
      <c r="G741"/>
    </row>
    <row r="742" spans="7:7" x14ac:dyDescent="0.25">
      <c r="G742"/>
    </row>
    <row r="743" spans="7:7" x14ac:dyDescent="0.25">
      <c r="G743"/>
    </row>
    <row r="744" spans="7:7" x14ac:dyDescent="0.25">
      <c r="G744"/>
    </row>
    <row r="745" spans="7:7" x14ac:dyDescent="0.25">
      <c r="G745"/>
    </row>
    <row r="746" spans="7:7" x14ac:dyDescent="0.25">
      <c r="G746"/>
    </row>
    <row r="747" spans="7:7" x14ac:dyDescent="0.25">
      <c r="G747"/>
    </row>
    <row r="748" spans="7:7" x14ac:dyDescent="0.25">
      <c r="G748"/>
    </row>
    <row r="749" spans="7:7" x14ac:dyDescent="0.25">
      <c r="G749"/>
    </row>
    <row r="750" spans="7:7" x14ac:dyDescent="0.25">
      <c r="G750"/>
    </row>
    <row r="751" spans="7:7" x14ac:dyDescent="0.25">
      <c r="G751"/>
    </row>
    <row r="752" spans="7:7" x14ac:dyDescent="0.25">
      <c r="G752"/>
    </row>
    <row r="753" spans="7:7" x14ac:dyDescent="0.25">
      <c r="G753"/>
    </row>
    <row r="754" spans="7:7" x14ac:dyDescent="0.25">
      <c r="G754"/>
    </row>
    <row r="755" spans="7:7" x14ac:dyDescent="0.25">
      <c r="G755"/>
    </row>
    <row r="756" spans="7:7" x14ac:dyDescent="0.25">
      <c r="G756"/>
    </row>
    <row r="757" spans="7:7" x14ac:dyDescent="0.25">
      <c r="G757"/>
    </row>
    <row r="758" spans="7:7" x14ac:dyDescent="0.25">
      <c r="G758"/>
    </row>
    <row r="759" spans="7:7" x14ac:dyDescent="0.25">
      <c r="G759"/>
    </row>
    <row r="760" spans="7:7" x14ac:dyDescent="0.25">
      <c r="G760"/>
    </row>
    <row r="761" spans="7:7" x14ac:dyDescent="0.25">
      <c r="G761"/>
    </row>
    <row r="762" spans="7:7" x14ac:dyDescent="0.25">
      <c r="G762"/>
    </row>
    <row r="763" spans="7:7" x14ac:dyDescent="0.25">
      <c r="G763"/>
    </row>
    <row r="764" spans="7:7" x14ac:dyDescent="0.25">
      <c r="G764"/>
    </row>
    <row r="765" spans="7:7" x14ac:dyDescent="0.25">
      <c r="G765"/>
    </row>
    <row r="766" spans="7:7" x14ac:dyDescent="0.25">
      <c r="G766"/>
    </row>
    <row r="767" spans="7:7" x14ac:dyDescent="0.25">
      <c r="G767"/>
    </row>
    <row r="768" spans="7:7" x14ac:dyDescent="0.25">
      <c r="G768"/>
    </row>
    <row r="769" spans="7:7" x14ac:dyDescent="0.25">
      <c r="G769"/>
    </row>
    <row r="770" spans="7:7" x14ac:dyDescent="0.25">
      <c r="G770"/>
    </row>
    <row r="771" spans="7:7" x14ac:dyDescent="0.25">
      <c r="G771"/>
    </row>
    <row r="772" spans="7:7" x14ac:dyDescent="0.25">
      <c r="G772"/>
    </row>
    <row r="773" spans="7:7" x14ac:dyDescent="0.25">
      <c r="G773"/>
    </row>
    <row r="774" spans="7:7" x14ac:dyDescent="0.25">
      <c r="G774"/>
    </row>
    <row r="775" spans="7:7" x14ac:dyDescent="0.25">
      <c r="G775"/>
    </row>
    <row r="776" spans="7:7" x14ac:dyDescent="0.25">
      <c r="G776"/>
    </row>
    <row r="777" spans="7:7" x14ac:dyDescent="0.25">
      <c r="G777"/>
    </row>
    <row r="778" spans="7:7" x14ac:dyDescent="0.25">
      <c r="G778"/>
    </row>
    <row r="779" spans="7:7" x14ac:dyDescent="0.25">
      <c r="G779"/>
    </row>
    <row r="780" spans="7:7" x14ac:dyDescent="0.25">
      <c r="G780"/>
    </row>
    <row r="781" spans="7:7" x14ac:dyDescent="0.25">
      <c r="G781"/>
    </row>
    <row r="782" spans="7:7" x14ac:dyDescent="0.25">
      <c r="G782"/>
    </row>
    <row r="783" spans="7:7" x14ac:dyDescent="0.25">
      <c r="G783"/>
    </row>
    <row r="784" spans="7:7" x14ac:dyDescent="0.25">
      <c r="G784"/>
    </row>
    <row r="785" spans="7:7" x14ac:dyDescent="0.25">
      <c r="G785"/>
    </row>
    <row r="786" spans="7:7" x14ac:dyDescent="0.25">
      <c r="G786"/>
    </row>
    <row r="787" spans="7:7" x14ac:dyDescent="0.25">
      <c r="G787"/>
    </row>
    <row r="788" spans="7:7" x14ac:dyDescent="0.25">
      <c r="G788"/>
    </row>
    <row r="789" spans="7:7" x14ac:dyDescent="0.25">
      <c r="G789"/>
    </row>
    <row r="790" spans="7:7" x14ac:dyDescent="0.25">
      <c r="G790"/>
    </row>
    <row r="791" spans="7:7" x14ac:dyDescent="0.25">
      <c r="G791"/>
    </row>
    <row r="792" spans="7:7" x14ac:dyDescent="0.25">
      <c r="G792"/>
    </row>
    <row r="793" spans="7:7" x14ac:dyDescent="0.25">
      <c r="G793"/>
    </row>
    <row r="794" spans="7:7" x14ac:dyDescent="0.25">
      <c r="G794"/>
    </row>
    <row r="795" spans="7:7" x14ac:dyDescent="0.25">
      <c r="G795"/>
    </row>
    <row r="796" spans="7:7" x14ac:dyDescent="0.25">
      <c r="G796"/>
    </row>
    <row r="797" spans="7:7" x14ac:dyDescent="0.25">
      <c r="G797"/>
    </row>
    <row r="798" spans="7:7" x14ac:dyDescent="0.25">
      <c r="G798"/>
    </row>
    <row r="799" spans="7:7" x14ac:dyDescent="0.25">
      <c r="G799"/>
    </row>
    <row r="800" spans="7:7" x14ac:dyDescent="0.25">
      <c r="G800"/>
    </row>
    <row r="801" spans="7:7" x14ac:dyDescent="0.25">
      <c r="G801"/>
    </row>
    <row r="802" spans="7:7" x14ac:dyDescent="0.25">
      <c r="G802"/>
    </row>
    <row r="803" spans="7:7" x14ac:dyDescent="0.25">
      <c r="G803"/>
    </row>
    <row r="804" spans="7:7" x14ac:dyDescent="0.25">
      <c r="G804"/>
    </row>
    <row r="805" spans="7:7" x14ac:dyDescent="0.25">
      <c r="G805"/>
    </row>
    <row r="806" spans="7:7" x14ac:dyDescent="0.25">
      <c r="G806"/>
    </row>
    <row r="807" spans="7:7" x14ac:dyDescent="0.25">
      <c r="G807"/>
    </row>
    <row r="808" spans="7:7" x14ac:dyDescent="0.25">
      <c r="G808"/>
    </row>
    <row r="809" spans="7:7" x14ac:dyDescent="0.25">
      <c r="G809"/>
    </row>
    <row r="810" spans="7:7" x14ac:dyDescent="0.25">
      <c r="G810"/>
    </row>
    <row r="811" spans="7:7" x14ac:dyDescent="0.25">
      <c r="G811"/>
    </row>
    <row r="812" spans="7:7" x14ac:dyDescent="0.25">
      <c r="G812"/>
    </row>
    <row r="813" spans="7:7" x14ac:dyDescent="0.25">
      <c r="G813"/>
    </row>
    <row r="814" spans="7:7" x14ac:dyDescent="0.25">
      <c r="G814"/>
    </row>
    <row r="815" spans="7:7" x14ac:dyDescent="0.25">
      <c r="G815"/>
    </row>
    <row r="816" spans="7:7" x14ac:dyDescent="0.25">
      <c r="G816"/>
    </row>
    <row r="817" spans="7:7" x14ac:dyDescent="0.25">
      <c r="G817"/>
    </row>
    <row r="818" spans="7:7" x14ac:dyDescent="0.25">
      <c r="G818"/>
    </row>
    <row r="819" spans="7:7" x14ac:dyDescent="0.25">
      <c r="G819"/>
    </row>
    <row r="820" spans="7:7" x14ac:dyDescent="0.25">
      <c r="G820"/>
    </row>
    <row r="821" spans="7:7" x14ac:dyDescent="0.25">
      <c r="G821"/>
    </row>
    <row r="822" spans="7:7" x14ac:dyDescent="0.25">
      <c r="G822"/>
    </row>
    <row r="823" spans="7:7" x14ac:dyDescent="0.25">
      <c r="G823"/>
    </row>
    <row r="824" spans="7:7" x14ac:dyDescent="0.25">
      <c r="G824"/>
    </row>
    <row r="825" spans="7:7" x14ac:dyDescent="0.25">
      <c r="G825"/>
    </row>
    <row r="826" spans="7:7" x14ac:dyDescent="0.25">
      <c r="G826"/>
    </row>
    <row r="827" spans="7:7" x14ac:dyDescent="0.25">
      <c r="G827"/>
    </row>
    <row r="828" spans="7:7" x14ac:dyDescent="0.25">
      <c r="G828"/>
    </row>
    <row r="829" spans="7:7" x14ac:dyDescent="0.25">
      <c r="G829"/>
    </row>
    <row r="830" spans="7:7" x14ac:dyDescent="0.25">
      <c r="G830"/>
    </row>
    <row r="831" spans="7:7" x14ac:dyDescent="0.25">
      <c r="G831"/>
    </row>
    <row r="832" spans="7:7" x14ac:dyDescent="0.25">
      <c r="G832"/>
    </row>
    <row r="833" spans="7:7" x14ac:dyDescent="0.25">
      <c r="G833"/>
    </row>
    <row r="834" spans="7:7" x14ac:dyDescent="0.25">
      <c r="G834"/>
    </row>
    <row r="835" spans="7:7" x14ac:dyDescent="0.25">
      <c r="G835"/>
    </row>
    <row r="836" spans="7:7" x14ac:dyDescent="0.25">
      <c r="G836"/>
    </row>
    <row r="837" spans="7:7" x14ac:dyDescent="0.25">
      <c r="G837"/>
    </row>
    <row r="838" spans="7:7" x14ac:dyDescent="0.25">
      <c r="G838"/>
    </row>
    <row r="839" spans="7:7" x14ac:dyDescent="0.25">
      <c r="G839"/>
    </row>
    <row r="840" spans="7:7" x14ac:dyDescent="0.25">
      <c r="G840"/>
    </row>
    <row r="841" spans="7:7" x14ac:dyDescent="0.25">
      <c r="G841"/>
    </row>
    <row r="842" spans="7:7" x14ac:dyDescent="0.25">
      <c r="G842"/>
    </row>
    <row r="843" spans="7:7" x14ac:dyDescent="0.25">
      <c r="G843"/>
    </row>
    <row r="844" spans="7:7" x14ac:dyDescent="0.25">
      <c r="G844"/>
    </row>
    <row r="845" spans="7:7" x14ac:dyDescent="0.25">
      <c r="G845"/>
    </row>
    <row r="846" spans="7:7" x14ac:dyDescent="0.25">
      <c r="G846"/>
    </row>
    <row r="847" spans="7:7" x14ac:dyDescent="0.25">
      <c r="G847"/>
    </row>
    <row r="848" spans="7:7" x14ac:dyDescent="0.25">
      <c r="G848"/>
    </row>
    <row r="849" spans="7:7" x14ac:dyDescent="0.25">
      <c r="G849"/>
    </row>
    <row r="850" spans="7:7" x14ac:dyDescent="0.25">
      <c r="G850"/>
    </row>
    <row r="851" spans="7:7" x14ac:dyDescent="0.25">
      <c r="G851"/>
    </row>
    <row r="852" spans="7:7" x14ac:dyDescent="0.25">
      <c r="G852"/>
    </row>
    <row r="853" spans="7:7" x14ac:dyDescent="0.25">
      <c r="G853"/>
    </row>
    <row r="854" spans="7:7" x14ac:dyDescent="0.25">
      <c r="G854"/>
    </row>
    <row r="855" spans="7:7" x14ac:dyDescent="0.25">
      <c r="G855"/>
    </row>
    <row r="856" spans="7:7" x14ac:dyDescent="0.25">
      <c r="G856"/>
    </row>
    <row r="857" spans="7:7" x14ac:dyDescent="0.25">
      <c r="G857"/>
    </row>
    <row r="858" spans="7:7" x14ac:dyDescent="0.25">
      <c r="G858"/>
    </row>
    <row r="859" spans="7:7" x14ac:dyDescent="0.25">
      <c r="G859"/>
    </row>
    <row r="860" spans="7:7" x14ac:dyDescent="0.25">
      <c r="G860"/>
    </row>
    <row r="861" spans="7:7" x14ac:dyDescent="0.25">
      <c r="G861"/>
    </row>
    <row r="862" spans="7:7" x14ac:dyDescent="0.25">
      <c r="G862"/>
    </row>
    <row r="863" spans="7:7" x14ac:dyDescent="0.25">
      <c r="G863"/>
    </row>
    <row r="864" spans="7:7" x14ac:dyDescent="0.25">
      <c r="G864"/>
    </row>
    <row r="865" spans="7:7" x14ac:dyDescent="0.25">
      <c r="G865"/>
    </row>
    <row r="866" spans="7:7" x14ac:dyDescent="0.25">
      <c r="G866"/>
    </row>
    <row r="867" spans="7:7" x14ac:dyDescent="0.25">
      <c r="G867"/>
    </row>
    <row r="868" spans="7:7" x14ac:dyDescent="0.25">
      <c r="G868"/>
    </row>
    <row r="869" spans="7:7" x14ac:dyDescent="0.25">
      <c r="G869"/>
    </row>
    <row r="870" spans="7:7" x14ac:dyDescent="0.25">
      <c r="G870"/>
    </row>
    <row r="871" spans="7:7" x14ac:dyDescent="0.25">
      <c r="G871"/>
    </row>
    <row r="872" spans="7:7" x14ac:dyDescent="0.25">
      <c r="G872"/>
    </row>
    <row r="873" spans="7:7" x14ac:dyDescent="0.25">
      <c r="G873"/>
    </row>
    <row r="874" spans="7:7" x14ac:dyDescent="0.25">
      <c r="G874"/>
    </row>
    <row r="875" spans="7:7" x14ac:dyDescent="0.25">
      <c r="G875"/>
    </row>
    <row r="876" spans="7:7" x14ac:dyDescent="0.25">
      <c r="G876"/>
    </row>
    <row r="877" spans="7:7" x14ac:dyDescent="0.25">
      <c r="G877"/>
    </row>
    <row r="878" spans="7:7" x14ac:dyDescent="0.25">
      <c r="G878"/>
    </row>
    <row r="879" spans="7:7" x14ac:dyDescent="0.25">
      <c r="G879"/>
    </row>
    <row r="880" spans="7:7" x14ac:dyDescent="0.25">
      <c r="G880"/>
    </row>
    <row r="881" spans="7:7" x14ac:dyDescent="0.25">
      <c r="G881"/>
    </row>
    <row r="882" spans="7:7" x14ac:dyDescent="0.25">
      <c r="G882"/>
    </row>
    <row r="883" spans="7:7" x14ac:dyDescent="0.25">
      <c r="G883"/>
    </row>
    <row r="884" spans="7:7" x14ac:dyDescent="0.25">
      <c r="G884"/>
    </row>
    <row r="885" spans="7:7" x14ac:dyDescent="0.25">
      <c r="G885"/>
    </row>
    <row r="886" spans="7:7" x14ac:dyDescent="0.25">
      <c r="G886"/>
    </row>
    <row r="887" spans="7:7" x14ac:dyDescent="0.25">
      <c r="G887"/>
    </row>
    <row r="888" spans="7:7" x14ac:dyDescent="0.25">
      <c r="G888"/>
    </row>
    <row r="889" spans="7:7" x14ac:dyDescent="0.25">
      <c r="G889"/>
    </row>
    <row r="890" spans="7:7" x14ac:dyDescent="0.25">
      <c r="G890"/>
    </row>
    <row r="891" spans="7:7" x14ac:dyDescent="0.25">
      <c r="G891"/>
    </row>
    <row r="892" spans="7:7" x14ac:dyDescent="0.25">
      <c r="G892"/>
    </row>
    <row r="893" spans="7:7" x14ac:dyDescent="0.25">
      <c r="G893"/>
    </row>
    <row r="894" spans="7:7" x14ac:dyDescent="0.25">
      <c r="G894"/>
    </row>
    <row r="895" spans="7:7" x14ac:dyDescent="0.25">
      <c r="G895"/>
    </row>
    <row r="896" spans="7:7" x14ac:dyDescent="0.25">
      <c r="G896"/>
    </row>
    <row r="897" spans="7:7" x14ac:dyDescent="0.25">
      <c r="G897"/>
    </row>
    <row r="898" spans="7:7" x14ac:dyDescent="0.25">
      <c r="G898"/>
    </row>
    <row r="899" spans="7:7" x14ac:dyDescent="0.25">
      <c r="G899"/>
    </row>
    <row r="900" spans="7:7" x14ac:dyDescent="0.25">
      <c r="G900"/>
    </row>
    <row r="901" spans="7:7" x14ac:dyDescent="0.25">
      <c r="G901"/>
    </row>
    <row r="902" spans="7:7" x14ac:dyDescent="0.25">
      <c r="G902"/>
    </row>
    <row r="903" spans="7:7" x14ac:dyDescent="0.25">
      <c r="G903"/>
    </row>
    <row r="904" spans="7:7" x14ac:dyDescent="0.25">
      <c r="G904"/>
    </row>
    <row r="905" spans="7:7" x14ac:dyDescent="0.25">
      <c r="G905"/>
    </row>
    <row r="906" spans="7:7" x14ac:dyDescent="0.25">
      <c r="G906"/>
    </row>
    <row r="907" spans="7:7" x14ac:dyDescent="0.25">
      <c r="G907"/>
    </row>
    <row r="908" spans="7:7" x14ac:dyDescent="0.25">
      <c r="G908"/>
    </row>
    <row r="909" spans="7:7" x14ac:dyDescent="0.25">
      <c r="G909"/>
    </row>
    <row r="910" spans="7:7" x14ac:dyDescent="0.25">
      <c r="G910"/>
    </row>
    <row r="911" spans="7:7" x14ac:dyDescent="0.25">
      <c r="G911"/>
    </row>
    <row r="912" spans="7:7" x14ac:dyDescent="0.25">
      <c r="G912"/>
    </row>
    <row r="913" spans="7:7" x14ac:dyDescent="0.25">
      <c r="G913"/>
    </row>
    <row r="914" spans="7:7" x14ac:dyDescent="0.25">
      <c r="G914"/>
    </row>
    <row r="915" spans="7:7" x14ac:dyDescent="0.25">
      <c r="G915"/>
    </row>
    <row r="916" spans="7:7" x14ac:dyDescent="0.25">
      <c r="G916"/>
    </row>
    <row r="917" spans="7:7" x14ac:dyDescent="0.25">
      <c r="G917"/>
    </row>
    <row r="918" spans="7:7" x14ac:dyDescent="0.25">
      <c r="G918"/>
    </row>
    <row r="919" spans="7:7" x14ac:dyDescent="0.25">
      <c r="G919"/>
    </row>
    <row r="920" spans="7:7" x14ac:dyDescent="0.25">
      <c r="G920"/>
    </row>
    <row r="921" spans="7:7" x14ac:dyDescent="0.25">
      <c r="G921"/>
    </row>
    <row r="922" spans="7:7" x14ac:dyDescent="0.25">
      <c r="G922"/>
    </row>
    <row r="923" spans="7:7" x14ac:dyDescent="0.25">
      <c r="G923"/>
    </row>
    <row r="924" spans="7:7" x14ac:dyDescent="0.25">
      <c r="G924"/>
    </row>
    <row r="925" spans="7:7" x14ac:dyDescent="0.25">
      <c r="G925"/>
    </row>
    <row r="926" spans="7:7" x14ac:dyDescent="0.25">
      <c r="G926"/>
    </row>
    <row r="927" spans="7:7" x14ac:dyDescent="0.25">
      <c r="G927"/>
    </row>
    <row r="928" spans="7:7" x14ac:dyDescent="0.25">
      <c r="G928"/>
    </row>
    <row r="929" spans="7:7" x14ac:dyDescent="0.25">
      <c r="G929"/>
    </row>
    <row r="930" spans="7:7" x14ac:dyDescent="0.25">
      <c r="G930"/>
    </row>
    <row r="931" spans="7:7" x14ac:dyDescent="0.25">
      <c r="G931"/>
    </row>
    <row r="932" spans="7:7" x14ac:dyDescent="0.25">
      <c r="G932"/>
    </row>
    <row r="933" spans="7:7" x14ac:dyDescent="0.25">
      <c r="G933"/>
    </row>
    <row r="934" spans="7:7" x14ac:dyDescent="0.25">
      <c r="G934"/>
    </row>
    <row r="935" spans="7:7" x14ac:dyDescent="0.25">
      <c r="G935"/>
    </row>
    <row r="936" spans="7:7" x14ac:dyDescent="0.25">
      <c r="G936"/>
    </row>
    <row r="937" spans="7:7" x14ac:dyDescent="0.25">
      <c r="G937"/>
    </row>
    <row r="938" spans="7:7" x14ac:dyDescent="0.25">
      <c r="G938"/>
    </row>
    <row r="939" spans="7:7" x14ac:dyDescent="0.25">
      <c r="G939"/>
    </row>
    <row r="940" spans="7:7" x14ac:dyDescent="0.25">
      <c r="G940"/>
    </row>
    <row r="941" spans="7:7" x14ac:dyDescent="0.25">
      <c r="G941"/>
    </row>
    <row r="942" spans="7:7" x14ac:dyDescent="0.25">
      <c r="G942"/>
    </row>
    <row r="943" spans="7:7" x14ac:dyDescent="0.25">
      <c r="G943"/>
    </row>
    <row r="944" spans="7:7" x14ac:dyDescent="0.25">
      <c r="G944"/>
    </row>
    <row r="945" spans="7:7" x14ac:dyDescent="0.25">
      <c r="G945"/>
    </row>
    <row r="946" spans="7:7" x14ac:dyDescent="0.25">
      <c r="G946"/>
    </row>
    <row r="947" spans="7:7" x14ac:dyDescent="0.25">
      <c r="G947"/>
    </row>
    <row r="948" spans="7:7" x14ac:dyDescent="0.25">
      <c r="G948"/>
    </row>
    <row r="949" spans="7:7" x14ac:dyDescent="0.25">
      <c r="G949"/>
    </row>
    <row r="950" spans="7:7" x14ac:dyDescent="0.25">
      <c r="G950"/>
    </row>
    <row r="951" spans="7:7" x14ac:dyDescent="0.25">
      <c r="G951"/>
    </row>
    <row r="952" spans="7:7" x14ac:dyDescent="0.25">
      <c r="G952"/>
    </row>
    <row r="953" spans="7:7" x14ac:dyDescent="0.25">
      <c r="G953"/>
    </row>
    <row r="954" spans="7:7" x14ac:dyDescent="0.25">
      <c r="G954"/>
    </row>
    <row r="955" spans="7:7" x14ac:dyDescent="0.25">
      <c r="G955"/>
    </row>
    <row r="956" spans="7:7" x14ac:dyDescent="0.25">
      <c r="G956"/>
    </row>
    <row r="957" spans="7:7" x14ac:dyDescent="0.25">
      <c r="G957"/>
    </row>
    <row r="958" spans="7:7" x14ac:dyDescent="0.25">
      <c r="G958"/>
    </row>
    <row r="959" spans="7:7" x14ac:dyDescent="0.25">
      <c r="G959"/>
    </row>
    <row r="960" spans="7:7" x14ac:dyDescent="0.25">
      <c r="G960"/>
    </row>
    <row r="961" spans="7:7" x14ac:dyDescent="0.25">
      <c r="G961"/>
    </row>
    <row r="962" spans="7:7" x14ac:dyDescent="0.25">
      <c r="G962"/>
    </row>
    <row r="963" spans="7:7" x14ac:dyDescent="0.25">
      <c r="G963"/>
    </row>
    <row r="964" spans="7:7" x14ac:dyDescent="0.25">
      <c r="G964"/>
    </row>
    <row r="965" spans="7:7" x14ac:dyDescent="0.25">
      <c r="G965"/>
    </row>
    <row r="966" spans="7:7" x14ac:dyDescent="0.25">
      <c r="G966"/>
    </row>
    <row r="967" spans="7:7" x14ac:dyDescent="0.25">
      <c r="G967"/>
    </row>
    <row r="968" spans="7:7" x14ac:dyDescent="0.25">
      <c r="G968"/>
    </row>
    <row r="969" spans="7:7" x14ac:dyDescent="0.25">
      <c r="G969"/>
    </row>
    <row r="970" spans="7:7" x14ac:dyDescent="0.25">
      <c r="G970"/>
    </row>
    <row r="971" spans="7:7" x14ac:dyDescent="0.25">
      <c r="G971"/>
    </row>
    <row r="972" spans="7:7" x14ac:dyDescent="0.25">
      <c r="G972"/>
    </row>
    <row r="973" spans="7:7" x14ac:dyDescent="0.25">
      <c r="G973"/>
    </row>
    <row r="974" spans="7:7" x14ac:dyDescent="0.25">
      <c r="G974"/>
    </row>
    <row r="975" spans="7:7" x14ac:dyDescent="0.25">
      <c r="G975"/>
    </row>
    <row r="976" spans="7:7" x14ac:dyDescent="0.25">
      <c r="G976"/>
    </row>
    <row r="977" spans="7:7" x14ac:dyDescent="0.25">
      <c r="G977"/>
    </row>
    <row r="978" spans="7:7" x14ac:dyDescent="0.25">
      <c r="G978"/>
    </row>
    <row r="979" spans="7:7" x14ac:dyDescent="0.25">
      <c r="G979"/>
    </row>
    <row r="980" spans="7:7" x14ac:dyDescent="0.25">
      <c r="G980"/>
    </row>
    <row r="981" spans="7:7" x14ac:dyDescent="0.25">
      <c r="G981"/>
    </row>
    <row r="982" spans="7:7" x14ac:dyDescent="0.25">
      <c r="G982"/>
    </row>
    <row r="983" spans="7:7" x14ac:dyDescent="0.25">
      <c r="G983"/>
    </row>
    <row r="984" spans="7:7" x14ac:dyDescent="0.25">
      <c r="G984"/>
    </row>
    <row r="985" spans="7:7" x14ac:dyDescent="0.25">
      <c r="G985"/>
    </row>
    <row r="986" spans="7:7" x14ac:dyDescent="0.25">
      <c r="G986"/>
    </row>
    <row r="987" spans="7:7" x14ac:dyDescent="0.25">
      <c r="G987"/>
    </row>
    <row r="988" spans="7:7" x14ac:dyDescent="0.25">
      <c r="G988"/>
    </row>
    <row r="989" spans="7:7" x14ac:dyDescent="0.25">
      <c r="G989"/>
    </row>
    <row r="990" spans="7:7" x14ac:dyDescent="0.25">
      <c r="G990"/>
    </row>
    <row r="991" spans="7:7" x14ac:dyDescent="0.25">
      <c r="G991"/>
    </row>
    <row r="992" spans="7:7" x14ac:dyDescent="0.25">
      <c r="G992"/>
    </row>
    <row r="993" spans="7:7" x14ac:dyDescent="0.25">
      <c r="G993"/>
    </row>
    <row r="994" spans="7:7" x14ac:dyDescent="0.25">
      <c r="G994"/>
    </row>
    <row r="995" spans="7:7" x14ac:dyDescent="0.25">
      <c r="G995"/>
    </row>
    <row r="996" spans="7:7" x14ac:dyDescent="0.25">
      <c r="G996"/>
    </row>
    <row r="997" spans="7:7" x14ac:dyDescent="0.25">
      <c r="G997"/>
    </row>
    <row r="998" spans="7:7" x14ac:dyDescent="0.25">
      <c r="G998"/>
    </row>
    <row r="999" spans="7:7" x14ac:dyDescent="0.25">
      <c r="G999"/>
    </row>
    <row r="1000" spans="7:7" x14ac:dyDescent="0.25">
      <c r="G1000"/>
    </row>
    <row r="1001" spans="7:7" x14ac:dyDescent="0.25">
      <c r="G1001"/>
    </row>
    <row r="1002" spans="7:7" x14ac:dyDescent="0.25">
      <c r="G1002"/>
    </row>
    <row r="1003" spans="7:7" x14ac:dyDescent="0.25">
      <c r="G1003"/>
    </row>
    <row r="1004" spans="7:7" x14ac:dyDescent="0.25">
      <c r="G1004"/>
    </row>
    <row r="1005" spans="7:7" x14ac:dyDescent="0.25">
      <c r="G1005"/>
    </row>
    <row r="1006" spans="7:7" x14ac:dyDescent="0.25">
      <c r="G1006"/>
    </row>
    <row r="1007" spans="7:7" x14ac:dyDescent="0.25">
      <c r="G1007"/>
    </row>
    <row r="1008" spans="7:7" x14ac:dyDescent="0.25">
      <c r="G1008"/>
    </row>
    <row r="1009" spans="7:7" x14ac:dyDescent="0.25">
      <c r="G1009"/>
    </row>
    <row r="1010" spans="7:7" x14ac:dyDescent="0.25">
      <c r="G1010"/>
    </row>
    <row r="1011" spans="7:7" x14ac:dyDescent="0.25">
      <c r="G1011"/>
    </row>
    <row r="1012" spans="7:7" x14ac:dyDescent="0.25">
      <c r="G1012"/>
    </row>
    <row r="1013" spans="7:7" x14ac:dyDescent="0.25">
      <c r="G1013"/>
    </row>
    <row r="1014" spans="7:7" x14ac:dyDescent="0.25">
      <c r="G1014"/>
    </row>
    <row r="1015" spans="7:7" x14ac:dyDescent="0.25">
      <c r="G1015"/>
    </row>
    <row r="1016" spans="7:7" x14ac:dyDescent="0.25">
      <c r="G1016"/>
    </row>
    <row r="1017" spans="7:7" x14ac:dyDescent="0.25">
      <c r="G1017"/>
    </row>
    <row r="1018" spans="7:7" x14ac:dyDescent="0.25">
      <c r="G1018"/>
    </row>
    <row r="1019" spans="7:7" x14ac:dyDescent="0.25">
      <c r="G1019"/>
    </row>
    <row r="1020" spans="7:7" x14ac:dyDescent="0.25">
      <c r="G1020"/>
    </row>
    <row r="1021" spans="7:7" x14ac:dyDescent="0.25">
      <c r="G1021"/>
    </row>
    <row r="1022" spans="7:7" x14ac:dyDescent="0.25">
      <c r="G1022"/>
    </row>
    <row r="1023" spans="7:7" x14ac:dyDescent="0.25">
      <c r="G1023"/>
    </row>
    <row r="1024" spans="7:7" x14ac:dyDescent="0.25">
      <c r="G1024"/>
    </row>
    <row r="1025" spans="7:7" x14ac:dyDescent="0.25">
      <c r="G1025"/>
    </row>
    <row r="1026" spans="7:7" x14ac:dyDescent="0.25">
      <c r="G1026"/>
    </row>
    <row r="1027" spans="7:7" x14ac:dyDescent="0.25">
      <c r="G1027"/>
    </row>
    <row r="1028" spans="7:7" x14ac:dyDescent="0.25">
      <c r="G1028"/>
    </row>
    <row r="1029" spans="7:7" x14ac:dyDescent="0.25">
      <c r="G1029"/>
    </row>
    <row r="1030" spans="7:7" x14ac:dyDescent="0.25">
      <c r="G103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68"/>
  <sheetViews>
    <sheetView workbookViewId="0">
      <selection activeCell="G27" sqref="G27:R68"/>
    </sheetView>
  </sheetViews>
  <sheetFormatPr defaultRowHeight="15" x14ac:dyDescent="0.25"/>
  <cols>
    <col min="1" max="1" width="53.28515625" customWidth="1"/>
    <col min="2" max="2" width="10.140625" bestFit="1" customWidth="1"/>
    <col min="3" max="3" width="85" bestFit="1" customWidth="1"/>
    <col min="8" max="8" width="10.28515625" customWidth="1"/>
    <col min="9" max="9" width="12.5703125" customWidth="1"/>
    <col min="10" max="10" width="14.7109375" customWidth="1"/>
    <col min="11" max="11" width="13.140625" customWidth="1"/>
    <col min="12" max="12" width="21.140625" customWidth="1"/>
  </cols>
  <sheetData>
    <row r="1" spans="1:12" ht="15.75" x14ac:dyDescent="0.25">
      <c r="A1" s="9" t="s">
        <v>11</v>
      </c>
      <c r="B1" s="9" t="s">
        <v>12</v>
      </c>
      <c r="C1" s="9" t="s">
        <v>13</v>
      </c>
      <c r="H1" s="35" t="s">
        <v>79</v>
      </c>
      <c r="I1" s="35"/>
      <c r="J1" s="35"/>
      <c r="K1" s="35"/>
      <c r="L1" s="35"/>
    </row>
    <row r="2" spans="1:12" x14ac:dyDescent="0.25">
      <c r="A2" s="10" t="s">
        <v>14</v>
      </c>
      <c r="B2" s="9" t="s">
        <v>15</v>
      </c>
      <c r="C2" s="11" t="s">
        <v>16</v>
      </c>
      <c r="H2" s="94" t="s">
        <v>80</v>
      </c>
      <c r="I2" s="94"/>
      <c r="J2" s="94"/>
      <c r="K2" s="36" t="s">
        <v>81</v>
      </c>
      <c r="L2" s="37"/>
    </row>
    <row r="3" spans="1:12" x14ac:dyDescent="0.25">
      <c r="A3" s="10" t="s">
        <v>17</v>
      </c>
      <c r="B3" s="9" t="s">
        <v>18</v>
      </c>
      <c r="C3" s="11" t="s">
        <v>19</v>
      </c>
      <c r="H3" s="94"/>
      <c r="I3" s="94"/>
      <c r="J3" s="94"/>
      <c r="K3" s="38" t="s">
        <v>82</v>
      </c>
      <c r="L3" s="38" t="s">
        <v>83</v>
      </c>
    </row>
    <row r="4" spans="1:12" x14ac:dyDescent="0.25">
      <c r="A4" s="10" t="s">
        <v>20</v>
      </c>
      <c r="B4" s="9" t="s">
        <v>21</v>
      </c>
      <c r="C4" s="11" t="s">
        <v>22</v>
      </c>
      <c r="H4" s="40">
        <v>5</v>
      </c>
      <c r="I4" s="38" t="s">
        <v>84</v>
      </c>
      <c r="J4" s="36">
        <v>50</v>
      </c>
      <c r="K4" s="38">
        <v>9</v>
      </c>
      <c r="L4" s="38" t="s">
        <v>85</v>
      </c>
    </row>
    <row r="5" spans="1:12" x14ac:dyDescent="0.25">
      <c r="A5" s="10" t="s">
        <v>23</v>
      </c>
      <c r="B5" s="9" t="s">
        <v>24</v>
      </c>
      <c r="C5" s="11" t="s">
        <v>25</v>
      </c>
      <c r="H5" s="40">
        <v>50</v>
      </c>
      <c r="I5" s="38" t="s">
        <v>84</v>
      </c>
      <c r="J5" s="36">
        <v>100</v>
      </c>
      <c r="K5" s="38" t="s">
        <v>85</v>
      </c>
      <c r="L5" s="38">
        <v>4.5</v>
      </c>
    </row>
    <row r="6" spans="1:12" ht="30" x14ac:dyDescent="0.25">
      <c r="A6" s="12" t="s">
        <v>26</v>
      </c>
      <c r="B6" s="9" t="s">
        <v>27</v>
      </c>
      <c r="C6" s="11" t="s">
        <v>28</v>
      </c>
      <c r="H6" s="40">
        <v>100</v>
      </c>
      <c r="I6" s="38" t="s">
        <v>84</v>
      </c>
      <c r="J6" s="36">
        <v>200</v>
      </c>
      <c r="K6" s="38">
        <v>4.5</v>
      </c>
      <c r="L6" s="38" t="s">
        <v>85</v>
      </c>
    </row>
    <row r="7" spans="1:12" ht="45" x14ac:dyDescent="0.25">
      <c r="A7" s="13" t="s">
        <v>29</v>
      </c>
      <c r="B7" s="9" t="s">
        <v>30</v>
      </c>
      <c r="C7" s="11" t="s">
        <v>31</v>
      </c>
      <c r="H7" s="40">
        <v>200</v>
      </c>
      <c r="I7" s="38" t="s">
        <v>84</v>
      </c>
      <c r="J7" s="36">
        <v>300</v>
      </c>
      <c r="K7" s="37" t="s">
        <v>85</v>
      </c>
      <c r="L7" s="38">
        <v>9</v>
      </c>
    </row>
    <row r="8" spans="1:12" ht="45" x14ac:dyDescent="0.25">
      <c r="A8" s="13" t="s">
        <v>32</v>
      </c>
      <c r="B8" s="9" t="s">
        <v>33</v>
      </c>
      <c r="C8" s="11" t="s">
        <v>34</v>
      </c>
      <c r="H8" s="40">
        <v>300</v>
      </c>
      <c r="I8" s="38" t="s">
        <v>84</v>
      </c>
      <c r="J8" s="36">
        <v>500</v>
      </c>
      <c r="K8" s="38">
        <v>3</v>
      </c>
      <c r="L8" s="37" t="s">
        <v>85</v>
      </c>
    </row>
    <row r="9" spans="1:12" ht="30" x14ac:dyDescent="0.25">
      <c r="A9" s="13" t="s">
        <v>35</v>
      </c>
      <c r="B9" s="9" t="s">
        <v>36</v>
      </c>
      <c r="C9" s="11" t="s">
        <v>37</v>
      </c>
      <c r="H9" s="40">
        <v>500</v>
      </c>
      <c r="I9" s="38" t="s">
        <v>84</v>
      </c>
      <c r="J9" s="36">
        <v>1000</v>
      </c>
      <c r="K9" s="38"/>
      <c r="L9" s="38">
        <v>15</v>
      </c>
    </row>
    <row r="10" spans="1:12" ht="45" x14ac:dyDescent="0.25">
      <c r="A10" s="14" t="s">
        <v>38</v>
      </c>
      <c r="B10" s="9" t="s">
        <v>39</v>
      </c>
      <c r="C10" s="11" t="s">
        <v>40</v>
      </c>
      <c r="H10" s="40">
        <v>1000</v>
      </c>
      <c r="I10" s="38" t="s">
        <v>84</v>
      </c>
      <c r="J10" s="36">
        <v>10000</v>
      </c>
      <c r="K10" s="38">
        <v>1.5</v>
      </c>
      <c r="L10" s="37" t="s">
        <v>85</v>
      </c>
    </row>
    <row r="11" spans="1:12" ht="45" x14ac:dyDescent="0.25">
      <c r="A11" s="15" t="s">
        <v>41</v>
      </c>
      <c r="B11" s="9" t="s">
        <v>42</v>
      </c>
      <c r="C11" s="11" t="s">
        <v>43</v>
      </c>
    </row>
    <row r="12" spans="1:12" ht="30" x14ac:dyDescent="0.25">
      <c r="A12" s="15" t="s">
        <v>44</v>
      </c>
      <c r="B12" s="9" t="s">
        <v>45</v>
      </c>
      <c r="C12" s="11" t="s">
        <v>46</v>
      </c>
    </row>
    <row r="13" spans="1:12" ht="38.25" x14ac:dyDescent="0.25">
      <c r="A13" s="16" t="s">
        <v>47</v>
      </c>
      <c r="B13" s="9" t="s">
        <v>48</v>
      </c>
      <c r="C13" s="17" t="s">
        <v>49</v>
      </c>
    </row>
    <row r="14" spans="1:12" ht="45" x14ac:dyDescent="0.25">
      <c r="A14" s="18" t="s">
        <v>50</v>
      </c>
      <c r="B14" s="9" t="s">
        <v>51</v>
      </c>
      <c r="C14" s="11" t="s">
        <v>52</v>
      </c>
    </row>
    <row r="15" spans="1:12" x14ac:dyDescent="0.25">
      <c r="A15" s="18" t="s">
        <v>53</v>
      </c>
      <c r="B15" s="9" t="s">
        <v>54</v>
      </c>
      <c r="C15" s="11" t="s">
        <v>55</v>
      </c>
    </row>
    <row r="16" spans="1:12" x14ac:dyDescent="0.25">
      <c r="A16" s="18" t="s">
        <v>56</v>
      </c>
      <c r="B16" s="9" t="s">
        <v>57</v>
      </c>
      <c r="C16" s="11" t="s">
        <v>58</v>
      </c>
    </row>
    <row r="17" spans="1:18" x14ac:dyDescent="0.25">
      <c r="A17" s="19"/>
      <c r="B17" s="20"/>
      <c r="C17" s="19"/>
    </row>
    <row r="18" spans="1:18" ht="15.75" x14ac:dyDescent="0.25">
      <c r="A18" s="21" t="s">
        <v>59</v>
      </c>
      <c r="B18" s="20"/>
      <c r="C18" s="22" t="s">
        <v>60</v>
      </c>
    </row>
    <row r="19" spans="1:18" ht="15.75" x14ac:dyDescent="0.25">
      <c r="A19" s="23" t="s">
        <v>61</v>
      </c>
      <c r="B19" s="20"/>
      <c r="C19" s="24" t="s">
        <v>62</v>
      </c>
    </row>
    <row r="20" spans="1:18" ht="31.5" x14ac:dyDescent="0.25">
      <c r="A20" s="25" t="s">
        <v>63</v>
      </c>
      <c r="B20" s="20"/>
      <c r="C20" s="26" t="s">
        <v>64</v>
      </c>
    </row>
    <row r="21" spans="1:18" ht="31.5" x14ac:dyDescent="0.25">
      <c r="A21" s="25" t="s">
        <v>65</v>
      </c>
      <c r="B21" s="20"/>
      <c r="C21" s="26" t="s">
        <v>66</v>
      </c>
    </row>
    <row r="22" spans="1:18" x14ac:dyDescent="0.25">
      <c r="A22" s="27" t="s">
        <v>67</v>
      </c>
      <c r="B22" s="20" t="s">
        <v>68</v>
      </c>
      <c r="C22" s="26" t="s">
        <v>69</v>
      </c>
    </row>
    <row r="23" spans="1:18" x14ac:dyDescent="0.25">
      <c r="A23" s="27" t="s">
        <v>70</v>
      </c>
      <c r="B23" s="20"/>
      <c r="C23" s="26" t="s">
        <v>71</v>
      </c>
    </row>
    <row r="24" spans="1:18" x14ac:dyDescent="0.25">
      <c r="A24" s="27" t="s">
        <v>72</v>
      </c>
      <c r="B24" s="20" t="s">
        <v>73</v>
      </c>
      <c r="C24" s="26" t="s">
        <v>74</v>
      </c>
    </row>
    <row r="25" spans="1:18" x14ac:dyDescent="0.25">
      <c r="A25" s="27" t="s">
        <v>67</v>
      </c>
      <c r="B25" s="20"/>
      <c r="C25" s="26" t="s">
        <v>69</v>
      </c>
    </row>
    <row r="26" spans="1:18" x14ac:dyDescent="0.25">
      <c r="A26" s="28" t="s">
        <v>75</v>
      </c>
      <c r="B26" s="20"/>
      <c r="C26" s="11" t="s">
        <v>75</v>
      </c>
    </row>
    <row r="27" spans="1:18" ht="18" x14ac:dyDescent="0.25">
      <c r="G27" s="41" t="s">
        <v>86</v>
      </c>
      <c r="H27" s="42"/>
      <c r="I27" s="42"/>
      <c r="J27" s="42"/>
      <c r="K27" s="42"/>
      <c r="L27" s="42"/>
      <c r="M27" s="42"/>
      <c r="N27" s="43"/>
      <c r="O27" s="35"/>
      <c r="P27" s="35"/>
      <c r="Q27" s="35"/>
      <c r="R27" s="44"/>
    </row>
    <row r="28" spans="1:18" ht="126" x14ac:dyDescent="0.25">
      <c r="G28" s="45" t="s">
        <v>87</v>
      </c>
      <c r="H28" s="45"/>
      <c r="I28" s="46">
        <f>H9-I12</f>
        <v>500</v>
      </c>
      <c r="J28" s="42" t="s">
        <v>88</v>
      </c>
      <c r="K28" s="35"/>
      <c r="L28" s="47"/>
      <c r="M28" s="48"/>
      <c r="N28" s="49"/>
      <c r="O28" s="35"/>
      <c r="P28" s="35"/>
      <c r="Q28" s="35"/>
      <c r="R28" s="44"/>
    </row>
    <row r="29" spans="1:18" ht="15.75" x14ac:dyDescent="0.25">
      <c r="G29" s="50" t="s">
        <v>89</v>
      </c>
      <c r="H29" s="47"/>
      <c r="I29" s="47"/>
      <c r="J29" s="47"/>
      <c r="K29" s="47"/>
      <c r="L29" s="47"/>
      <c r="M29" s="51"/>
      <c r="O29" s="35"/>
      <c r="P29" s="35"/>
      <c r="Q29" s="35"/>
      <c r="R29" s="44"/>
    </row>
    <row r="30" spans="1:18" ht="15.75" x14ac:dyDescent="0.25">
      <c r="G30" s="42" t="s">
        <v>90</v>
      </c>
      <c r="H30" s="51"/>
      <c r="I30" s="51"/>
      <c r="J30" s="51"/>
      <c r="K30" s="47"/>
      <c r="L30" s="47"/>
      <c r="M30" s="51"/>
      <c r="O30" s="35"/>
      <c r="P30" s="35"/>
      <c r="Q30" s="35"/>
      <c r="R30" s="44"/>
    </row>
    <row r="31" spans="1:18" ht="15.75" x14ac:dyDescent="0.25">
      <c r="G31" s="47"/>
      <c r="H31" s="47"/>
      <c r="I31" s="47"/>
      <c r="J31" s="47"/>
      <c r="K31" s="47"/>
      <c r="L31" s="47"/>
      <c r="M31" s="47"/>
      <c r="N31" s="35"/>
      <c r="O31" s="35"/>
      <c r="P31" s="35"/>
      <c r="Q31" s="35"/>
      <c r="R31" s="44"/>
    </row>
    <row r="32" spans="1:18" ht="51" x14ac:dyDescent="0.25">
      <c r="G32" s="35"/>
      <c r="H32" s="35"/>
      <c r="I32" s="35"/>
      <c r="J32" s="35"/>
      <c r="K32" s="95" t="s">
        <v>91</v>
      </c>
      <c r="L32" s="96"/>
      <c r="M32" s="97"/>
      <c r="N32" s="52" t="s">
        <v>92</v>
      </c>
      <c r="O32" s="52" t="s">
        <v>93</v>
      </c>
      <c r="P32" s="52" t="s">
        <v>94</v>
      </c>
      <c r="Q32" s="52" t="s">
        <v>95</v>
      </c>
      <c r="R32" s="53" t="s">
        <v>96</v>
      </c>
    </row>
    <row r="33" spans="7:18" ht="15.75" x14ac:dyDescent="0.25">
      <c r="G33" s="35"/>
      <c r="H33" s="35"/>
      <c r="I33" s="35"/>
      <c r="J33" s="35"/>
      <c r="K33" s="54">
        <v>100</v>
      </c>
      <c r="L33" s="55" t="s">
        <v>97</v>
      </c>
      <c r="M33" s="56">
        <v>500</v>
      </c>
      <c r="N33" s="57">
        <v>1</v>
      </c>
      <c r="O33" s="57">
        <v>30</v>
      </c>
      <c r="P33" s="57">
        <f>O33</f>
        <v>30</v>
      </c>
      <c r="Q33" s="57">
        <v>1</v>
      </c>
      <c r="R33" s="58">
        <v>3</v>
      </c>
    </row>
    <row r="34" spans="7:18" ht="15.75" x14ac:dyDescent="0.25">
      <c r="G34" s="35"/>
      <c r="H34" s="35"/>
      <c r="I34" s="35"/>
      <c r="J34" s="35"/>
      <c r="K34" s="59"/>
      <c r="L34" s="60"/>
      <c r="M34" s="61"/>
      <c r="N34" s="62">
        <v>2</v>
      </c>
      <c r="O34" s="62">
        <v>30</v>
      </c>
      <c r="P34" s="62">
        <f>P33+O34</f>
        <v>60</v>
      </c>
      <c r="Q34" s="62">
        <v>4</v>
      </c>
      <c r="R34" s="63">
        <v>5</v>
      </c>
    </row>
    <row r="35" spans="7:18" ht="15.75" x14ac:dyDescent="0.25">
      <c r="G35" s="35"/>
      <c r="H35" s="35"/>
      <c r="I35" s="35"/>
      <c r="J35" s="35"/>
      <c r="K35" s="54">
        <v>501</v>
      </c>
      <c r="L35" s="55" t="s">
        <v>97</v>
      </c>
      <c r="M35" s="56">
        <v>3200</v>
      </c>
      <c r="N35" s="64">
        <v>1</v>
      </c>
      <c r="O35" s="64">
        <v>50</v>
      </c>
      <c r="P35" s="64">
        <f>O35</f>
        <v>50</v>
      </c>
      <c r="Q35" s="64">
        <v>2</v>
      </c>
      <c r="R35" s="65">
        <v>5</v>
      </c>
    </row>
    <row r="36" spans="7:18" ht="15.75" x14ac:dyDescent="0.25">
      <c r="G36" s="35"/>
      <c r="H36" s="35"/>
      <c r="I36" s="35"/>
      <c r="J36" s="35"/>
      <c r="K36" s="59"/>
      <c r="L36" s="60"/>
      <c r="M36" s="61"/>
      <c r="N36" s="64">
        <v>2</v>
      </c>
      <c r="O36" s="64">
        <v>50</v>
      </c>
      <c r="P36" s="64">
        <f>P35+O36</f>
        <v>100</v>
      </c>
      <c r="Q36" s="64">
        <v>6</v>
      </c>
      <c r="R36" s="65">
        <v>7</v>
      </c>
    </row>
    <row r="37" spans="7:18" ht="15.75" x14ac:dyDescent="0.25">
      <c r="G37" s="35"/>
      <c r="H37" s="35"/>
      <c r="I37" s="35"/>
      <c r="J37" s="35"/>
      <c r="K37" s="54"/>
      <c r="L37" s="55"/>
      <c r="M37" s="56" t="s">
        <v>98</v>
      </c>
      <c r="N37" s="57">
        <v>1</v>
      </c>
      <c r="O37" s="57">
        <v>80</v>
      </c>
      <c r="P37" s="57">
        <f>O37</f>
        <v>80</v>
      </c>
      <c r="Q37" s="57">
        <v>3</v>
      </c>
      <c r="R37" s="58">
        <v>7</v>
      </c>
    </row>
    <row r="38" spans="7:18" ht="15.75" x14ac:dyDescent="0.25">
      <c r="G38" s="35"/>
      <c r="H38" s="35"/>
      <c r="I38" s="35"/>
      <c r="J38" s="35"/>
      <c r="K38" s="59"/>
      <c r="L38" s="60"/>
      <c r="M38" s="61"/>
      <c r="N38" s="62">
        <v>2</v>
      </c>
      <c r="O38" s="62">
        <v>80</v>
      </c>
      <c r="P38" s="62">
        <f>P37+O38</f>
        <v>160</v>
      </c>
      <c r="Q38" s="62">
        <v>8</v>
      </c>
      <c r="R38" s="63">
        <v>9</v>
      </c>
    </row>
    <row r="39" spans="7:18" ht="25.5" x14ac:dyDescent="0.25">
      <c r="J39" s="66"/>
      <c r="K39" s="67" t="s">
        <v>99</v>
      </c>
      <c r="L39" s="67" t="s">
        <v>100</v>
      </c>
      <c r="M39" s="64"/>
      <c r="N39" s="64"/>
      <c r="O39" s="64"/>
      <c r="P39" s="64"/>
      <c r="Q39" s="64"/>
      <c r="R39" s="68"/>
    </row>
    <row r="40" spans="7:18" x14ac:dyDescent="0.25">
      <c r="G40" t="s">
        <v>101</v>
      </c>
      <c r="I40" s="69" t="s">
        <v>102</v>
      </c>
      <c r="J40" s="70">
        <f>IF(I23&gt;3201,80, IF(I23&gt;=501,50, IF(I23&gt;100,30,I23)))</f>
        <v>0</v>
      </c>
      <c r="K40" s="70">
        <f>IF(J40=30,1, IF(J40=50,2, IF(J40=80,3,1)))</f>
        <v>1</v>
      </c>
      <c r="L40" s="70">
        <f>IF(J40=30,3, IF(J40=50,5, IF(J40=80,7,3)))</f>
        <v>3</v>
      </c>
      <c r="M40" s="64"/>
      <c r="N40" s="64"/>
      <c r="O40" s="64"/>
      <c r="P40" s="64"/>
      <c r="Q40" s="64"/>
      <c r="R40" s="68"/>
    </row>
    <row r="41" spans="7:18" x14ac:dyDescent="0.25">
      <c r="I41" s="69" t="s">
        <v>103</v>
      </c>
      <c r="J41" s="70">
        <f>IF(J40&gt;3201,80, IF(J40&gt;=501, "ES1=50 + ES2=50", IF(J40&gt;100, "ES1=30 + ES2=30",J40)))</f>
        <v>0</v>
      </c>
      <c r="K41" s="70">
        <f>IF(J41=30,4, IF(J41=50,6, IF(J41=80,8,4)))</f>
        <v>4</v>
      </c>
      <c r="L41" s="70">
        <f>IF(J41=30,5, IF(J41=50,7, IF(J41=80,9,5)))</f>
        <v>5</v>
      </c>
      <c r="M41" s="64"/>
      <c r="N41" s="64"/>
      <c r="O41" s="64"/>
      <c r="P41" s="64"/>
      <c r="Q41" s="64"/>
      <c r="R41" s="68"/>
    </row>
    <row r="42" spans="7:18" ht="15.75" x14ac:dyDescent="0.25">
      <c r="G42" s="47"/>
      <c r="H42" s="47"/>
      <c r="I42" s="47"/>
      <c r="J42" s="47"/>
      <c r="K42" s="47"/>
      <c r="L42" s="47"/>
      <c r="M42" s="47"/>
      <c r="N42" s="35"/>
      <c r="O42" s="35"/>
      <c r="P42" s="35"/>
      <c r="Q42" s="35"/>
      <c r="R42" s="44"/>
    </row>
    <row r="43" spans="7:18" ht="15.75" x14ac:dyDescent="0.25">
      <c r="G43" s="71" t="s">
        <v>63</v>
      </c>
      <c r="H43" s="55"/>
      <c r="I43" s="55"/>
      <c r="J43" s="55"/>
      <c r="K43" s="55"/>
      <c r="L43" s="72">
        <f>COUNTIF(AB15:AB91,"N")</f>
        <v>0</v>
      </c>
      <c r="M43" s="73"/>
      <c r="N43" s="35"/>
      <c r="O43" s="35"/>
      <c r="P43" s="35"/>
      <c r="Q43" s="35"/>
      <c r="R43" s="44"/>
    </row>
    <row r="44" spans="7:18" ht="15.75" x14ac:dyDescent="0.25">
      <c r="G44" s="74" t="s">
        <v>104</v>
      </c>
      <c r="H44" s="60"/>
      <c r="I44" s="60"/>
      <c r="J44" s="60"/>
      <c r="K44" s="60"/>
      <c r="L44" s="75" t="str">
        <f>IF(L43&lt;=K40,"LOT ACCEPTAT", IF(L43&gt;=L40,"LOT RESPINS","SE VERIFICA SI ES2"))</f>
        <v>LOT ACCEPTAT</v>
      </c>
      <c r="M44" s="76"/>
      <c r="N44" s="35"/>
      <c r="O44" s="35"/>
      <c r="P44" s="35"/>
      <c r="Q44" s="35"/>
      <c r="R44" s="44"/>
    </row>
    <row r="45" spans="7:18" ht="15.75" x14ac:dyDescent="0.25">
      <c r="G45" s="77"/>
      <c r="H45" s="47"/>
      <c r="I45" s="47"/>
      <c r="J45" s="78" t="s">
        <v>105</v>
      </c>
      <c r="K45" s="35"/>
      <c r="L45" s="47"/>
      <c r="M45" s="47"/>
      <c r="N45" s="35"/>
      <c r="O45" s="35"/>
      <c r="P45" s="35"/>
      <c r="Q45" s="35"/>
      <c r="R45" s="44"/>
    </row>
    <row r="46" spans="7:18" ht="15.75" x14ac:dyDescent="0.25">
      <c r="G46" s="77"/>
      <c r="H46" s="47"/>
      <c r="I46" s="47"/>
      <c r="J46" s="78" t="s">
        <v>106</v>
      </c>
      <c r="K46" s="35"/>
      <c r="L46" s="47"/>
      <c r="M46" s="47"/>
      <c r="N46" s="35"/>
      <c r="O46" s="35"/>
      <c r="P46" s="35"/>
      <c r="Q46" s="35"/>
      <c r="R46" s="44"/>
    </row>
    <row r="47" spans="7:18" ht="15.75" x14ac:dyDescent="0.25">
      <c r="G47" s="77"/>
      <c r="H47" s="47"/>
      <c r="I47" s="47"/>
      <c r="J47" s="78" t="s">
        <v>107</v>
      </c>
      <c r="K47" s="35"/>
      <c r="L47" s="47"/>
      <c r="M47" s="47"/>
      <c r="N47" s="35"/>
      <c r="O47" s="35"/>
      <c r="P47" s="35"/>
      <c r="Q47" s="35"/>
      <c r="R47" s="44"/>
    </row>
    <row r="48" spans="7:18" ht="15.75" x14ac:dyDescent="0.25">
      <c r="G48" s="77"/>
      <c r="H48" s="47"/>
      <c r="I48" s="47"/>
      <c r="J48" s="47"/>
      <c r="K48" s="78"/>
      <c r="L48" s="47"/>
      <c r="M48" s="47"/>
      <c r="N48" s="35"/>
      <c r="O48" s="35"/>
      <c r="P48" s="35"/>
      <c r="Q48" s="35"/>
      <c r="R48" s="44"/>
    </row>
    <row r="49" spans="7:18" ht="15.75" x14ac:dyDescent="0.25">
      <c r="G49" s="71" t="s">
        <v>65</v>
      </c>
      <c r="H49" s="55"/>
      <c r="I49" s="55"/>
      <c r="J49" s="55"/>
      <c r="K49" s="55"/>
      <c r="L49" s="79">
        <f>COUNTIF(AE15:AE100,"N")</f>
        <v>0</v>
      </c>
      <c r="M49" s="73"/>
      <c r="N49" s="35"/>
      <c r="O49" s="35"/>
      <c r="P49" s="35"/>
      <c r="Q49" s="35"/>
      <c r="R49" s="44"/>
    </row>
    <row r="50" spans="7:18" ht="15.75" x14ac:dyDescent="0.25">
      <c r="G50" s="74" t="s">
        <v>108</v>
      </c>
      <c r="H50" s="60"/>
      <c r="I50" s="60"/>
      <c r="J50" s="60"/>
      <c r="K50" s="60"/>
      <c r="L50" s="75" t="str">
        <f>IF((L43+L49)&lt;=K41,"LOT ACCEPTAT","LOT RESPINS")</f>
        <v>LOT ACCEPTAT</v>
      </c>
      <c r="M50" s="76"/>
      <c r="N50" s="35"/>
      <c r="O50" s="35"/>
      <c r="P50" s="35"/>
      <c r="Q50" s="35"/>
      <c r="R50" s="44"/>
    </row>
    <row r="51" spans="7:18" ht="15.75" x14ac:dyDescent="0.25">
      <c r="G51" s="35"/>
      <c r="H51" s="35"/>
      <c r="I51" s="35"/>
      <c r="J51" s="78" t="s">
        <v>109</v>
      </c>
      <c r="K51" s="35"/>
      <c r="L51" s="35"/>
      <c r="M51" s="35"/>
      <c r="N51" s="35"/>
      <c r="O51" s="35"/>
      <c r="P51" s="35"/>
      <c r="Q51" s="35"/>
      <c r="R51" s="44"/>
    </row>
    <row r="52" spans="7:18" ht="15.75" x14ac:dyDescent="0.25">
      <c r="G52" s="35"/>
      <c r="H52" s="35"/>
      <c r="I52" s="35"/>
      <c r="J52" s="78" t="s">
        <v>110</v>
      </c>
      <c r="K52" s="35"/>
      <c r="L52" s="35"/>
      <c r="M52" s="35"/>
      <c r="N52" s="35"/>
      <c r="O52" s="35"/>
      <c r="P52" s="35"/>
      <c r="Q52" s="35"/>
      <c r="R52" s="44"/>
    </row>
    <row r="53" spans="7:18" ht="15.75" x14ac:dyDescent="0.25">
      <c r="G53" s="35"/>
      <c r="H53" s="35"/>
      <c r="I53" s="35"/>
      <c r="J53" s="78"/>
      <c r="K53" s="35"/>
      <c r="L53" s="35"/>
      <c r="M53" s="35"/>
      <c r="N53" s="35"/>
      <c r="O53" s="35"/>
      <c r="P53" s="35"/>
      <c r="Q53" s="35"/>
      <c r="R53" s="44"/>
    </row>
    <row r="54" spans="7:18" ht="15.75" x14ac:dyDescent="0.25"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44"/>
    </row>
    <row r="55" spans="7:18" ht="18" x14ac:dyDescent="0.25">
      <c r="G55" s="80" t="s">
        <v>111</v>
      </c>
      <c r="H55" s="80"/>
      <c r="I55" s="80"/>
      <c r="J55" s="80"/>
      <c r="K55" s="80"/>
      <c r="L55" s="80"/>
      <c r="M55" s="80"/>
      <c r="N55" s="80"/>
      <c r="O55" s="80"/>
      <c r="P55" s="35"/>
      <c r="Q55" s="35"/>
      <c r="R55" s="44"/>
    </row>
    <row r="56" spans="7:18" ht="15.75" x14ac:dyDescent="0.25">
      <c r="G56" s="43" t="s">
        <v>112</v>
      </c>
      <c r="H56" s="49"/>
      <c r="I56" s="49"/>
      <c r="J56" s="49"/>
      <c r="K56" s="49"/>
      <c r="L56" s="49"/>
      <c r="M56" s="49"/>
      <c r="N56" s="49"/>
      <c r="O56" s="49"/>
      <c r="P56" s="35"/>
      <c r="Q56" s="35"/>
      <c r="R56" s="44"/>
    </row>
    <row r="57" spans="7:18" ht="15.75" x14ac:dyDescent="0.25">
      <c r="G57" s="69" t="s">
        <v>67</v>
      </c>
      <c r="J57" s="81" t="e">
        <f>AVERAGE(AG15:AG44)</f>
        <v>#DIV/0!</v>
      </c>
      <c r="K57" s="82" t="e">
        <f>J57-J58</f>
        <v>#DIV/0!</v>
      </c>
      <c r="L57" s="83" t="str">
        <f>IF($E$53&gt;$E$54,"LOT ACCEPTAT","LOT RESPINS")</f>
        <v>LOT RESPINS</v>
      </c>
      <c r="N57" s="84"/>
      <c r="P57" s="35"/>
      <c r="Q57" s="35"/>
      <c r="R57" s="44"/>
    </row>
    <row r="58" spans="7:18" ht="15.75" x14ac:dyDescent="0.25">
      <c r="G58" s="69" t="s">
        <v>113</v>
      </c>
      <c r="J58" s="85" t="e">
        <f>H9-($E$55/SQRT($AB$41)*0.995)</f>
        <v>#DIV/0!</v>
      </c>
      <c r="P58" s="35"/>
      <c r="Q58" s="35"/>
      <c r="R58" s="44"/>
    </row>
    <row r="59" spans="7:18" ht="15.75" x14ac:dyDescent="0.25">
      <c r="G59" s="69" t="s">
        <v>72</v>
      </c>
      <c r="J59">
        <f>SQRT(AI45/(AG45-1))</f>
        <v>0</v>
      </c>
      <c r="K59" t="e">
        <f>STDEV(AG15:AG44)</f>
        <v>#DIV/0!</v>
      </c>
      <c r="P59" s="35"/>
      <c r="Q59" s="35"/>
      <c r="R59" s="44"/>
    </row>
    <row r="60" spans="7:18" ht="15.75" x14ac:dyDescent="0.25">
      <c r="G60" s="69"/>
      <c r="P60" s="35"/>
      <c r="Q60" s="35"/>
      <c r="R60" s="44"/>
    </row>
    <row r="61" spans="7:18" ht="15.75" x14ac:dyDescent="0.25">
      <c r="G61" s="43" t="s">
        <v>114</v>
      </c>
      <c r="H61" s="49"/>
      <c r="I61" s="49"/>
      <c r="J61" s="49"/>
      <c r="K61" s="49"/>
      <c r="L61" s="49"/>
      <c r="M61" s="49"/>
      <c r="N61" s="49"/>
      <c r="O61" s="49"/>
      <c r="P61" s="35"/>
      <c r="Q61" s="35"/>
      <c r="R61" s="44"/>
    </row>
    <row r="62" spans="7:18" ht="51" x14ac:dyDescent="0.25">
      <c r="G62" s="49"/>
      <c r="H62" s="49"/>
      <c r="I62" s="49"/>
      <c r="J62" s="49"/>
      <c r="K62" s="93" t="s">
        <v>91</v>
      </c>
      <c r="L62" s="93"/>
      <c r="M62" s="93"/>
      <c r="N62" s="52" t="s">
        <v>93</v>
      </c>
      <c r="O62" s="52" t="s">
        <v>115</v>
      </c>
      <c r="P62" s="53" t="s">
        <v>116</v>
      </c>
      <c r="Q62" s="35"/>
      <c r="R62" s="44"/>
    </row>
    <row r="63" spans="7:18" ht="15.75" x14ac:dyDescent="0.25">
      <c r="G63" s="49"/>
      <c r="H63" s="49"/>
      <c r="I63" s="49"/>
      <c r="J63" s="49"/>
      <c r="K63" s="39">
        <v>100</v>
      </c>
      <c r="L63" s="39" t="s">
        <v>97</v>
      </c>
      <c r="M63" s="22">
        <v>500</v>
      </c>
      <c r="N63" s="86">
        <v>30</v>
      </c>
      <c r="O63" s="87" t="s">
        <v>117</v>
      </c>
      <c r="P63" s="87" t="s">
        <v>118</v>
      </c>
      <c r="Q63" s="35"/>
      <c r="R63" s="44"/>
    </row>
    <row r="64" spans="7:18" ht="15.75" x14ac:dyDescent="0.25">
      <c r="G64" s="49"/>
      <c r="H64" s="49"/>
      <c r="I64" s="49"/>
      <c r="J64" s="49"/>
      <c r="K64" s="39"/>
      <c r="L64" s="39"/>
      <c r="M64" s="22" t="s">
        <v>119</v>
      </c>
      <c r="N64" s="86">
        <v>50</v>
      </c>
      <c r="O64" s="87" t="s">
        <v>120</v>
      </c>
      <c r="P64" s="87" t="s">
        <v>121</v>
      </c>
      <c r="Q64" s="35"/>
      <c r="R64" s="44"/>
    </row>
    <row r="65" spans="7:18" ht="15.75" x14ac:dyDescent="0.25">
      <c r="G65" s="49"/>
      <c r="H65" s="49"/>
      <c r="I65" s="49"/>
      <c r="J65" s="49"/>
      <c r="K65" s="35"/>
      <c r="L65" s="47"/>
      <c r="M65" s="35"/>
      <c r="N65" s="49"/>
      <c r="O65" s="49"/>
      <c r="P65" s="35"/>
      <c r="Q65" s="35"/>
      <c r="R65" s="44"/>
    </row>
    <row r="66" spans="7:18" ht="15.75" x14ac:dyDescent="0.25">
      <c r="G66" s="49"/>
      <c r="H66" s="49"/>
      <c r="I66" s="49"/>
      <c r="J66" s="49"/>
      <c r="K66" s="49"/>
      <c r="L66" s="49"/>
      <c r="M66" s="49"/>
      <c r="N66" s="49"/>
      <c r="O66" s="49"/>
      <c r="P66" s="35"/>
      <c r="Q66" s="35"/>
      <c r="R66" s="44"/>
    </row>
    <row r="67" spans="7:18" ht="15.75" x14ac:dyDescent="0.25">
      <c r="G67" s="69" t="s">
        <v>67</v>
      </c>
      <c r="J67" s="81" t="e">
        <f>AVERAGE(AG15:AG44)</f>
        <v>#DIV/0!</v>
      </c>
      <c r="K67" s="82" t="e">
        <f>J67-J68</f>
        <v>#DIV/0!</v>
      </c>
      <c r="L67" s="83" t="e">
        <f>IF(J57&gt;=J68,"LOT ACCEPTAT","LOT RESPINS")</f>
        <v>#DIV/0!</v>
      </c>
      <c r="P67" s="35"/>
      <c r="Q67" s="35"/>
      <c r="R67" s="44"/>
    </row>
    <row r="68" spans="7:18" ht="15.75" x14ac:dyDescent="0.25">
      <c r="G68" t="s">
        <v>122</v>
      </c>
      <c r="J68" s="88">
        <f>H9-0.503*$E$55</f>
        <v>500</v>
      </c>
      <c r="P68" s="35"/>
      <c r="Q68" s="35"/>
      <c r="R68" s="44"/>
    </row>
  </sheetData>
  <mergeCells count="3">
    <mergeCell ref="K62:M62"/>
    <mergeCell ref="H2:J3"/>
    <mergeCell ref="K32:M3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23</vt:i4>
      </vt:variant>
    </vt:vector>
  </HeadingPairs>
  <TitlesOfParts>
    <vt:vector size="26" baseType="lpstr">
      <vt:lpstr>Metrologie</vt:lpstr>
      <vt:lpstr>RawData</vt:lpstr>
      <vt:lpstr>Explicatii</vt:lpstr>
      <vt:lpstr>CA_1</vt:lpstr>
      <vt:lpstr>CA_2</vt:lpstr>
      <vt:lpstr>CMA</vt:lpstr>
      <vt:lpstr>CR_1</vt:lpstr>
      <vt:lpstr>CR_2</vt:lpstr>
      <vt:lpstr>ENT</vt:lpstr>
      <vt:lpstr>ES_1</vt:lpstr>
      <vt:lpstr>ES_2</vt:lpstr>
      <vt:lpstr>ES_3</vt:lpstr>
      <vt:lpstr>ES1_Status</vt:lpstr>
      <vt:lpstr>ES3_OK</vt:lpstr>
      <vt:lpstr>LotStatus</vt:lpstr>
      <vt:lpstr>ML</vt:lpstr>
      <vt:lpstr>Qn</vt:lpstr>
      <vt:lpstr>QnES3</vt:lpstr>
      <vt:lpstr>RN</vt:lpstr>
      <vt:lpstr>RN_1</vt:lpstr>
      <vt:lpstr>RN_2</vt:lpstr>
      <vt:lpstr>s</vt:lpstr>
      <vt:lpstr>SumOfSquares</vt:lpstr>
      <vt:lpstr>Ta</vt:lpstr>
      <vt:lpstr>RawData!test_6</vt:lpstr>
      <vt:lpstr>Xi</vt:lpstr>
    </vt:vector>
  </TitlesOfParts>
  <Company>Continental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uid94668</dc:creator>
  <cp:lastModifiedBy>krs</cp:lastModifiedBy>
  <dcterms:created xsi:type="dcterms:W3CDTF">2018-01-03T09:07:19Z</dcterms:created>
  <dcterms:modified xsi:type="dcterms:W3CDTF">2018-03-11T17:22:52Z</dcterms:modified>
</cp:coreProperties>
</file>