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RawData!$A$1:$I$273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7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P42" i="2" l="1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H183" i="2"/>
  <c r="H181" i="2"/>
  <c r="H179" i="2"/>
  <c r="H177" i="2"/>
  <c r="H175" i="2"/>
  <c r="H173" i="2"/>
  <c r="H171" i="2"/>
  <c r="H169" i="2"/>
  <c r="H167" i="2"/>
  <c r="H165" i="2"/>
  <c r="H163" i="2"/>
  <c r="H161" i="2"/>
  <c r="H159" i="2"/>
  <c r="H157" i="2"/>
  <c r="H155" i="2"/>
  <c r="H153" i="2"/>
  <c r="H151" i="2"/>
  <c r="H149" i="2"/>
  <c r="H147" i="2"/>
  <c r="H145" i="2"/>
  <c r="H143" i="2"/>
  <c r="H141" i="2"/>
  <c r="H139" i="2"/>
  <c r="H137" i="2"/>
  <c r="H135" i="2"/>
  <c r="H133" i="2"/>
  <c r="H131" i="2"/>
  <c r="H129" i="2"/>
  <c r="H127" i="2"/>
  <c r="H125" i="2"/>
  <c r="H123" i="2"/>
  <c r="H121" i="2"/>
  <c r="H119" i="2"/>
  <c r="H117" i="2"/>
  <c r="H115" i="2"/>
  <c r="H113" i="2"/>
  <c r="H111" i="2"/>
  <c r="H109" i="2"/>
  <c r="H107" i="2"/>
  <c r="H105" i="2"/>
  <c r="H103" i="2"/>
  <c r="H101" i="2"/>
  <c r="H99" i="2"/>
  <c r="H97" i="2"/>
  <c r="H95" i="2"/>
  <c r="H93" i="2"/>
  <c r="H91" i="2"/>
  <c r="H89" i="2"/>
  <c r="H87" i="2"/>
  <c r="H85" i="2"/>
  <c r="H83" i="2"/>
  <c r="H81" i="2"/>
  <c r="H79" i="2"/>
  <c r="H77" i="2"/>
  <c r="H75" i="2"/>
  <c r="H73" i="2"/>
  <c r="H71" i="2"/>
  <c r="H69" i="2"/>
  <c r="H67" i="2"/>
  <c r="H65" i="2"/>
  <c r="H63" i="2"/>
  <c r="H61" i="2"/>
  <c r="H59" i="2"/>
  <c r="J18" i="2"/>
  <c r="J17" i="2"/>
  <c r="J16" i="2"/>
  <c r="J15" i="2"/>
  <c r="J14" i="2"/>
  <c r="J13" i="2"/>
  <c r="H184" i="2"/>
  <c r="H182" i="2"/>
  <c r="H180" i="2"/>
  <c r="H178" i="2"/>
  <c r="H176" i="2"/>
  <c r="H174" i="2"/>
  <c r="H172" i="2"/>
  <c r="H170" i="2"/>
  <c r="H168" i="2"/>
  <c r="H166" i="2"/>
  <c r="H164" i="2"/>
  <c r="H162" i="2"/>
  <c r="H160" i="2"/>
  <c r="H158" i="2"/>
  <c r="H156" i="2"/>
  <c r="H154" i="2"/>
  <c r="H152" i="2"/>
  <c r="H150" i="2"/>
  <c r="H148" i="2"/>
  <c r="H146" i="2"/>
  <c r="H144" i="2"/>
  <c r="H142" i="2"/>
  <c r="H140" i="2"/>
  <c r="H138" i="2"/>
  <c r="H136" i="2"/>
  <c r="H134" i="2"/>
  <c r="H132" i="2"/>
  <c r="H130" i="2"/>
  <c r="H128" i="2"/>
  <c r="H126" i="2"/>
  <c r="H124" i="2"/>
  <c r="H122" i="2"/>
  <c r="H120" i="2"/>
  <c r="H118" i="2"/>
  <c r="H116" i="2"/>
  <c r="H114" i="2"/>
  <c r="H112" i="2"/>
  <c r="H110" i="2"/>
  <c r="H108" i="2"/>
  <c r="H106" i="2"/>
  <c r="H104" i="2"/>
  <c r="H102" i="2"/>
  <c r="H100" i="2"/>
  <c r="H98" i="2"/>
  <c r="H96" i="2"/>
  <c r="H94" i="2"/>
  <c r="H92" i="2"/>
  <c r="H90" i="2"/>
  <c r="H88" i="2"/>
  <c r="H86" i="2"/>
  <c r="H84" i="2"/>
  <c r="H82" i="2"/>
  <c r="H80" i="2"/>
  <c r="H78" i="2"/>
  <c r="H76" i="2"/>
  <c r="H74" i="2"/>
  <c r="H72" i="2"/>
  <c r="H70" i="2"/>
  <c r="H68" i="2"/>
  <c r="H66" i="2"/>
  <c r="H64" i="2"/>
  <c r="H62" i="2"/>
  <c r="H60" i="2"/>
  <c r="H57" i="2"/>
  <c r="H55" i="2"/>
  <c r="H53" i="2"/>
  <c r="H51" i="2"/>
  <c r="H49" i="2"/>
  <c r="H47" i="2"/>
  <c r="H45" i="2"/>
  <c r="H43" i="2"/>
  <c r="H41" i="2"/>
  <c r="H39" i="2"/>
  <c r="H37" i="2"/>
  <c r="H35" i="2"/>
  <c r="H33" i="2"/>
  <c r="H31" i="2"/>
  <c r="H29" i="2"/>
  <c r="H27" i="2"/>
  <c r="H25" i="2"/>
  <c r="H23" i="2"/>
  <c r="H21" i="2"/>
  <c r="H19" i="2"/>
  <c r="H17" i="2"/>
  <c r="H15" i="2"/>
  <c r="H13" i="2"/>
  <c r="H58" i="2"/>
  <c r="H56" i="2"/>
  <c r="H54" i="2"/>
  <c r="H52" i="2"/>
  <c r="H50" i="2"/>
  <c r="H48" i="2"/>
  <c r="H46" i="2"/>
  <c r="H44" i="2"/>
  <c r="H42" i="2"/>
  <c r="H40" i="2"/>
  <c r="H38" i="2"/>
  <c r="H36" i="2"/>
  <c r="H34" i="2"/>
  <c r="H32" i="2"/>
  <c r="H30" i="2"/>
  <c r="H28" i="2"/>
  <c r="H26" i="2"/>
  <c r="H24" i="2"/>
  <c r="H22" i="2"/>
  <c r="H20" i="2"/>
  <c r="H18" i="2"/>
  <c r="H16" i="2"/>
  <c r="H14" i="2"/>
  <c r="F3" i="2"/>
  <c r="I3" i="2"/>
  <c r="G3" i="2"/>
  <c r="B19" i="2" l="1"/>
  <c r="Q17" i="2" s="1"/>
  <c r="R17" i="2" s="1"/>
  <c r="B5" i="2"/>
  <c r="Q42" i="2" l="1"/>
  <c r="R42" i="2" s="1"/>
  <c r="Q30" i="2"/>
  <c r="R30" i="2" s="1"/>
  <c r="Q38" i="2"/>
  <c r="R38" i="2" s="1"/>
  <c r="Q16" i="2"/>
  <c r="R16" i="2" s="1"/>
  <c r="Q34" i="2"/>
  <c r="R34" i="2" s="1"/>
  <c r="Q24" i="2"/>
  <c r="R24" i="2" s="1"/>
  <c r="Q29" i="2"/>
  <c r="R29" i="2" s="1"/>
  <c r="Q37" i="2"/>
  <c r="R37" i="2" s="1"/>
  <c r="Q21" i="2"/>
  <c r="R21" i="2" s="1"/>
  <c r="Q40" i="2"/>
  <c r="R40" i="2" s="1"/>
  <c r="Q36" i="2"/>
  <c r="R36" i="2" s="1"/>
  <c r="Q32" i="2"/>
  <c r="R32" i="2" s="1"/>
  <c r="Q28" i="2"/>
  <c r="R28" i="2" s="1"/>
  <c r="Q20" i="2"/>
  <c r="R20" i="2" s="1"/>
  <c r="Q41" i="2"/>
  <c r="R41" i="2" s="1"/>
  <c r="Q33" i="2"/>
  <c r="R33" i="2" s="1"/>
  <c r="Q25" i="2"/>
  <c r="R25" i="2" s="1"/>
  <c r="Q26" i="2"/>
  <c r="R26" i="2" s="1"/>
  <c r="Q22" i="2"/>
  <c r="R22" i="2" s="1"/>
  <c r="Q18" i="2"/>
  <c r="R18" i="2" s="1"/>
  <c r="Q14" i="2"/>
  <c r="R14" i="2" s="1"/>
  <c r="Q39" i="2"/>
  <c r="R39" i="2" s="1"/>
  <c r="Q35" i="2"/>
  <c r="R35" i="2" s="1"/>
  <c r="Q31" i="2"/>
  <c r="R31" i="2" s="1"/>
  <c r="Q27" i="2"/>
  <c r="R27" i="2" s="1"/>
  <c r="Q23" i="2"/>
  <c r="R23" i="2" s="1"/>
  <c r="Q19" i="2"/>
  <c r="R19" i="2" s="1"/>
  <c r="Q15" i="2"/>
  <c r="R15" i="2" s="1"/>
  <c r="Q13" i="2"/>
  <c r="R13" i="2" s="1"/>
  <c r="B20" i="2" s="1"/>
  <c r="B8" i="2"/>
  <c r="B4" i="2"/>
  <c r="B3" i="2"/>
  <c r="B11" i="2" l="1"/>
  <c r="B21" i="2"/>
  <c r="B22" i="2" s="1"/>
  <c r="J5" i="2" s="1"/>
  <c r="K42" i="2" l="1"/>
  <c r="K40" i="2"/>
  <c r="K38" i="2"/>
  <c r="K36" i="2"/>
  <c r="K34" i="2"/>
  <c r="K32" i="2"/>
  <c r="K30" i="2"/>
  <c r="K28" i="2"/>
  <c r="K26" i="2"/>
  <c r="K24" i="2"/>
  <c r="K22" i="2"/>
  <c r="K20" i="2"/>
  <c r="K18" i="2"/>
  <c r="K16" i="2"/>
  <c r="K14" i="2"/>
  <c r="K41" i="2"/>
  <c r="K39" i="2"/>
  <c r="K37" i="2"/>
  <c r="K35" i="2"/>
  <c r="K33" i="2"/>
  <c r="K31" i="2"/>
  <c r="K29" i="2"/>
  <c r="K27" i="2"/>
  <c r="K25" i="2"/>
  <c r="K23" i="2"/>
  <c r="K21" i="2"/>
  <c r="K19" i="2"/>
  <c r="K17" i="2"/>
  <c r="K15" i="2"/>
  <c r="K13" i="2"/>
  <c r="B15" i="2"/>
  <c r="H3" i="2" l="1"/>
  <c r="J3" i="2" s="1"/>
  <c r="G4" i="2" s="1"/>
  <c r="I4" i="2" l="1"/>
  <c r="H4" i="2"/>
  <c r="J4" i="2" s="1"/>
  <c r="B14" i="2" s="1"/>
  <c r="B13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9-03-04-08-08-15_300064_Margarita soft - Uleiuri in amestesc de palmier si floarea soarelui_Galeata - 10 Kg" type="6" refreshedVersion="4" background="1" refreshOnLoad="1" saveData="1">
    <textPr prompt="0" codePage="437" sourceFile="C:\Home\Krs\Work\Cantar\ScalesAutomation\Distribution\CSVOutput\2019-03-04-08-08-15_300064_Margarita soft - Uleiuri in amestesc de palmier si floarea soarelui_Galeata - 10 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<sst xmlns="http://schemas.openxmlformats.org/spreadsheetml/2006/main" count="543" uniqueCount="516">
  <si>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</si>
  <si>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</si>
  <si>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</si>
  <si>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</si>
  <si>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</si>
  <si>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</si>
  <si>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</si>
  <si>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</si>
  <si>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</si>
  <si>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</si>
  <si>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</si>
  <si>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</si>
  <si>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</si>
  <si>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</si>
  <si>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</si>
  <si>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</si>
  <si>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</si>
  <si>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</si>
  <si>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</si>
  <si>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</si>
  <si>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</si>
  <si>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</si>
  <si>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</si>
  <si>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</si>
  <si>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</si>
  <si>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</si>
  <si>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</si>
  <si>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</si>
  <si>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</si>
  <si>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</si>
  <si>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</si>
  <si>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</si>
  <si>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</si>
  <si>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</si>
  <si>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</si>
  <si>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</si>
  <si>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</si>
  <si>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</si>
  <si>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</si>
  <si>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</si>
  <si>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</si>
  <si>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</si>
  <si>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</si>
  <si>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</si>
  <si>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</si>
  <si>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</si>
  <si>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</si>
  <si>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</si>
  <si>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</si>
  <si>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</si>
  <si>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</si>
  <si>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</si>
  <si>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</si>
  <si>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</si>
  <si>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</si>
  <si>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</si>
  <si>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</si>
  <si>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</si>
  <si>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</si>
  <si>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</si>
  <si>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</si>
  <si>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</si>
  <si>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</si>
  <si>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</si>
  <si>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</si>
  <si>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</si>
  <si>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</si>
  <si>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</si>
  <si>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</si>
  <si>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</si>
  <si>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</si>
  <si>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</si>
  <si>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</si>
  <si>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</si>
  <si>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</si>
  <si>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</si>
  <si>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</si>
  <si>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</si>
  <si>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</si>
  <si>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</si>
  <si>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</si>
  <si>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</si>
  <si>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</si>
  <si>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</si>
  <si>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</si>
  <si>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</si>
  <si>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</si>
  <si>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</si>
  <si>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</si>
  <si>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Margarita soft - Uleiuri in amestesc de palmier si floarea soarelui</t>
  </si>
  <si>
    <t>Galeata - 10 Kg</t>
  </si>
  <si>
    <t>17:37:10,911</t>
  </si>
  <si>
    <t>17:38:22,785</t>
  </si>
  <si>
    <t>17:39:43,266</t>
  </si>
  <si>
    <t>17:40:56,749</t>
  </si>
  <si>
    <t>17:42:04,327</t>
  </si>
  <si>
    <t>17:43:18,012</t>
  </si>
  <si>
    <t>17:44:34,869</t>
  </si>
  <si>
    <t>17:45:49,570</t>
  </si>
  <si>
    <t>17:47:01,146</t>
  </si>
  <si>
    <t>17:48:14,410</t>
  </si>
  <si>
    <t>17:49:29,299</t>
  </si>
  <si>
    <t>17:50:42,781</t>
  </si>
  <si>
    <t>17:51:57,264</t>
  </si>
  <si>
    <t>17:53:13,746</t>
  </si>
  <si>
    <t>17:54:27,728</t>
  </si>
  <si>
    <t>17:55:39,398</t>
  </si>
  <si>
    <t>17:56:52,084</t>
  </si>
  <si>
    <t>17:58:07,129</t>
  </si>
  <si>
    <t>17:59:23,048</t>
  </si>
  <si>
    <t>18:00:36,422</t>
  </si>
  <si>
    <t>18:01:49,092</t>
  </si>
  <si>
    <t>18:03:03,370</t>
  </si>
  <si>
    <t>18:04:19,056</t>
  </si>
  <si>
    <t>18:05:32,538</t>
  </si>
  <si>
    <t>18:06:44,912</t>
  </si>
  <si>
    <t>18:08:01,394</t>
  </si>
  <si>
    <t>18:09:16,470</t>
  </si>
  <si>
    <t>18:10:28,953</t>
  </si>
  <si>
    <t>18:11:42,826</t>
  </si>
  <si>
    <t>18:12:56,622</t>
  </si>
  <si>
    <t>18:14:13,697</t>
  </si>
  <si>
    <t>18:15:29,570</t>
  </si>
  <si>
    <t>18:16:41,850</t>
  </si>
  <si>
    <t>18:17:53,724</t>
  </si>
  <si>
    <t>18:19:07,314</t>
  </si>
  <si>
    <t>18:20:21,594</t>
  </si>
  <si>
    <t>18:21:35,061</t>
  </si>
  <si>
    <t>18:22:49,246</t>
  </si>
  <si>
    <t>18:24:05,525</t>
  </si>
  <si>
    <t>18:25:19,992</t>
  </si>
  <si>
    <t>18:27:44,349</t>
  </si>
  <si>
    <t>18:28:59,940</t>
  </si>
  <si>
    <t>18:30:13,611</t>
  </si>
  <si>
    <t>18:32:41,779</t>
  </si>
  <si>
    <t>18:33:56,652</t>
  </si>
  <si>
    <t>18:36:26,709</t>
  </si>
  <si>
    <t>18:37:42,394</t>
  </si>
  <si>
    <t>18:38:53,658</t>
  </si>
  <si>
    <t>18:40:07,563</t>
  </si>
  <si>
    <t>18:41:23,139</t>
  </si>
  <si>
    <t>18:43:49,292</t>
  </si>
  <si>
    <t>18:45:03,368</t>
  </si>
  <si>
    <t>18:48:46,910</t>
  </si>
  <si>
    <t>18:50:03,392</t>
  </si>
  <si>
    <t>18:53:43,026</t>
  </si>
  <si>
    <t>18:54:58,008</t>
  </si>
  <si>
    <t>18:57:25,754</t>
  </si>
  <si>
    <t>18:58:39,627</t>
  </si>
  <si>
    <t>18:59:57,218</t>
  </si>
  <si>
    <t>19:01:11,091</t>
  </si>
  <si>
    <t>19:02:22,184</t>
  </si>
  <si>
    <t>19:03:37,260</t>
  </si>
  <si>
    <t>19:04:51,336</t>
  </si>
  <si>
    <t>19:06:04,819</t>
  </si>
  <si>
    <t>19:07:19,003</t>
  </si>
  <si>
    <t>19:08:33,064</t>
  </si>
  <si>
    <t>19:09:48,952</t>
  </si>
  <si>
    <t>19:12:15,511</t>
  </si>
  <si>
    <t>19:13:30,884</t>
  </si>
  <si>
    <t>19:14:45,179</t>
  </si>
  <si>
    <t>19:15:59,568</t>
  </si>
  <si>
    <t>19:18:25,518</t>
  </si>
  <si>
    <t>19:19:42,203</t>
  </si>
  <si>
    <t>19:20:55,467</t>
  </si>
  <si>
    <t>19:22:08,356</t>
  </si>
  <si>
    <t>19:23:24,821</t>
  </si>
  <si>
    <t>19:24:36,601</t>
  </si>
  <si>
    <t>19:25:51,302</t>
  </si>
  <si>
    <t>19:27:05,550</t>
  </si>
  <si>
    <t>19:28:21,642</t>
  </si>
  <si>
    <t>19:29:37,936</t>
  </si>
  <si>
    <t>19:30:49,919</t>
  </si>
  <si>
    <t>19:32:02,387</t>
  </si>
  <si>
    <t>19:33:16,276</t>
  </si>
  <si>
    <t>19:34:32,539</t>
  </si>
  <si>
    <t>19:35:46,725</t>
  </si>
  <si>
    <t>19:37:00,801</t>
  </si>
  <si>
    <t>19:38:14,502</t>
  </si>
  <si>
    <t>19:39:29,156</t>
  </si>
  <si>
    <t>19:40:43,825</t>
  </si>
  <si>
    <t>19:41:58,214</t>
  </si>
  <si>
    <t>19:43:13,290</t>
  </si>
  <si>
    <t>19:44:27,179</t>
  </si>
  <si>
    <t>19:45:40,646</t>
  </si>
  <si>
    <t>19:46:53,317</t>
  </si>
  <si>
    <t>19:48:07,502</t>
  </si>
  <si>
    <t>19:49:22,188</t>
  </si>
  <si>
    <t>19:50:35,874</t>
  </si>
  <si>
    <t>19:51:49,747</t>
  </si>
  <si>
    <t>19:53:04,042</t>
  </si>
  <si>
    <t>19:54:18,603</t>
  </si>
  <si>
    <t>19:55:34,504</t>
  </si>
  <si>
    <t>19:56:48,564</t>
  </si>
  <si>
    <t>19:58:01,641</t>
  </si>
  <si>
    <t>19:59:16,545</t>
  </si>
  <si>
    <t>20:01:43,792</t>
  </si>
  <si>
    <t>20:02:59,680</t>
  </si>
  <si>
    <t>20:04:13,944</t>
  </si>
  <si>
    <t>20:05:28,833</t>
  </si>
  <si>
    <t>20:06:42,190</t>
  </si>
  <si>
    <t>20:07:55,689</t>
  </si>
  <si>
    <t>20:09:10,577</t>
  </si>
  <si>
    <t>20:10:26,029</t>
  </si>
  <si>
    <t>20:11:42,119</t>
  </si>
  <si>
    <t>20:12:55,398</t>
  </si>
  <si>
    <t>20:14:08,178</t>
  </si>
  <si>
    <t>20:15:22,458</t>
  </si>
  <si>
    <t>20:16:38,536</t>
  </si>
  <si>
    <t>20:17:53,409</t>
  </si>
  <si>
    <t>20:19:07,001</t>
  </si>
  <si>
    <t>20:20:22,968</t>
  </si>
  <si>
    <t>20:21:36,747</t>
  </si>
  <si>
    <t>20:22:49,027</t>
  </si>
  <si>
    <t>20:24:01,916</t>
  </si>
  <si>
    <t>20:25:17,695</t>
  </si>
  <si>
    <t>20:27:46,643</t>
  </si>
  <si>
    <t>20:29:02,751</t>
  </si>
  <si>
    <t>20:30:17,217</t>
  </si>
  <si>
    <t>20:31:30,591</t>
  </si>
  <si>
    <t>20:32:43,870</t>
  </si>
  <si>
    <t>20:33:58,743</t>
  </si>
  <si>
    <t>20:35:12,632</t>
  </si>
  <si>
    <t>20:36:26,099</t>
  </si>
  <si>
    <t>20:37:44,190</t>
  </si>
  <si>
    <t>20:38:59,360</t>
  </si>
  <si>
    <t>20:40:09,453</t>
  </si>
  <si>
    <t>20:41:23,920</t>
  </si>
  <si>
    <t>20:42:38,606</t>
  </si>
  <si>
    <t>20:43:55,680</t>
  </si>
  <si>
    <t>20:45:09,272</t>
  </si>
  <si>
    <t>20:46:24,536</t>
  </si>
  <si>
    <t>20:47:39,409</t>
  </si>
  <si>
    <t>20:48:50,486</t>
  </si>
  <si>
    <t>20:50:03,562</t>
  </si>
  <si>
    <t>20:51:17,154</t>
  </si>
  <si>
    <t>20:52:31,606</t>
  </si>
  <si>
    <t>20:53:45,307</t>
  </si>
  <si>
    <t>20:54:59,586</t>
  </si>
  <si>
    <t>20:57:28,050</t>
  </si>
  <si>
    <t>20:58:42,939</t>
  </si>
  <si>
    <t>20:59:57,406</t>
  </si>
  <si>
    <t>21:01:10,482</t>
  </si>
  <si>
    <t>21:03:38,932</t>
  </si>
  <si>
    <t>21:04:53,024</t>
  </si>
  <si>
    <t>21:06:08,709</t>
  </si>
  <si>
    <t>08:08:30,218</t>
  </si>
  <si>
    <t>08:09:12,302</t>
  </si>
  <si>
    <t>08:09:52,698</t>
  </si>
  <si>
    <t>08:10:32,392</t>
  </si>
  <si>
    <t>08:11:17,568</t>
  </si>
  <si>
    <t>08:11:58,261</t>
  </si>
  <si>
    <t>08:12:50,046</t>
  </si>
  <si>
    <t>08:13:26,444</t>
  </si>
  <si>
    <t>08:14:01,057</t>
  </si>
  <si>
    <t>08:14:36,439</t>
  </si>
  <si>
    <t>08:15:18,742</t>
  </si>
  <si>
    <t>08:16:01,123</t>
  </si>
  <si>
    <t>08:16:44,612</t>
  </si>
  <si>
    <t>08:17:27,602</t>
  </si>
  <si>
    <t>08:18:09,592</t>
  </si>
  <si>
    <t>08:18:51,676</t>
  </si>
  <si>
    <t>08:19:33,666</t>
  </si>
  <si>
    <t>08:20:24,748</t>
  </si>
  <si>
    <t>08:21:05,129</t>
  </si>
  <si>
    <t>08:21:47,307</t>
  </si>
  <si>
    <t>08:22:29,609</t>
  </si>
  <si>
    <t>08:23:09,787</t>
  </si>
  <si>
    <t>08:23:46,091</t>
  </si>
  <si>
    <t>08:24:25,472</t>
  </si>
  <si>
    <t>08:25:07,181</t>
  </si>
  <si>
    <t>08:25:49,953</t>
  </si>
  <si>
    <t>08:26:29,131</t>
  </si>
  <si>
    <t>08:27:10,231</t>
  </si>
  <si>
    <t>08:27:53,812</t>
  </si>
  <si>
    <t>08:28:33,116</t>
  </si>
  <si>
    <t>08:29:17,902</t>
  </si>
  <si>
    <t>08:30:03,688</t>
  </si>
  <si>
    <t>08:30:42,585</t>
  </si>
  <si>
    <t>08:31:20,061</t>
  </si>
  <si>
    <t>08:32:01,254</t>
  </si>
  <si>
    <t>08:32:42,041</t>
  </si>
  <si>
    <t>08:33:23,329</t>
  </si>
  <si>
    <t>08:34:03,538</t>
  </si>
  <si>
    <t>08:34:46,825</t>
  </si>
  <si>
    <t>08:35:29,596</t>
  </si>
  <si>
    <t>08:36:09,087</t>
  </si>
  <si>
    <t>08:36:50,483</t>
  </si>
  <si>
    <t>08:37:31,239</t>
  </si>
  <si>
    <t>08:38:12,136</t>
  </si>
  <si>
    <t>08:38:54,126</t>
  </si>
  <si>
    <t>08:39:39,631</t>
  </si>
  <si>
    <t>08:40:26,760</t>
  </si>
  <si>
    <t>08:41:09,514</t>
  </si>
  <si>
    <t>08:41:49,505</t>
  </si>
  <si>
    <t>08:42:35,088</t>
  </si>
  <si>
    <t>08:43:17,154</t>
  </si>
  <si>
    <t>08:43:47,444</t>
  </si>
  <si>
    <t>08:44:28,044</t>
  </si>
  <si>
    <t>08:45:07,425</t>
  </si>
  <si>
    <t>08:45:50,322</t>
  </si>
  <si>
    <t>08:46:32,499</t>
  </si>
  <si>
    <t>08:47:15,989</t>
  </si>
  <si>
    <t>08:48:00,791</t>
  </si>
  <si>
    <t>08:48:40,688</t>
  </si>
  <si>
    <t>08:49:22,069</t>
  </si>
  <si>
    <t>08:49:58,951</t>
  </si>
  <si>
    <t>08:50:42,347</t>
  </si>
  <si>
    <t>08:51:21,338</t>
  </si>
  <si>
    <t>08:52:04,015</t>
  </si>
  <si>
    <t>08:52:44,412</t>
  </si>
  <si>
    <t>08:53:37,587</t>
  </si>
  <si>
    <t>08:54:17,874</t>
  </si>
  <si>
    <t>08:55:00,270</t>
  </si>
  <si>
    <t>08:55:31,560</t>
  </si>
  <si>
    <t>08:56:18,752</t>
  </si>
  <si>
    <t>08:57:00,430</t>
  </si>
  <si>
    <t>08:57:42,217</t>
  </si>
  <si>
    <t>08:58:17,802</t>
  </si>
  <si>
    <t>08:59:14,897</t>
  </si>
  <si>
    <t>08:59:56,293</t>
  </si>
  <si>
    <t>09:00:38,861</t>
  </si>
  <si>
    <t>09:01:06,167</t>
  </si>
  <si>
    <t>09:01:48,064</t>
  </si>
  <si>
    <t>09:02:32,444</t>
  </si>
  <si>
    <t>09:03:31,430</t>
  </si>
  <si>
    <t>09:04:08,218</t>
  </si>
  <si>
    <t>09:04:46,897</t>
  </si>
  <si>
    <t>09:05:41,868</t>
  </si>
  <si>
    <t>09:06:09,799</t>
  </si>
  <si>
    <t>09:06:43,072</t>
  </si>
  <si>
    <t>09:07:44,058</t>
  </si>
  <si>
    <t>09:08:23,846</t>
  </si>
  <si>
    <t>09:09:03,946</t>
  </si>
  <si>
    <t>09:09:30,533</t>
  </si>
  <si>
    <t>09:10:09,821</t>
  </si>
  <si>
    <t>09:10:49,405</t>
  </si>
  <si>
    <t>09:11:27,896</t>
  </si>
  <si>
    <t>09:12:15,463</t>
  </si>
  <si>
    <t>09:13:00,062</t>
  </si>
  <si>
    <t>09:13:44,755</t>
  </si>
  <si>
    <t>09:14:28,151</t>
  </si>
  <si>
    <t>09:15:06,032</t>
  </si>
  <si>
    <t>09:15:41,616</t>
  </si>
  <si>
    <t>09:16:20,497</t>
  </si>
  <si>
    <t>09:17:05,487</t>
  </si>
  <si>
    <t>09:17:48,180</t>
  </si>
  <si>
    <t>09:18:30,763</t>
  </si>
  <si>
    <t>09:19:09,661</t>
  </si>
  <si>
    <t>09:19:59,055</t>
  </si>
  <si>
    <t>09:20:37,031</t>
  </si>
  <si>
    <t>09:21:21,130</t>
  </si>
  <si>
    <t>09:21:55,918</t>
  </si>
  <si>
    <t>09:22:37,206</t>
  </si>
  <si>
    <t>09:23:19,008</t>
  </si>
  <si>
    <t>09:24:00,983</t>
  </si>
  <si>
    <t>09:24:42,051</t>
  </si>
  <si>
    <t>09:25:21,573</t>
  </si>
  <si>
    <t>09:26:04,751</t>
  </si>
  <si>
    <t>09:26:47,943</t>
  </si>
  <si>
    <t>09:27:31,808</t>
  </si>
  <si>
    <t>09:28:13,798</t>
  </si>
  <si>
    <t>09:28:54,601</t>
  </si>
  <si>
    <t>09:29:34,889</t>
  </si>
  <si>
    <t>09:30:15,473</t>
  </si>
  <si>
    <t>09:30:57,354</t>
  </si>
  <si>
    <t>09:31:37,749</t>
  </si>
  <si>
    <t>09:32:19,443</t>
  </si>
  <si>
    <t>09:33:01,245</t>
  </si>
  <si>
    <t>09:33:43,720</t>
  </si>
  <si>
    <t>09:34:28,303</t>
  </si>
  <si>
    <t>09:35:08,590</t>
  </si>
  <si>
    <t>09:35:50,393</t>
  </si>
  <si>
    <t>09:36:29,962</t>
  </si>
  <si>
    <t>09:37:18,357</t>
  </si>
  <si>
    <t>09:38:02,050</t>
  </si>
  <si>
    <t>09:38:43,633</t>
  </si>
  <si>
    <t>09:39:19,125</t>
  </si>
  <si>
    <t>09:40:00,303</t>
  </si>
  <si>
    <t>09:40:42,199</t>
  </si>
  <si>
    <t>09:41:24,596</t>
  </si>
  <si>
    <t>09:42:07,086</t>
  </si>
  <si>
    <t>09:42:48,670</t>
  </si>
  <si>
    <t>09:43:28,442</t>
  </si>
  <si>
    <t>09:44:11,541</t>
  </si>
  <si>
    <t>09:44:44,033</t>
  </si>
  <si>
    <t>09:46:01,312</t>
  </si>
  <si>
    <t>09:46:46,457</t>
  </si>
  <si>
    <t>09:47:19,995</t>
  </si>
  <si>
    <t>09:47:49,691</t>
  </si>
  <si>
    <t>09:48:25,261</t>
  </si>
  <si>
    <t>09:49:18,858</t>
  </si>
  <si>
    <t>09:50:04,534</t>
  </si>
  <si>
    <t>09:50:45,540</t>
  </si>
  <si>
    <t>09:51:16,221</t>
  </si>
  <si>
    <t>09:51:53,118</t>
  </si>
  <si>
    <t>09:52:36,702</t>
  </si>
  <si>
    <t>09:53:16,083</t>
  </si>
  <si>
    <t>09:53:56,777</t>
  </si>
  <si>
    <t>09:54:37,579</t>
  </si>
  <si>
    <t>09:55:20,069</t>
  </si>
  <si>
    <t>09:56:05,839</t>
  </si>
  <si>
    <t>09:56:53,625</t>
  </si>
  <si>
    <t>09:57:34,318</t>
  </si>
  <si>
    <t>09:58:26,103</t>
  </si>
  <si>
    <t>09:59:01,501</t>
  </si>
  <si>
    <t>09:59:30,994</t>
  </si>
  <si>
    <t>10:00:17,358</t>
  </si>
  <si>
    <t>10:00:57,677</t>
  </si>
  <si>
    <t>10:01:37,652</t>
  </si>
  <si>
    <t>10:02:21,142</t>
  </si>
  <si>
    <t>10:03:01,710</t>
  </si>
  <si>
    <t>10:03:41,419</t>
  </si>
  <si>
    <t>10:04:22,207</t>
  </si>
  <si>
    <t>10:05:02,088</t>
  </si>
  <si>
    <t>10:05:44,297</t>
  </si>
  <si>
    <t>10:06:37,675</t>
  </si>
  <si>
    <t>10:07:19,556</t>
  </si>
  <si>
    <t>10:08:02,171</t>
  </si>
  <si>
    <t>10:08:37,225</t>
  </si>
  <si>
    <t>10:09:26,401</t>
  </si>
  <si>
    <t>10:10:08,813</t>
  </si>
  <si>
    <t>10:10:53,302</t>
  </si>
  <si>
    <t>10:11:32,886</t>
  </si>
  <si>
    <t>10:12:11,970</t>
  </si>
  <si>
    <t>10:12:53,351</t>
  </si>
  <si>
    <t>10:13:35,560</t>
  </si>
  <si>
    <t>10:14:18,253</t>
  </si>
  <si>
    <t>10:14:57,728</t>
  </si>
  <si>
    <t>10:15:36,531</t>
  </si>
  <si>
    <t>10:16:17,303</t>
  </si>
  <si>
    <t>10:17:03,386</t>
  </si>
  <si>
    <t>10:17:47,969</t>
  </si>
  <si>
    <t>10:18:34,755</t>
  </si>
  <si>
    <t>10:19:10,856</t>
  </si>
  <si>
    <t>10:19:47,738</t>
  </si>
  <si>
    <t>10:20:33,540</t>
  </si>
  <si>
    <t>10:21:12,921</t>
  </si>
  <si>
    <t>10:22:05,706</t>
  </si>
  <si>
    <t>10:22:52,007</t>
  </si>
  <si>
    <t>10:23:28,389</t>
  </si>
  <si>
    <t>10:24:03,334</t>
  </si>
  <si>
    <t>10:24:47,261</t>
  </si>
  <si>
    <t>10:25:27,549</t>
  </si>
  <si>
    <t>10:26:02,744</t>
  </si>
  <si>
    <t>10:26:45,031</t>
  </si>
  <si>
    <t>10:27:35,220</t>
  </si>
  <si>
    <t>10:28:21,006</t>
  </si>
  <si>
    <t>10:29:06,574</t>
  </si>
  <si>
    <t>10:29:41,894</t>
  </si>
  <si>
    <t>10:30:17,557</t>
  </si>
  <si>
    <t>10:31:01,719</t>
  </si>
  <si>
    <t>10:31:45,552</t>
  </si>
  <si>
    <t>10:32:31,026</t>
  </si>
  <si>
    <t>10:33:08,017</t>
  </si>
  <si>
    <t>10:33:53,381</t>
  </si>
  <si>
    <t>10:34:45,494</t>
  </si>
  <si>
    <t>10:35:28,484</t>
  </si>
  <si>
    <t>10:35:53,369</t>
  </si>
  <si>
    <t>10:36:36,562</t>
  </si>
  <si>
    <t>10:37:18,661</t>
  </si>
  <si>
    <t>10:38:01,042</t>
  </si>
  <si>
    <t>10:38:43,938</t>
  </si>
  <si>
    <t>10:39:32,520</t>
  </si>
  <si>
    <t>10:40:13,495</t>
  </si>
  <si>
    <t>10:40:53,173</t>
  </si>
  <si>
    <t>10:41:24,963</t>
  </si>
  <si>
    <t>10:42:02,485</t>
  </si>
  <si>
    <t>10:42:50,661</t>
  </si>
  <si>
    <t>10:43:35,743</t>
  </si>
  <si>
    <t>10:44:16,343</t>
  </si>
  <si>
    <t>10:45:08,487</t>
  </si>
  <si>
    <t>10:45:44,603</t>
  </si>
  <si>
    <t>10:46:28,596</t>
  </si>
  <si>
    <t>10:47:06,088</t>
  </si>
  <si>
    <t>10:47:47,078</t>
  </si>
  <si>
    <t>10:48:25,350</t>
  </si>
  <si>
    <t>10:49:06,950</t>
  </si>
  <si>
    <t>10:49:48,237</t>
  </si>
  <si>
    <t>10:50:26,634</t>
  </si>
  <si>
    <t>10:51:08,515</t>
  </si>
  <si>
    <t>10:51:41,117</t>
  </si>
  <si>
    <t>10:52:30,496</t>
  </si>
  <si>
    <t>10:53:08,393</t>
  </si>
  <si>
    <t>10:53:49,165</t>
  </si>
  <si>
    <t>10:54:29,249</t>
  </si>
  <si>
    <t>10:55:11,052</t>
  </si>
  <si>
    <t>10:55:50,542</t>
  </si>
  <si>
    <t>10:56:32,142</t>
  </si>
  <si>
    <t>10:57:14,210</t>
  </si>
  <si>
    <t>10:57:55,997</t>
  </si>
  <si>
    <t>10:58:37,081</t>
  </si>
  <si>
    <t>10:59:17,884</t>
  </si>
  <si>
    <t>10:59:57,765</t>
  </si>
  <si>
    <t>11:00:40,162</t>
  </si>
  <si>
    <t>11:01:18,653</t>
  </si>
  <si>
    <t>11:01:58,643</t>
  </si>
  <si>
    <t>11:02:38,727</t>
  </si>
  <si>
    <t>11:03:20,718</t>
  </si>
  <si>
    <t>11:04:02,911</t>
  </si>
  <si>
    <t>11:04:43,604</t>
  </si>
  <si>
    <t>11:05:22,189</t>
  </si>
  <si>
    <t>11:05:53,057</t>
  </si>
  <si>
    <t>11:06:43,857</t>
  </si>
  <si>
    <t>11:07:42,250</t>
  </si>
  <si>
    <t>11:08:12,540</t>
  </si>
  <si>
    <t>11:09:10,713</t>
  </si>
  <si>
    <t>11:09:58,702</t>
  </si>
  <si>
    <t>11:10:28,195</t>
  </si>
  <si>
    <t>11:11:16,776</t>
  </si>
  <si>
    <t>11:11:51,268</t>
  </si>
  <si>
    <t>11:12:29,853</t>
  </si>
  <si>
    <t>11:13:07,547</t>
  </si>
  <si>
    <t>11:13:51,334</t>
  </si>
  <si>
    <t>11:14:32,418</t>
  </si>
  <si>
    <t>11:17:24,283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</si>
</sst>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4"/>
  <sheetViews>
    <sheetView tabSelected="1" zoomScaleNormal="100" zoomScaleSheetLayoutView="130" workbookViewId="0">
      <selection activeCell="B10" sqref="B10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1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4" customWidth="1"/>
    <col min="16" max="16" width="14.85546875" style="61" bestFit="1" customWidth="1"/>
    <col min="17" max="17" width="16" style="67" bestFit="1" customWidth="1"/>
    <col min="18" max="18" width="12" style="60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3" t="str">
        <f>IF(AND(OR(ES1_Status = "Ok",ES1_Status = "ES2 Necesar"), ES2_Status &lt;&gt; "Not Ok", ES3_Status = "Ok"), "Lot Acceptat","Lot Respins")</f>
        <v>Lot Acceptat</v>
      </c>
      <c r="B2" s="74"/>
      <c r="C2" s="5"/>
      <c r="D2" s="5"/>
      <c r="E2" s="3"/>
      <c r="F2" s="56" t="s">
        <v>62</v>
      </c>
      <c r="G2" s="32" t="s">
        <v>44</v>
      </c>
      <c r="H2" s="32" t="s">
        <v>46</v>
      </c>
      <c r="I2" s="52" t="s">
        <v>45</v>
      </c>
      <c r="J2" s="65" t="s">
        <v>47</v>
      </c>
    </row>
    <row r="3" spans="1:18" x14ac:dyDescent="0.25">
      <c r="A3" s="2" t="s">
        <v>2</v>
      </c>
      <c r="B3" s="7" t="str">
        <f>RawData!E1</f>
        <v>Margarita soft - Uleiuri in amestesc de palmier si floarea soarelui</v>
      </c>
      <c r="C3" s="3"/>
      <c r="D3" s="3"/>
      <c r="E3" s="3" t="s">
        <v>63</v>
      </c>
      <c r="F3" s="54">
        <f>IF(ML&lt;=100,ML,IF(ML&gt;3201,80, IF(ML&gt;=501,50, IF(ML&gt;100,30,ML))))</f>
        <v>30</v>
      </c>
      <c r="G3" s="34">
        <f>IF(ML=30,1, IF(ML=50,2, IF(ML=80,3,1)))</f>
        <v>1</v>
      </c>
      <c r="H3" s="37">
        <f>COUNTIF(K:K, "Not Ok")</f>
        <v>0</v>
      </c>
      <c r="I3" s="54">
        <f>IF(ML=30,3, IF(ML=50,5, IF(ML=80,7,3)))</f>
        <v>3</v>
      </c>
      <c r="J3" s="7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2">
        <f>RawData!D1</f>
        <v>300064</v>
      </c>
      <c r="C4" s="3"/>
      <c r="D4" s="3"/>
      <c r="E4" s="3" t="s">
        <v>64</v>
      </c>
      <c r="F4" s="54">
        <v>0</v>
      </c>
      <c r="G4" s="35" t="str">
        <f>IF(ES1_Status="ES2 Necesar",IF(ML=30,4, IF(ML=50,6, IF(ML=80,8,4))),"")</f>
        <v/>
      </c>
      <c r="H4" s="38" t="str">
        <f>IF(ES1_Status="ES2 Necesar",COUNTIF(N:N, "Not Ok"),"")</f>
        <v/>
      </c>
      <c r="I4" s="55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43528</v>
      </c>
      <c r="E5" s="3" t="s">
        <v>65</v>
      </c>
      <c r="F5" s="54">
        <v>30</v>
      </c>
      <c r="G5" s="72"/>
      <c r="H5" s="72"/>
      <c r="I5" s="72"/>
      <c r="J5" s="7" t="str">
        <f>IF(Xi&gt;=QnES3 - 0.503 * s,"Ok","Not Ok")</f>
        <v>Ok</v>
      </c>
    </row>
    <row r="6" spans="1:18" x14ac:dyDescent="0.25">
      <c r="A6" s="2" t="s">
        <v>7</v>
      </c>
      <c r="B6" s="22">
        <v>172</v>
      </c>
      <c r="C6" s="3"/>
      <c r="D6" s="3"/>
      <c r="E6"/>
      <c r="F6" s="57"/>
      <c r="K6" s="39"/>
    </row>
    <row r="7" spans="1:18" x14ac:dyDescent="0.25">
      <c r="A7" s="2" t="s">
        <v>4</v>
      </c>
      <c r="B7" s="7">
        <f>IF(ISERROR(VALUE(RawData!G1)), LEFT(RawData!G1, FIND("Kg",RawData!G1)-1), RawData!G1/1000)</f>
        <v>10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Galeata - 10 Kg</v>
      </c>
      <c r="C8" s="3"/>
      <c r="D8" s="3"/>
      <c r="E8"/>
      <c r="F8" s="57"/>
    </row>
    <row r="9" spans="1:18" x14ac:dyDescent="0.25">
      <c r="A9" t="s">
        <v>5</v>
      </c>
      <c r="B9" s="51">
        <f>IF(ISERROR(VALUE(RawData!H1)), LEFT(RawData!H1, FIND("Kg",RawData!H1)-1), RawData!H1/1000)</f>
        <v>0.32</v>
      </c>
      <c r="C9" s="6" t="s">
        <v>0</v>
      </c>
      <c r="E9"/>
      <c r="F9" s="57"/>
    </row>
    <row r="10" spans="1:18" x14ac:dyDescent="0.25">
      <c r="A10" s="2" t="s">
        <v>6</v>
      </c>
      <c r="B10" s="51">
        <v>300</v>
      </c>
      <c r="C10" s="6" t="s">
        <v>0</v>
      </c>
      <c r="E10"/>
      <c r="F10" s="57"/>
    </row>
    <row r="11" spans="1:18" x14ac:dyDescent="0.25">
      <c r="A11" s="2" t="s">
        <v>8</v>
      </c>
      <c r="B11" s="51">
        <f>Qn-ENT</f>
        <v>-290</v>
      </c>
      <c r="C11" s="6" t="s">
        <v>0</v>
      </c>
      <c r="D11" s="6"/>
      <c r="E11" s="75" t="s">
        <v>58</v>
      </c>
      <c r="F11" s="76"/>
      <c r="G11" s="76"/>
      <c r="H11" s="76"/>
      <c r="I11" s="77" t="s">
        <v>59</v>
      </c>
      <c r="J11" s="78"/>
      <c r="K11" s="78"/>
      <c r="L11" s="79" t="s">
        <v>60</v>
      </c>
      <c r="M11" s="80"/>
      <c r="N11" s="80"/>
      <c r="O11" s="70" t="s">
        <v>61</v>
      </c>
      <c r="P11" s="71"/>
      <c r="Q11" s="71"/>
      <c r="R11" s="71"/>
    </row>
    <row r="12" spans="1:18" ht="90" x14ac:dyDescent="0.25">
      <c r="E12" s="49" t="s">
        <v>48</v>
      </c>
      <c r="F12" s="58" t="s">
        <v>49</v>
      </c>
      <c r="G12" s="49" t="s">
        <v>50</v>
      </c>
      <c r="H12" s="50" t="s">
        <v>88</v>
      </c>
      <c r="I12" s="53" t="s">
        <v>48</v>
      </c>
      <c r="J12" s="50" t="s">
        <v>72</v>
      </c>
      <c r="K12" s="49" t="s">
        <v>52</v>
      </c>
      <c r="L12" s="49" t="s">
        <v>48</v>
      </c>
      <c r="M12" s="49" t="s">
        <v>71</v>
      </c>
      <c r="N12" s="49" t="s">
        <v>53</v>
      </c>
      <c r="O12" s="53" t="s">
        <v>48</v>
      </c>
      <c r="P12" s="62" t="s">
        <v>73</v>
      </c>
      <c r="Q12" s="68" t="s">
        <v>74</v>
      </c>
      <c r="R12" s="59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20.04</v>
      </c>
      <c r="G13" t="s">
        <v>91</v>
      </c>
      <c r="H13" s="36" t="str">
        <f>IF(Qn-F13-Ta&gt;2*ENT,"Fara E","Ok")</f>
        <v>Ok</v>
      </c>
      <c r="I13" s="36">
        <f>E13</f>
        <v>1</v>
      </c>
      <c r="J13" s="66">
        <f>F13-Ta</f>
        <v>19.72</v>
      </c>
      <c r="K13" s="36" t="str">
        <f>IF(J13&gt;=CMA,"Ok","Not Ok")</f>
        <v>Ok</v>
      </c>
      <c r="L13" s="36"/>
      <c r="M13" s="36"/>
      <c r="N13" s="36"/>
      <c r="O13" s="36">
        <f>E17</f>
        <v>5</v>
      </c>
      <c r="P13" s="63">
        <f>F17-Ta</f>
        <v>19.68</v>
      </c>
      <c r="Q13" s="69">
        <f>P13-Xi</f>
        <v>-2.6666666666667282E-2</v>
      </c>
      <c r="R13" s="60">
        <f>POWER(Q13,2)</f>
        <v>7.11111111111144E-4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20.02</v>
      </c>
      <c r="G14" t="s">
        <v>92</v>
      </c>
      <c r="H14" s="36" t="str">
        <f>IF(Qn-F14-Ta&gt;2*ENT,"Fara E","Ok")</f>
        <v>Ok</v>
      </c>
      <c r="I14" s="36">
        <f>E19</f>
        <v>7</v>
      </c>
      <c r="J14" s="66">
        <f>F19-Ta</f>
        <v>19.72</v>
      </c>
      <c r="K14" s="36" t="str">
        <f>IF(J14&gt;=CMA,"Ok","Not Ok")</f>
        <v>Ok</v>
      </c>
      <c r="L14" s="36"/>
      <c r="M14" s="36"/>
      <c r="N14" s="36"/>
      <c r="O14" s="36">
        <f>E20</f>
        <v>8</v>
      </c>
      <c r="P14" s="63">
        <f>F20-Ta</f>
        <v>19.7</v>
      </c>
      <c r="Q14" s="69">
        <f>P14-Xi</f>
        <v>-6.6666666666677088E-3</v>
      </c>
      <c r="R14" s="60">
        <f>POWER(Q14,2)</f>
        <v>4.4444444444458338E-5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20.02</v>
      </c>
      <c r="G15" t="s">
        <v>93</v>
      </c>
      <c r="H15" s="36" t="str">
        <f>IF(Qn-F15-Ta&gt;2*ENT,"Fara E","Ok")</f>
        <v>Ok</v>
      </c>
      <c r="I15" s="36">
        <f>E20</f>
        <v>8</v>
      </c>
      <c r="J15" s="66">
        <f>F20-Ta</f>
        <v>19.7</v>
      </c>
      <c r="K15" s="36" t="str">
        <f>IF(J15&gt;=CMA,"Ok","Not Ok")</f>
        <v>Ok</v>
      </c>
      <c r="L15" s="36"/>
      <c r="M15" s="36"/>
      <c r="N15" s="36"/>
      <c r="O15" s="36">
        <f>E22</f>
        <v>10</v>
      </c>
      <c r="P15" s="63">
        <f>F22-Ta</f>
        <v>19.7</v>
      </c>
      <c r="Q15" s="69">
        <f>P15-Xi</f>
        <v>-6.6666666666677088E-3</v>
      </c>
      <c r="R15" s="60">
        <f>POWER(Q15,2)</f>
        <v>4.4444444444458338E-5</v>
      </c>
    </row>
    <row r="16" spans="1:18" ht="14.25" customHeight="1" x14ac:dyDescent="0.25">
      <c r="E16">
        <v>4</v>
      </c>
      <c r="F16">
        <v>20.04</v>
      </c>
      <c r="G16" t="s">
        <v>94</v>
      </c>
      <c r="H16" s="36" t="str">
        <f>IF(Qn-F16-Ta&gt;2*ENT,"Fara E","Ok")</f>
        <v>Ok</v>
      </c>
      <c r="I16" s="36">
        <f>E24</f>
        <v>12</v>
      </c>
      <c r="J16" s="66">
        <f>F24-Ta</f>
        <v>19.72</v>
      </c>
      <c r="K16" s="36" t="str">
        <f>IF(J16&gt;=CMA,"Ok","Not Ok")</f>
        <v>Ok</v>
      </c>
      <c r="L16" s="36"/>
      <c r="M16" s="36"/>
      <c r="N16" s="36"/>
      <c r="O16" s="36">
        <f>E30</f>
        <v>18</v>
      </c>
      <c r="P16" s="63">
        <f>F30-Ta</f>
        <v>19.739999999999998</v>
      </c>
      <c r="Q16" s="69">
        <f>P16-Xi</f>
        <v>3.3333333333331439E-2</v>
      </c>
      <c r="R16" s="60">
        <f>POWER(Q16,2)</f>
        <v>1.1111111111109847E-3</v>
      </c>
    </row>
    <row r="17" spans="1:18" x14ac:dyDescent="0.25">
      <c r="E17">
        <v>5</v>
      </c>
      <c r="F17">
        <v>20</v>
      </c>
      <c r="G17" t="s">
        <v>95</v>
      </c>
      <c r="H17" s="36" t="str">
        <f>IF(Qn-F17-Ta&gt;2*ENT,"Fara E","Ok")</f>
        <v>Ok</v>
      </c>
      <c r="I17" s="36">
        <f>E25</f>
        <v>13</v>
      </c>
      <c r="J17" s="66">
        <f>F25-Ta</f>
        <v>19.7</v>
      </c>
      <c r="K17" s="36" t="str">
        <f>IF(J17&gt;=CMA,"Ok","Not Ok")</f>
        <v>Ok</v>
      </c>
      <c r="L17" s="36"/>
      <c r="M17" s="36"/>
      <c r="N17" s="36"/>
      <c r="O17" s="36">
        <f>E38</f>
        <v>26</v>
      </c>
      <c r="P17" s="63">
        <f>F38-Ta</f>
        <v>19.7</v>
      </c>
      <c r="Q17" s="69">
        <f>P17-Xi</f>
        <v>-6.6666666666677088E-3</v>
      </c>
      <c r="R17" s="60">
        <f>POWER(Q17,2)</f>
        <v>4.4444444444458338E-5</v>
      </c>
    </row>
    <row r="18" spans="1:18" ht="15" customHeight="1" x14ac:dyDescent="0.25">
      <c r="A18" s="40" t="s">
        <v>66</v>
      </c>
      <c r="B18" s="41"/>
      <c r="E18">
        <v>6</v>
      </c>
      <c r="F18">
        <v>19.98</v>
      </c>
      <c r="G18" t="s">
        <v>96</v>
      </c>
      <c r="H18" s="3" t="str">
        <f>IF(Qn-F18-Ta&gt;2*ENT,"Fara E","Ok")</f>
        <v>Ok</v>
      </c>
      <c r="I18" s="4">
        <f>E27</f>
        <v>15</v>
      </c>
      <c r="J18" s="7">
        <f>F27-Ta</f>
        <v>19.72</v>
      </c>
      <c r="K18" s="3" t="str">
        <f>IF(J18&gt;=CMA,"Ok","Not Ok")</f>
        <v>Ok</v>
      </c>
      <c r="O18" s="4">
        <f>E46</f>
        <v>34</v>
      </c>
      <c r="P18" s="61">
        <f>F46-Ta</f>
        <v>19.72</v>
      </c>
      <c r="Q18" s="67">
        <f>P18-Xi</f>
        <v>1.3333333333331865E-2</v>
      </c>
      <c r="R18" s="60">
        <f>POWER(Q18,2)</f>
        <v>1.7777777777773862E-4</v>
      </c>
    </row>
    <row r="19" spans="1:18" x14ac:dyDescent="0.25">
      <c r="A19" s="47" t="s">
        <v>34</v>
      </c>
      <c r="B19" s="30">
        <f>AVERAGE(P13:P43)</f>
        <v>19.706666666666667</v>
      </c>
      <c r="E19">
        <v>7</v>
      </c>
      <c r="F19">
        <v>20.04</v>
      </c>
      <c r="G19" t="s">
        <v>97</v>
      </c>
      <c r="H19" s="3" t="str">
        <f>IF(Qn-F19-Ta&gt;2*ENT,"Fara E","Ok")</f>
        <v>Ok</v>
      </c>
      <c r="I19" s="4">
        <f>E41</f>
        <v>29</v>
      </c>
      <c r="J19" s="7">
        <f>F41-Ta</f>
        <v>19.7</v>
      </c>
      <c r="K19" s="3" t="str">
        <f>IF(J19&gt;=CMA,"Ok","Not Ok")</f>
        <v>Ok</v>
      </c>
      <c r="O19" s="4">
        <f>E52</f>
        <v>40</v>
      </c>
      <c r="P19" s="64">
        <f>F52-Ta</f>
        <v>19.72</v>
      </c>
      <c r="Q19" s="67">
        <f>P19-Xi</f>
        <v>1.3333333333331865E-2</v>
      </c>
      <c r="R19" s="60">
        <f>POWER(Q19,2)</f>
        <v>1.7777777777773862E-4</v>
      </c>
    </row>
    <row r="20" spans="1:18" ht="17.25" x14ac:dyDescent="0.25">
      <c r="A20" s="48" t="s">
        <v>36</v>
      </c>
      <c r="B20" s="30">
        <f>SUM(R13,R42)</f>
        <v>7.5555555555560238E-4</v>
      </c>
      <c r="E20">
        <v>8</v>
      </c>
      <c r="F20">
        <v>20.02</v>
      </c>
      <c r="G20" t="s">
        <v>98</v>
      </c>
      <c r="H20" s="3" t="str">
        <f>IF(Qn-F20-Ta&gt;2*ENT,"Fara E","Ok")</f>
        <v>Ok</v>
      </c>
      <c r="I20" s="4">
        <f>E43</f>
        <v>31</v>
      </c>
      <c r="J20" s="7">
        <f>F43-Ta</f>
        <v>19.7</v>
      </c>
      <c r="K20" s="3" t="str">
        <f>IF(J20&gt;=CMA,"Ok","Not Ok")</f>
        <v>Ok</v>
      </c>
      <c r="O20" s="4">
        <f>E62</f>
        <v>50</v>
      </c>
      <c r="P20" s="61">
        <f>F62-Ta</f>
        <v>19.739999999999998</v>
      </c>
      <c r="Q20" s="67">
        <f>P20-Xi</f>
        <v>3.3333333333331439E-2</v>
      </c>
      <c r="R20" s="60">
        <f>POWER(Q20,2)</f>
        <v>1.1111111111109847E-3</v>
      </c>
    </row>
    <row r="21" spans="1:18" x14ac:dyDescent="0.25">
      <c r="A21" s="31" t="s">
        <v>35</v>
      </c>
      <c r="B21" s="30">
        <f>SQRT(SumOfSquares/(ES_3-1))</f>
        <v>5.1042766232586682E-3</v>
      </c>
      <c r="E21">
        <v>9</v>
      </c>
      <c r="F21">
        <v>20.04</v>
      </c>
      <c r="G21" t="s">
        <v>99</v>
      </c>
      <c r="H21" s="3" t="str">
        <f>IF(Qn-F21-Ta&gt;2*ENT,"Fara E","Ok")</f>
        <v>Ok</v>
      </c>
      <c r="I21" s="4">
        <f>E44</f>
        <v>32</v>
      </c>
      <c r="J21" s="7">
        <f>F44-Ta</f>
        <v>19.739999999999998</v>
      </c>
      <c r="K21" s="3" t="str">
        <f>IF(J21&gt;=CMA,"Ok","Not Ok")</f>
        <v>Ok</v>
      </c>
      <c r="O21" s="4">
        <f>E75</f>
        <v>63</v>
      </c>
      <c r="P21" s="61">
        <f>F75-Ta</f>
        <v>19.72</v>
      </c>
      <c r="Q21" s="67">
        <f>P21-Xi</f>
        <v>1.3333333333331865E-2</v>
      </c>
      <c r="R21" s="60">
        <f>POWER(Q21,2)</f>
        <v>1.7777777777773862E-4</v>
      </c>
    </row>
    <row r="22" spans="1:18" x14ac:dyDescent="0.25">
      <c r="A22" s="47" t="s">
        <v>54</v>
      </c>
      <c r="B22" s="30">
        <f>s/SQRT(ES_3)*0.995</f>
        <v>9.2724960302451519E-4</v>
      </c>
      <c r="E22">
        <v>10</v>
      </c>
      <c r="F22">
        <v>20.02</v>
      </c>
      <c r="G22" t="s">
        <v>100</v>
      </c>
      <c r="H22" s="3" t="str">
        <f>IF(Qn-F22-Ta&gt;2*ENT,"Fara E","Ok")</f>
        <v>Ok</v>
      </c>
      <c r="I22" s="4">
        <f>E55</f>
        <v>43</v>
      </c>
      <c r="J22" s="7">
        <f>F55-Ta</f>
        <v>19.7</v>
      </c>
      <c r="K22" s="3" t="str">
        <f>IF(J22&gt;=CMA,"Ok","Not Ok")</f>
        <v>Ok</v>
      </c>
      <c r="O22" s="4">
        <f>E82</f>
        <v>70</v>
      </c>
      <c r="P22" s="61">
        <f>F82-Ta</f>
        <v>19.72</v>
      </c>
      <c r="Q22" s="67">
        <f>P22-Xi</f>
        <v>1.3333333333331865E-2</v>
      </c>
      <c r="R22" s="60">
        <f>POWER(Q22,2)</f>
        <v>1.7777777777773862E-4</v>
      </c>
    </row>
    <row r="23" spans="1:18" x14ac:dyDescent="0.25">
      <c r="A23" s="2"/>
      <c r="E23">
        <v>11</v>
      </c>
      <c r="F23">
        <v>20</v>
      </c>
      <c r="G23" t="s">
        <v>101</v>
      </c>
      <c r="H23" s="3" t="str">
        <f>IF(Qn-F23-Ta&gt;2*ENT,"Fara E","Ok")</f>
        <v>Ok</v>
      </c>
      <c r="I23" s="4">
        <f>E57</f>
        <v>45</v>
      </c>
      <c r="J23" s="7">
        <f>F57-Ta</f>
        <v>19.68</v>
      </c>
      <c r="K23" s="3" t="str">
        <f>IF(J23&gt;=CMA,"Ok","Not Ok")</f>
        <v>Ok</v>
      </c>
      <c r="O23" s="4">
        <f>E117</f>
        <v>105</v>
      </c>
      <c r="P23" s="61">
        <f>F117-Ta</f>
        <v>19.72</v>
      </c>
      <c r="Q23" s="67">
        <f>P23-Xi</f>
        <v>1.3333333333331865E-2</v>
      </c>
      <c r="R23" s="60">
        <f>POWER(Q23,2)</f>
        <v>1.7777777777773862E-4</v>
      </c>
    </row>
    <row r="24" spans="1:18" x14ac:dyDescent="0.25">
      <c r="E24">
        <v>12</v>
      </c>
      <c r="F24">
        <v>20.04</v>
      </c>
      <c r="G24" t="s">
        <v>102</v>
      </c>
      <c r="H24" s="3" t="str">
        <f>IF(Qn-F24-Ta&gt;2*ENT,"Fara E","Ok")</f>
        <v>Ok</v>
      </c>
      <c r="I24" s="4">
        <f>E60</f>
        <v>48</v>
      </c>
      <c r="J24" s="7">
        <f>F60-Ta</f>
        <v>19.68</v>
      </c>
      <c r="K24" s="3" t="str">
        <f>IF(J24&gt;=CMA,"Ok","Not Ok")</f>
        <v>Ok</v>
      </c>
      <c r="O24" s="4">
        <f>E124</f>
        <v>112</v>
      </c>
      <c r="P24" s="61">
        <f>F124-Ta</f>
        <v>19.739999999999998</v>
      </c>
      <c r="Q24" s="67">
        <f>P24-Xi</f>
        <v>3.3333333333331439E-2</v>
      </c>
      <c r="R24" s="60">
        <f>POWER(Q24,2)</f>
        <v>1.1111111111109847E-3</v>
      </c>
    </row>
    <row r="25" spans="1:18" x14ac:dyDescent="0.25">
      <c r="E25">
        <v>13</v>
      </c>
      <c r="F25">
        <v>20.02</v>
      </c>
      <c r="G25" t="s">
        <v>103</v>
      </c>
      <c r="H25" s="3" t="str">
        <f>IF(Qn-F25-Ta&gt;2*ENT,"Fara E","Ok")</f>
        <v>Ok</v>
      </c>
      <c r="I25" s="4">
        <f>E66</f>
        <v>54</v>
      </c>
      <c r="J25" s="7">
        <f>F66-Ta</f>
        <v>19.68</v>
      </c>
      <c r="K25" s="3" t="str">
        <f>IF(J25&gt;=CMA,"Ok","Not Ok")</f>
        <v>Ok</v>
      </c>
      <c r="O25" s="4">
        <f>E129</f>
        <v>117</v>
      </c>
      <c r="P25" s="61">
        <f>F129-Ta</f>
        <v>19.68</v>
      </c>
      <c r="Q25" s="67">
        <f>P25-Xi</f>
        <v>-2.6666666666667282E-2</v>
      </c>
      <c r="R25" s="60">
        <f>POWER(Q25,2)</f>
        <v>7.11111111111144E-4</v>
      </c>
    </row>
    <row r="26" spans="1:18" x14ac:dyDescent="0.25">
      <c r="E26">
        <v>14</v>
      </c>
      <c r="F26">
        <v>20.02</v>
      </c>
      <c r="G26" t="s">
        <v>104</v>
      </c>
      <c r="H26" s="3" t="str">
        <f>IF(Qn-F26-Ta&gt;2*ENT,"Fara E","Ok")</f>
        <v>Ok</v>
      </c>
      <c r="I26" s="4">
        <f>E67</f>
        <v>55</v>
      </c>
      <c r="J26" s="7">
        <f>F67-Ta</f>
        <v>19.739999999999998</v>
      </c>
      <c r="K26" s="3" t="str">
        <f>IF(J26&gt;=CMA,"Ok","Not Ok")</f>
        <v>Ok</v>
      </c>
      <c r="O26" s="4">
        <f>E131</f>
        <v>119</v>
      </c>
      <c r="P26" s="61">
        <f>F131-Ta</f>
        <v>19.68</v>
      </c>
      <c r="Q26" s="67">
        <f>P26-Xi</f>
        <v>-2.6666666666667282E-2</v>
      </c>
      <c r="R26" s="60">
        <f>POWER(Q26,2)</f>
        <v>7.11111111111144E-4</v>
      </c>
    </row>
    <row r="27" spans="1:18" x14ac:dyDescent="0.25">
      <c r="E27">
        <v>15</v>
      </c>
      <c r="F27">
        <v>20.04</v>
      </c>
      <c r="G27" t="s">
        <v>105</v>
      </c>
      <c r="H27" s="3" t="str">
        <f>IF(Qn-F27-Ta&gt;2*ENT,"Fara E","Ok")</f>
        <v>Ok</v>
      </c>
      <c r="I27" s="4">
        <f>E70</f>
        <v>58</v>
      </c>
      <c r="J27" s="7">
        <f>F70-Ta</f>
        <v>19.68</v>
      </c>
      <c r="K27" s="3" t="str">
        <f>IF(J27&gt;=CMA,"Ok","Not Ok")</f>
        <v>Ok</v>
      </c>
      <c r="O27" s="4">
        <f>E133</f>
        <v>121</v>
      </c>
      <c r="P27" s="61">
        <f>F133-Ta</f>
        <v>19.739999999999998</v>
      </c>
      <c r="Q27" s="67">
        <f>P27-Xi</f>
        <v>3.3333333333331439E-2</v>
      </c>
      <c r="R27" s="60">
        <f>POWER(Q27,2)</f>
        <v>1.1111111111109847E-3</v>
      </c>
    </row>
    <row r="28" spans="1:18" x14ac:dyDescent="0.25">
      <c r="E28">
        <v>16</v>
      </c>
      <c r="F28">
        <v>20.04</v>
      </c>
      <c r="G28" t="s">
        <v>106</v>
      </c>
      <c r="H28" s="3" t="str">
        <f>IF(Qn-F28-Ta&gt;2*ENT,"Fara E","Ok")</f>
        <v>Ok</v>
      </c>
      <c r="I28" s="4">
        <f>E77</f>
        <v>65</v>
      </c>
      <c r="J28" s="7">
        <f>F77-Ta</f>
        <v>19.68</v>
      </c>
      <c r="K28" s="3" t="str">
        <f>IF(J28&gt;=CMA,"Ok","Not Ok")</f>
        <v>Ok</v>
      </c>
      <c r="O28" s="4">
        <f>E134</f>
        <v>122</v>
      </c>
      <c r="P28" s="61">
        <f>F134-Ta</f>
        <v>19.68</v>
      </c>
      <c r="Q28" s="67">
        <f>P28-Xi</f>
        <v>-2.6666666666667282E-2</v>
      </c>
      <c r="R28" s="60">
        <f>POWER(Q28,2)</f>
        <v>7.11111111111144E-4</v>
      </c>
    </row>
    <row r="29" spans="1:18" x14ac:dyDescent="0.25">
      <c r="E29">
        <v>17</v>
      </c>
      <c r="F29">
        <v>20.04</v>
      </c>
      <c r="G29" t="s">
        <v>107</v>
      </c>
      <c r="H29" s="3" t="str">
        <f>IF(Qn-F29-Ta&gt;2*ENT,"Fara E","Ok")</f>
        <v>Ok</v>
      </c>
      <c r="I29" s="4">
        <f>E102</f>
        <v>90</v>
      </c>
      <c r="J29" s="7">
        <f>F102-Ta</f>
        <v>19.7</v>
      </c>
      <c r="K29" s="3" t="str">
        <f>IF(J29&gt;=CMA,"Ok","Not Ok")</f>
        <v>Ok</v>
      </c>
      <c r="O29" s="4">
        <f>E140</f>
        <v>128</v>
      </c>
      <c r="P29" s="61">
        <f>F140-Ta</f>
        <v>19.7</v>
      </c>
      <c r="Q29" s="67">
        <f>P29-Xi</f>
        <v>-6.6666666666677088E-3</v>
      </c>
      <c r="R29" s="60">
        <f>POWER(Q29,2)</f>
        <v>4.4444444444458338E-5</v>
      </c>
    </row>
    <row r="30" spans="1:18" x14ac:dyDescent="0.25">
      <c r="E30">
        <v>18</v>
      </c>
      <c r="F30">
        <v>20.059999999999999</v>
      </c>
      <c r="G30" t="s">
        <v>108</v>
      </c>
      <c r="H30" s="3" t="str">
        <f>IF(Qn-F30-Ta&gt;2*ENT,"Fara E","Ok")</f>
        <v>Ok</v>
      </c>
      <c r="I30" s="4">
        <f>E104</f>
        <v>92</v>
      </c>
      <c r="J30" s="7">
        <f>F104-Ta</f>
        <v>19.72</v>
      </c>
      <c r="K30" s="3" t="str">
        <f>IF(J30&gt;=CMA,"Ok","Not Ok")</f>
        <v>Ok</v>
      </c>
      <c r="O30" s="4">
        <f>E142</f>
        <v>130</v>
      </c>
      <c r="P30" s="61">
        <f>F142-Ta</f>
        <v>19.72</v>
      </c>
      <c r="Q30" s="67">
        <f>P30-Xi</f>
        <v>1.3333333333331865E-2</v>
      </c>
      <c r="R30" s="60">
        <f>POWER(Q30,2)</f>
        <v>1.7777777777773862E-4</v>
      </c>
    </row>
    <row r="31" spans="1:18" x14ac:dyDescent="0.25">
      <c r="E31">
        <v>19</v>
      </c>
      <c r="F31">
        <v>20</v>
      </c>
      <c r="G31" t="s">
        <v>109</v>
      </c>
      <c r="H31" s="3" t="str">
        <f>IF(Qn-F31-Ta&gt;2*ENT,"Fara E","Ok")</f>
        <v>Ok</v>
      </c>
      <c r="I31" s="4">
        <f>E113</f>
        <v>101</v>
      </c>
      <c r="J31" s="7">
        <f>F113-Ta</f>
        <v>19.72</v>
      </c>
      <c r="K31" s="3" t="str">
        <f>IF(J31&gt;=CMA,"Ok","Not Ok")</f>
        <v>Ok</v>
      </c>
      <c r="O31" s="4">
        <f>E144</f>
        <v>132</v>
      </c>
      <c r="P31" s="61">
        <f>F144-Ta</f>
        <v>19.72</v>
      </c>
      <c r="Q31" s="67">
        <f>P31-Xi</f>
        <v>1.3333333333331865E-2</v>
      </c>
      <c r="R31" s="60">
        <f>POWER(Q31,2)</f>
        <v>1.7777777777773862E-4</v>
      </c>
    </row>
    <row r="32" spans="1:18" x14ac:dyDescent="0.25">
      <c r="E32">
        <v>20</v>
      </c>
      <c r="F32">
        <v>20.02</v>
      </c>
      <c r="G32" t="s">
        <v>110</v>
      </c>
      <c r="H32" s="3" t="str">
        <f>IF(Qn-F32-Ta&gt;2*ENT,"Fara E","Ok")</f>
        <v>Ok</v>
      </c>
      <c r="I32" s="4">
        <f>E114</f>
        <v>102</v>
      </c>
      <c r="J32" s="7">
        <f>F114-Ta</f>
        <v>19.7</v>
      </c>
      <c r="K32" s="3" t="str">
        <f>IF(J32&gt;=CMA,"Ok","Not Ok")</f>
        <v>Ok</v>
      </c>
      <c r="O32" s="4">
        <f>E148</f>
        <v>136</v>
      </c>
      <c r="P32" s="61">
        <f>F148-Ta</f>
        <v>19.72</v>
      </c>
      <c r="Q32" s="67">
        <f>P32-Xi</f>
        <v>1.3333333333331865E-2</v>
      </c>
      <c r="R32" s="60">
        <f>POWER(Q32,2)</f>
        <v>1.7777777777773862E-4</v>
      </c>
    </row>
    <row r="33" spans="5:18" x14ac:dyDescent="0.25">
      <c r="E33">
        <v>21</v>
      </c>
      <c r="F33">
        <v>20.04</v>
      </c>
      <c r="G33" t="s">
        <v>111</v>
      </c>
      <c r="H33" s="3" t="str">
        <f>IF(Qn-F33-Ta&gt;2*ENT,"Fara E","Ok")</f>
        <v>Ok</v>
      </c>
      <c r="I33" s="4">
        <f>E118</f>
        <v>106</v>
      </c>
      <c r="J33" s="7">
        <f>F118-Ta</f>
        <v>19.7</v>
      </c>
      <c r="K33" s="3" t="str">
        <f>IF(J33&gt;=CMA,"Ok","Not Ok")</f>
        <v>Ok</v>
      </c>
      <c r="O33" s="4">
        <f>E149</f>
        <v>137</v>
      </c>
      <c r="P33" s="61">
        <f>F149-Ta</f>
        <v>19.68</v>
      </c>
      <c r="Q33" s="67">
        <f>P33-Xi</f>
        <v>-2.6666666666667282E-2</v>
      </c>
      <c r="R33" s="60">
        <f>POWER(Q33,2)</f>
        <v>7.11111111111144E-4</v>
      </c>
    </row>
    <row r="34" spans="5:18" x14ac:dyDescent="0.25">
      <c r="E34">
        <v>22</v>
      </c>
      <c r="F34">
        <v>20.02</v>
      </c>
      <c r="G34" t="s">
        <v>112</v>
      </c>
      <c r="H34" s="3" t="str">
        <f>IF(Qn-F34-Ta&gt;2*ENT,"Fara E","Ok")</f>
        <v>Ok</v>
      </c>
      <c r="I34" s="4">
        <f>E120</f>
        <v>108</v>
      </c>
      <c r="J34" s="7">
        <f>F120-Ta</f>
        <v>19.72</v>
      </c>
      <c r="K34" s="3" t="str">
        <f>IF(J34&gt;=CMA,"Ok","Not Ok")</f>
        <v>Ok</v>
      </c>
      <c r="O34" s="4">
        <f>E153</f>
        <v>141</v>
      </c>
      <c r="P34" s="61">
        <f>F153-Ta</f>
        <v>19.72</v>
      </c>
      <c r="Q34" s="67">
        <f>P34-Xi</f>
        <v>1.3333333333331865E-2</v>
      </c>
      <c r="R34" s="60">
        <f>POWER(Q34,2)</f>
        <v>1.7777777777773862E-4</v>
      </c>
    </row>
    <row r="35" spans="5:18" x14ac:dyDescent="0.25">
      <c r="E35">
        <v>23</v>
      </c>
      <c r="F35">
        <v>20.04</v>
      </c>
      <c r="G35" t="s">
        <v>113</v>
      </c>
      <c r="H35" s="3" t="str">
        <f>IF(Qn-F35-Ta&gt;2*ENT,"Fara E","Ok")</f>
        <v>Ok</v>
      </c>
      <c r="I35" s="4">
        <f>E126</f>
        <v>114</v>
      </c>
      <c r="J35" s="7">
        <f>F126-Ta</f>
        <v>19.7</v>
      </c>
      <c r="K35" s="3" t="str">
        <f>IF(J35&gt;=CMA,"Ok","Not Ok")</f>
        <v>Ok</v>
      </c>
      <c r="O35" s="4">
        <f>E164</f>
        <v>152</v>
      </c>
      <c r="P35" s="61">
        <f>F164-Ta</f>
        <v>19.7</v>
      </c>
      <c r="Q35" s="67">
        <f>P35-Xi</f>
        <v>-6.6666666666677088E-3</v>
      </c>
      <c r="R35" s="60">
        <f>POWER(Q35,2)</f>
        <v>4.4444444444458338E-5</v>
      </c>
    </row>
    <row r="36" spans="5:18" x14ac:dyDescent="0.25">
      <c r="E36">
        <v>24</v>
      </c>
      <c r="F36">
        <v>20</v>
      </c>
      <c r="G36" t="s">
        <v>114</v>
      </c>
      <c r="H36" s="3" t="str">
        <f>IF(Qn-F36-Ta&gt;2*ENT,"Fara E","Ok")</f>
        <v>Ok</v>
      </c>
      <c r="I36" s="4">
        <f>E134</f>
        <v>122</v>
      </c>
      <c r="J36" s="7">
        <f>F134-Ta</f>
        <v>19.68</v>
      </c>
      <c r="K36" s="3" t="str">
        <f>IF(J36&gt;=CMA,"Ok","Not Ok")</f>
        <v>Ok</v>
      </c>
      <c r="O36" s="4">
        <f>E165</f>
        <v>153</v>
      </c>
      <c r="P36" s="61">
        <f>F165-Ta</f>
        <v>19.68</v>
      </c>
      <c r="Q36" s="67">
        <f>P36-Xi</f>
        <v>-2.6666666666667282E-2</v>
      </c>
      <c r="R36" s="60">
        <f>POWER(Q36,2)</f>
        <v>7.11111111111144E-4</v>
      </c>
    </row>
    <row r="37" spans="5:18" x14ac:dyDescent="0.25">
      <c r="E37">
        <v>25</v>
      </c>
      <c r="F37">
        <v>20.04</v>
      </c>
      <c r="G37" t="s">
        <v>115</v>
      </c>
      <c r="H37" s="3" t="str">
        <f>IF(Qn-F37-Ta&gt;2*ENT,"Fara E","Ok")</f>
        <v>Ok</v>
      </c>
      <c r="I37" s="4">
        <f>E142</f>
        <v>130</v>
      </c>
      <c r="J37" s="7">
        <f>F142-Ta</f>
        <v>19.72</v>
      </c>
      <c r="K37" s="3" t="str">
        <f>IF(J37&gt;=CMA,"Ok","Not Ok")</f>
        <v>Ok</v>
      </c>
      <c r="O37" s="4">
        <f>E169</f>
        <v>157</v>
      </c>
      <c r="P37" s="61">
        <f>F169-Ta</f>
        <v>19.72</v>
      </c>
      <c r="Q37" s="67">
        <f>P37-Xi</f>
        <v>1.3333333333331865E-2</v>
      </c>
      <c r="R37" s="60">
        <f>POWER(Q37,2)</f>
        <v>1.7777777777773862E-4</v>
      </c>
    </row>
    <row r="38" spans="5:18" x14ac:dyDescent="0.25">
      <c r="E38">
        <v>26</v>
      </c>
      <c r="F38">
        <v>20.02</v>
      </c>
      <c r="G38" t="s">
        <v>116</v>
      </c>
      <c r="H38" s="3" t="str">
        <f>IF(Qn-F38-Ta&gt;2*ENT,"Fara E","Ok")</f>
        <v>Ok</v>
      </c>
      <c r="I38" s="4">
        <f>E145</f>
        <v>133</v>
      </c>
      <c r="J38" s="7">
        <f>F145-Ta</f>
        <v>19.68</v>
      </c>
      <c r="K38" s="3" t="str">
        <f>IF(J38&gt;=CMA,"Ok","Not Ok")</f>
        <v>Ok</v>
      </c>
      <c r="O38" s="4">
        <f>E170</f>
        <v>158</v>
      </c>
      <c r="P38" s="61">
        <f>F170-Ta</f>
        <v>19.7</v>
      </c>
      <c r="Q38" s="67">
        <f>P38-Xi</f>
        <v>-6.6666666666677088E-3</v>
      </c>
      <c r="R38" s="60">
        <f>POWER(Q38,2)</f>
        <v>4.4444444444458338E-5</v>
      </c>
    </row>
    <row r="39" spans="5:18" x14ac:dyDescent="0.25">
      <c r="E39">
        <v>27</v>
      </c>
      <c r="F39">
        <v>20</v>
      </c>
      <c r="G39" t="s">
        <v>117</v>
      </c>
      <c r="H39" s="3" t="str">
        <f>IF(Qn-F39-Ta&gt;2*ENT,"Fara E","Ok")</f>
        <v>Ok</v>
      </c>
      <c r="I39" s="4">
        <f>E146</f>
        <v>134</v>
      </c>
      <c r="J39" s="7">
        <f>F146-Ta</f>
        <v>19.68</v>
      </c>
      <c r="K39" s="3" t="str">
        <f>IF(J39&gt;=CMA,"Ok","Not Ok")</f>
        <v>Ok</v>
      </c>
      <c r="O39" s="4">
        <f>E171</f>
        <v>159</v>
      </c>
      <c r="P39" s="61">
        <f>F171-Ta</f>
        <v>19.68</v>
      </c>
      <c r="Q39" s="67">
        <f>P39-Xi</f>
        <v>-2.6666666666667282E-2</v>
      </c>
      <c r="R39" s="60">
        <f>POWER(Q39,2)</f>
        <v>7.11111111111144E-4</v>
      </c>
    </row>
    <row r="40" spans="5:18" x14ac:dyDescent="0.25">
      <c r="E40">
        <v>28</v>
      </c>
      <c r="F40">
        <v>20.02</v>
      </c>
      <c r="G40" t="s">
        <v>118</v>
      </c>
      <c r="H40" s="3" t="str">
        <f>IF(Qn-F40-Ta&gt;2*ENT,"Fara E","Ok")</f>
        <v>Ok</v>
      </c>
      <c r="I40" s="4">
        <f>E148</f>
        <v>136</v>
      </c>
      <c r="J40" s="7">
        <f>F148-Ta</f>
        <v>19.72</v>
      </c>
      <c r="K40" s="3" t="str">
        <f>IF(J40&gt;=CMA,"Ok","Not Ok")</f>
        <v>Ok</v>
      </c>
      <c r="O40" s="4">
        <f>E172</f>
        <v>160</v>
      </c>
      <c r="P40" s="61">
        <f>F172-Ta</f>
        <v>19.7</v>
      </c>
      <c r="Q40" s="67">
        <f>P40-Xi</f>
        <v>-6.6666666666677088E-3</v>
      </c>
      <c r="R40" s="60">
        <f>POWER(Q40,2)</f>
        <v>4.4444444444458338E-5</v>
      </c>
    </row>
    <row r="41" spans="5:18" x14ac:dyDescent="0.25">
      <c r="E41">
        <v>29</v>
      </c>
      <c r="F41">
        <v>20.02</v>
      </c>
      <c r="G41" t="s">
        <v>119</v>
      </c>
      <c r="H41" s="3" t="str">
        <f>IF(Qn-F41-Ta&gt;2*ENT,"Fara E","Ok")</f>
        <v>Ok</v>
      </c>
      <c r="I41" s="4">
        <f>E151</f>
        <v>139</v>
      </c>
      <c r="J41" s="7">
        <f>F151-Ta</f>
        <v>19.7</v>
      </c>
      <c r="K41" s="3" t="str">
        <f>IF(J41&gt;=CMA,"Ok","Not Ok")</f>
        <v>Ok</v>
      </c>
      <c r="O41" s="4">
        <f>E174</f>
        <v>162</v>
      </c>
      <c r="P41" s="61">
        <f>F174-Ta</f>
        <v>19.68</v>
      </c>
      <c r="Q41" s="67">
        <f>P41-Xi</f>
        <v>-2.6666666666667282E-2</v>
      </c>
      <c r="R41" s="60">
        <f>POWER(Q41,2)</f>
        <v>7.11111111111144E-4</v>
      </c>
    </row>
    <row r="42" spans="5:18" x14ac:dyDescent="0.25">
      <c r="E42">
        <v>30</v>
      </c>
      <c r="F42">
        <v>20</v>
      </c>
      <c r="G42" t="s">
        <v>120</v>
      </c>
      <c r="H42" s="3" t="str">
        <f>IF(Qn-F42-Ta&gt;2*ENT,"Fara E","Ok")</f>
        <v>Ok</v>
      </c>
      <c r="I42" s="4">
        <f>E166</f>
        <v>154</v>
      </c>
      <c r="J42" s="7">
        <f>F166-Ta</f>
        <v>19.739999999999998</v>
      </c>
      <c r="K42" s="3" t="str">
        <f>IF(J42&gt;=CMA,"Ok","Not Ok")</f>
        <v>Ok</v>
      </c>
      <c r="O42" s="4">
        <f>E176</f>
        <v>164</v>
      </c>
      <c r="P42" s="61">
        <f>F176-Ta</f>
        <v>19.7</v>
      </c>
      <c r="Q42" s="67">
        <f>P42-Xi</f>
        <v>-6.6666666666677088E-3</v>
      </c>
      <c r="R42" s="60">
        <f>POWER(Q42,2)</f>
        <v>4.4444444444458338E-5</v>
      </c>
    </row>
    <row r="43" spans="5:18" x14ac:dyDescent="0.25">
      <c r="E43">
        <v>31</v>
      </c>
      <c r="F43">
        <v>20.02</v>
      </c>
      <c r="G43" t="s">
        <v>121</v>
      </c>
      <c r="H43" s="3" t="str">
        <f>IF(Qn-F43-Ta&gt;2*ENT,"Fara E","Ok")</f>
        <v>Ok</v>
      </c>
    </row>
    <row r="44" spans="5:18" x14ac:dyDescent="0.25">
      <c r="E44">
        <v>32</v>
      </c>
      <c r="F44">
        <v>20.059999999999999</v>
      </c>
      <c r="G44" t="s">
        <v>122</v>
      </c>
      <c r="H44" s="3" t="str">
        <f>IF(Qn-F44-Ta&gt;2*ENT,"Fara E","Ok")</f>
        <v>Ok</v>
      </c>
    </row>
    <row r="45" spans="5:18" x14ac:dyDescent="0.25">
      <c r="E45">
        <v>33</v>
      </c>
      <c r="F45">
        <v>20.04</v>
      </c>
      <c r="G45" t="s">
        <v>123</v>
      </c>
      <c r="H45" s="3" t="str">
        <f>IF(Qn-F45-Ta&gt;2*ENT,"Fara E","Ok")</f>
        <v>Ok</v>
      </c>
    </row>
    <row r="46" spans="5:18" x14ac:dyDescent="0.25">
      <c r="E46">
        <v>34</v>
      </c>
      <c r="F46">
        <v>20.04</v>
      </c>
      <c r="G46" t="s">
        <v>124</v>
      </c>
      <c r="H46" s="3" t="str">
        <f>IF(Qn-F46-Ta&gt;2*ENT,"Fara E","Ok")</f>
        <v>Ok</v>
      </c>
    </row>
    <row r="47" spans="5:18" x14ac:dyDescent="0.25">
      <c r="E47">
        <v>35</v>
      </c>
      <c r="F47">
        <v>20.02</v>
      </c>
      <c r="G47" t="s">
        <v>125</v>
      </c>
      <c r="H47" s="3" t="str">
        <f>IF(Qn-F47-Ta&gt;2*ENT,"Fara E","Ok")</f>
        <v>Ok</v>
      </c>
    </row>
    <row r="48" spans="5:18" x14ac:dyDescent="0.25">
      <c r="E48">
        <v>36</v>
      </c>
      <c r="F48">
        <v>20.02</v>
      </c>
      <c r="G48" t="s">
        <v>126</v>
      </c>
      <c r="H48" s="3" t="str">
        <f>IF(Qn-F48-Ta&gt;2*ENT,"Fara E","Ok")</f>
        <v>Ok</v>
      </c>
    </row>
    <row r="49" spans="5:8" x14ac:dyDescent="0.25">
      <c r="E49">
        <v>37</v>
      </c>
      <c r="F49">
        <v>20.04</v>
      </c>
      <c r="G49" t="s">
        <v>127</v>
      </c>
      <c r="H49" s="3" t="str">
        <f>IF(Qn-F49-Ta&gt;2*ENT,"Fara E","Ok")</f>
        <v>Ok</v>
      </c>
    </row>
    <row r="50" spans="5:8" x14ac:dyDescent="0.25">
      <c r="E50">
        <v>38</v>
      </c>
      <c r="F50">
        <v>20</v>
      </c>
      <c r="G50" t="s">
        <v>128</v>
      </c>
      <c r="H50" s="3" t="str">
        <f>IF(Qn-F50-Ta&gt;2*ENT,"Fara E","Ok")</f>
        <v>Ok</v>
      </c>
    </row>
    <row r="51" spans="5:8" x14ac:dyDescent="0.25">
      <c r="E51">
        <v>39</v>
      </c>
      <c r="F51">
        <v>20.04</v>
      </c>
      <c r="G51" t="s">
        <v>129</v>
      </c>
      <c r="H51" s="3" t="str">
        <f>IF(Qn-F51-Ta&gt;2*ENT,"Fara E","Ok")</f>
        <v>Ok</v>
      </c>
    </row>
    <row r="52" spans="5:8" x14ac:dyDescent="0.25">
      <c r="E52">
        <v>40</v>
      </c>
      <c r="F52">
        <v>20.04</v>
      </c>
      <c r="G52" t="s">
        <v>130</v>
      </c>
      <c r="H52" s="3" t="str">
        <f>IF(Qn-F52-Ta&gt;2*ENT,"Fara E","Ok")</f>
        <v>Ok</v>
      </c>
    </row>
    <row r="53" spans="5:8" x14ac:dyDescent="0.25">
      <c r="E53">
        <v>41</v>
      </c>
      <c r="F53">
        <v>20</v>
      </c>
      <c r="G53"/>
      <c r="H53" s="3" t="str">
        <f>IF(Qn-F53-Ta&gt;2*ENT,"Fara E","Ok")</f>
        <v>Ok</v>
      </c>
    </row>
    <row r="54" spans="5:8" x14ac:dyDescent="0.25">
      <c r="E54">
        <v>42</v>
      </c>
      <c r="F54">
        <v>20</v>
      </c>
      <c r="G54" t="s">
        <v>131</v>
      </c>
      <c r="H54" s="3" t="str">
        <f>IF(Qn-F54-Ta&gt;2*ENT,"Fara E","Ok")</f>
        <v>Ok</v>
      </c>
    </row>
    <row r="55" spans="5:8" x14ac:dyDescent="0.25">
      <c r="E55">
        <v>43</v>
      </c>
      <c r="F55">
        <v>20.02</v>
      </c>
      <c r="G55" t="s">
        <v>132</v>
      </c>
      <c r="H55" s="3" t="str">
        <f>IF(Qn-F55-Ta&gt;2*ENT,"Fara E","Ok")</f>
        <v>Ok</v>
      </c>
    </row>
    <row r="56" spans="5:8" x14ac:dyDescent="0.25">
      <c r="E56">
        <v>44</v>
      </c>
      <c r="F56">
        <v>20.02</v>
      </c>
      <c r="G56" t="s">
        <v>133</v>
      </c>
      <c r="H56" s="3" t="str">
        <f>IF(Qn-F56-Ta&gt;2*ENT,"Fara E","Ok")</f>
        <v>Ok</v>
      </c>
    </row>
    <row r="57" spans="5:8" x14ac:dyDescent="0.25">
      <c r="E57">
        <v>45</v>
      </c>
      <c r="F57">
        <v>20</v>
      </c>
      <c r="G57"/>
      <c r="H57" s="3" t="str">
        <f>IF(Qn-F57-Ta&gt;2*ENT,"Fara E","Ok")</f>
        <v>Ok</v>
      </c>
    </row>
    <row r="58" spans="5:8" x14ac:dyDescent="0.25">
      <c r="E58">
        <v>46</v>
      </c>
      <c r="F58">
        <v>20.02</v>
      </c>
      <c r="G58" t="s">
        <v>134</v>
      </c>
      <c r="H58" s="3" t="str">
        <f>IF(Qn-F58-Ta&gt;2*ENT,"Fara E","Ok")</f>
        <v>Ok</v>
      </c>
    </row>
    <row r="59" spans="5:8" x14ac:dyDescent="0.25">
      <c r="E59">
        <v>47</v>
      </c>
      <c r="F59">
        <v>20.04</v>
      </c>
      <c r="G59" t="s">
        <v>135</v>
      </c>
      <c r="H59" s="3" t="str">
        <f>IF(Qn-F59-Ta&gt;2*ENT,"Fara E","Ok")</f>
        <v>Ok</v>
      </c>
    </row>
    <row r="60" spans="5:8" x14ac:dyDescent="0.25">
      <c r="E60">
        <v>48</v>
      </c>
      <c r="F60">
        <v>20</v>
      </c>
      <c r="G60"/>
      <c r="H60" s="3" t="str">
        <f>IF(Qn-F60-Ta&gt;2*ENT,"Fara E","Ok")</f>
        <v>Ok</v>
      </c>
    </row>
    <row r="61" spans="5:8" x14ac:dyDescent="0.25">
      <c r="E61">
        <v>49</v>
      </c>
      <c r="F61">
        <v>20.04</v>
      </c>
      <c r="G61" t="s">
        <v>136</v>
      </c>
      <c r="H61" s="3" t="str">
        <f>IF(Qn-F61-Ta&gt;2*ENT,"Fara E","Ok")</f>
        <v>Ok</v>
      </c>
    </row>
    <row r="62" spans="5:8" x14ac:dyDescent="0.25">
      <c r="E62">
        <v>50</v>
      </c>
      <c r="F62">
        <v>20.059999999999999</v>
      </c>
      <c r="G62" t="s">
        <v>137</v>
      </c>
      <c r="H62" s="3" t="str">
        <f>IF(Qn-F62-Ta&gt;2*ENT,"Fara E","Ok")</f>
        <v>Ok</v>
      </c>
    </row>
    <row r="63" spans="5:8" x14ac:dyDescent="0.25">
      <c r="E63">
        <v>51</v>
      </c>
      <c r="F63">
        <v>20.04</v>
      </c>
      <c r="G63" t="s">
        <v>138</v>
      </c>
      <c r="H63" s="3" t="str">
        <f>IF(Qn-F63-Ta&gt;2*ENT,"Fara E","Ok")</f>
        <v>Ok</v>
      </c>
    </row>
    <row r="64" spans="5:8" x14ac:dyDescent="0.25">
      <c r="E64">
        <v>52</v>
      </c>
      <c r="F64">
        <v>20</v>
      </c>
      <c r="G64" t="s">
        <v>139</v>
      </c>
      <c r="H64" s="3" t="str">
        <f>IF(Qn-F64-Ta&gt;2*ENT,"Fara E","Ok")</f>
        <v>Ok</v>
      </c>
    </row>
    <row r="65" spans="5:8" x14ac:dyDescent="0.25">
      <c r="E65">
        <v>53</v>
      </c>
      <c r="F65">
        <v>20.04</v>
      </c>
      <c r="G65" t="s">
        <v>140</v>
      </c>
      <c r="H65" s="3" t="str">
        <f>IF(Qn-F65-Ta&gt;2*ENT,"Fara E","Ok")</f>
        <v>Ok</v>
      </c>
    </row>
    <row r="66" spans="5:8" x14ac:dyDescent="0.25">
      <c r="E66">
        <v>54</v>
      </c>
      <c r="F66">
        <v>20</v>
      </c>
      <c r="G66"/>
      <c r="H66" s="3" t="str">
        <f>IF(Qn-F66-Ta&gt;2*ENT,"Fara E","Ok")</f>
        <v>Ok</v>
      </c>
    </row>
    <row r="67" spans="5:8" x14ac:dyDescent="0.25">
      <c r="E67">
        <v>55</v>
      </c>
      <c r="F67">
        <v>20.059999999999999</v>
      </c>
      <c r="G67" t="s">
        <v>141</v>
      </c>
      <c r="H67" s="3" t="str">
        <f>IF(Qn-F67-Ta&gt;2*ENT,"Fara E","Ok")</f>
        <v>Ok</v>
      </c>
    </row>
    <row r="68" spans="5:8" x14ac:dyDescent="0.25">
      <c r="E68">
        <v>56</v>
      </c>
      <c r="F68">
        <v>20.04</v>
      </c>
      <c r="G68" t="s">
        <v>142</v>
      </c>
      <c r="H68" s="3" t="str">
        <f>IF(Qn-F68-Ta&gt;2*ENT,"Fara E","Ok")</f>
        <v>Ok</v>
      </c>
    </row>
    <row r="69" spans="5:8" x14ac:dyDescent="0.25">
      <c r="E69">
        <v>57</v>
      </c>
      <c r="F69">
        <v>20</v>
      </c>
      <c r="G69"/>
      <c r="H69" s="3" t="str">
        <f>IF(Qn-F69-Ta&gt;2*ENT,"Fara E","Ok")</f>
        <v>Ok</v>
      </c>
    </row>
    <row r="70" spans="5:8" x14ac:dyDescent="0.25">
      <c r="E70">
        <v>58</v>
      </c>
      <c r="F70">
        <v>20</v>
      </c>
      <c r="G70"/>
      <c r="H70" s="3" t="str">
        <f>IF(Qn-F70-Ta&gt;2*ENT,"Fara E","Ok")</f>
        <v>Ok</v>
      </c>
    </row>
    <row r="71" spans="5:8" x14ac:dyDescent="0.25">
      <c r="E71">
        <v>59</v>
      </c>
      <c r="F71">
        <v>20.04</v>
      </c>
      <c r="G71" t="s">
        <v>143</v>
      </c>
      <c r="H71" s="3" t="str">
        <f>IF(Qn-F71-Ta&gt;2*ENT,"Fara E","Ok")</f>
        <v>Ok</v>
      </c>
    </row>
    <row r="72" spans="5:8" x14ac:dyDescent="0.25">
      <c r="E72">
        <v>60</v>
      </c>
      <c r="F72">
        <v>20.04</v>
      </c>
      <c r="G72" t="s">
        <v>144</v>
      </c>
      <c r="H72" s="3" t="str">
        <f>IF(Qn-F72-Ta&gt;2*ENT,"Fara E","Ok")</f>
        <v>Ok</v>
      </c>
    </row>
    <row r="73" spans="5:8" x14ac:dyDescent="0.25">
      <c r="E73">
        <v>61</v>
      </c>
      <c r="F73">
        <v>20</v>
      </c>
      <c r="G73"/>
      <c r="H73" s="3" t="str">
        <f>IF(Qn-F73-Ta&gt;2*ENT,"Fara E","Ok")</f>
        <v>Ok</v>
      </c>
    </row>
    <row r="74" spans="5:8" x14ac:dyDescent="0.25">
      <c r="E74">
        <v>62</v>
      </c>
      <c r="F74">
        <v>20</v>
      </c>
      <c r="G74"/>
      <c r="H74" s="3" t="str">
        <f>IF(Qn-F74-Ta&gt;2*ENT,"Fara E","Ok")</f>
        <v>Ok</v>
      </c>
    </row>
    <row r="75" spans="5:8" x14ac:dyDescent="0.25">
      <c r="E75">
        <v>63</v>
      </c>
      <c r="F75">
        <v>20.04</v>
      </c>
      <c r="G75" t="s">
        <v>145</v>
      </c>
      <c r="H75" s="3" t="str">
        <f>IF(Qn-F75-Ta&gt;2*ENT,"Fara E","Ok")</f>
        <v>Ok</v>
      </c>
    </row>
    <row r="76" spans="5:8" x14ac:dyDescent="0.25">
      <c r="E76">
        <v>64</v>
      </c>
      <c r="F76">
        <v>20.02</v>
      </c>
      <c r="G76" t="s">
        <v>146</v>
      </c>
      <c r="H76" s="3" t="str">
        <f>IF(Qn-F76-Ta&gt;2*ENT,"Fara E","Ok")</f>
        <v>Ok</v>
      </c>
    </row>
    <row r="77" spans="5:8" x14ac:dyDescent="0.25">
      <c r="E77">
        <v>65</v>
      </c>
      <c r="F77">
        <v>20</v>
      </c>
      <c r="G77"/>
      <c r="H77" s="3" t="str">
        <f>IF(Qn-F77-Ta&gt;2*ENT,"Fara E","Ok")</f>
        <v>Ok</v>
      </c>
    </row>
    <row r="78" spans="5:8" x14ac:dyDescent="0.25">
      <c r="E78">
        <v>66</v>
      </c>
      <c r="F78">
        <v>20.04</v>
      </c>
      <c r="G78" t="s">
        <v>147</v>
      </c>
      <c r="H78" s="3" t="str">
        <f>IF(Qn-F78-Ta&gt;2*ENT,"Fara E","Ok")</f>
        <v>Ok</v>
      </c>
    </row>
    <row r="79" spans="5:8" x14ac:dyDescent="0.25">
      <c r="E79">
        <v>67</v>
      </c>
      <c r="F79">
        <v>20.04</v>
      </c>
      <c r="G79" t="s">
        <v>148</v>
      </c>
      <c r="H79" s="3" t="str">
        <f>IF(Qn-F79-Ta&gt;2*ENT,"Fara E","Ok")</f>
        <v>Ok</v>
      </c>
    </row>
    <row r="80" spans="5:8" x14ac:dyDescent="0.25">
      <c r="E80">
        <v>68</v>
      </c>
      <c r="F80">
        <v>20</v>
      </c>
      <c r="G80" t="s">
        <v>149</v>
      </c>
      <c r="H80" s="3" t="str">
        <f>IF(Qn-F80-Ta&gt;2*ENT,"Fara E","Ok")</f>
        <v>Ok</v>
      </c>
    </row>
    <row r="81" spans="5:8" x14ac:dyDescent="0.25">
      <c r="E81">
        <v>69</v>
      </c>
      <c r="F81">
        <v>20.04</v>
      </c>
      <c r="G81" t="s">
        <v>150</v>
      </c>
      <c r="H81" s="3" t="str">
        <f>IF(Qn-F81-Ta&gt;2*ENT,"Fara E","Ok")</f>
        <v>Ok</v>
      </c>
    </row>
    <row r="82" spans="5:8" x14ac:dyDescent="0.25">
      <c r="E82">
        <v>70</v>
      </c>
      <c r="F82">
        <v>20.04</v>
      </c>
      <c r="G82" t="s">
        <v>151</v>
      </c>
      <c r="H82" s="3" t="str">
        <f>IF(Qn-F82-Ta&gt;2*ENT,"Fara E","Ok")</f>
        <v>Ok</v>
      </c>
    </row>
    <row r="83" spans="5:8" x14ac:dyDescent="0.25">
      <c r="E83">
        <v>71</v>
      </c>
      <c r="F83">
        <v>20.02</v>
      </c>
      <c r="G83" t="s">
        <v>152</v>
      </c>
      <c r="H83" s="3" t="str">
        <f>IF(Qn-F83-Ta&gt;2*ENT,"Fara E","Ok")</f>
        <v>Ok</v>
      </c>
    </row>
    <row r="84" spans="5:8" x14ac:dyDescent="0.25">
      <c r="E84">
        <v>72</v>
      </c>
      <c r="F84">
        <v>20.04</v>
      </c>
      <c r="G84" t="s">
        <v>153</v>
      </c>
      <c r="H84" s="3" t="str">
        <f>IF(Qn-F84-Ta&gt;2*ENT,"Fara E","Ok")</f>
        <v>Ok</v>
      </c>
    </row>
    <row r="85" spans="5:8" x14ac:dyDescent="0.25">
      <c r="E85">
        <v>73</v>
      </c>
      <c r="F85">
        <v>20.02</v>
      </c>
      <c r="G85" t="s">
        <v>154</v>
      </c>
      <c r="H85" s="3" t="str">
        <f>IF(Qn-F85-Ta&gt;2*ENT,"Fara E","Ok")</f>
        <v>Ok</v>
      </c>
    </row>
    <row r="86" spans="5:8" x14ac:dyDescent="0.25">
      <c r="E86">
        <v>74</v>
      </c>
      <c r="F86">
        <v>20</v>
      </c>
      <c r="G86" t="s">
        <v>155</v>
      </c>
      <c r="H86" s="3" t="str">
        <f>IF(Qn-F86-Ta&gt;2*ENT,"Fara E","Ok")</f>
        <v>Ok</v>
      </c>
    </row>
    <row r="87" spans="5:8" x14ac:dyDescent="0.25">
      <c r="E87">
        <v>75</v>
      </c>
      <c r="F87">
        <v>20</v>
      </c>
      <c r="G87" t="s">
        <v>156</v>
      </c>
      <c r="H87" s="3" t="str">
        <f>IF(Qn-F87-Ta&gt;2*ENT,"Fara E","Ok")</f>
        <v>Ok</v>
      </c>
    </row>
    <row r="88" spans="5:8" x14ac:dyDescent="0.25">
      <c r="E88">
        <v>76</v>
      </c>
      <c r="F88">
        <v>20.02</v>
      </c>
      <c r="G88" t="s">
        <v>157</v>
      </c>
      <c r="H88" s="3" t="str">
        <f>IF(Qn-F88-Ta&gt;2*ENT,"Fara E","Ok")</f>
        <v>Ok</v>
      </c>
    </row>
    <row r="89" spans="5:8" x14ac:dyDescent="0.25">
      <c r="E89">
        <v>77</v>
      </c>
      <c r="F89">
        <v>20</v>
      </c>
      <c r="G89"/>
      <c r="H89" s="3" t="str">
        <f>IF(Qn-F89-Ta&gt;2*ENT,"Fara E","Ok")</f>
        <v>Ok</v>
      </c>
    </row>
    <row r="90" spans="5:8" x14ac:dyDescent="0.25">
      <c r="E90">
        <v>78</v>
      </c>
      <c r="F90">
        <v>20.02</v>
      </c>
      <c r="G90" t="s">
        <v>158</v>
      </c>
      <c r="H90" s="3" t="str">
        <f>IF(Qn-F90-Ta&gt;2*ENT,"Fara E","Ok")</f>
        <v>Ok</v>
      </c>
    </row>
    <row r="91" spans="5:8" x14ac:dyDescent="0.25">
      <c r="E91">
        <v>79</v>
      </c>
      <c r="F91">
        <v>20.02</v>
      </c>
      <c r="G91" t="s">
        <v>159</v>
      </c>
      <c r="H91" s="3" t="str">
        <f>IF(Qn-F91-Ta&gt;2*ENT,"Fara E","Ok")</f>
        <v>Ok</v>
      </c>
    </row>
    <row r="92" spans="5:8" x14ac:dyDescent="0.25">
      <c r="E92">
        <v>80</v>
      </c>
      <c r="F92">
        <v>20</v>
      </c>
      <c r="G92" t="s">
        <v>160</v>
      </c>
      <c r="H92" s="3" t="str">
        <f>IF(Qn-F92-Ta&gt;2*ENT,"Fara E","Ok")</f>
        <v>Ok</v>
      </c>
    </row>
    <row r="93" spans="5:8" x14ac:dyDescent="0.25">
      <c r="E93">
        <v>81</v>
      </c>
      <c r="F93">
        <v>20</v>
      </c>
      <c r="G93" t="s">
        <v>161</v>
      </c>
      <c r="H93" s="3" t="str">
        <f>IF(Qn-F93-Ta&gt;2*ENT,"Fara E","Ok")</f>
        <v>Ok</v>
      </c>
    </row>
    <row r="94" spans="5:8" x14ac:dyDescent="0.25">
      <c r="E94">
        <v>82</v>
      </c>
      <c r="F94">
        <v>20</v>
      </c>
      <c r="G94"/>
      <c r="H94" s="3" t="str">
        <f>IF(Qn-F94-Ta&gt;2*ENT,"Fara E","Ok")</f>
        <v>Ok</v>
      </c>
    </row>
    <row r="95" spans="5:8" x14ac:dyDescent="0.25">
      <c r="E95">
        <v>83</v>
      </c>
      <c r="F95">
        <v>20</v>
      </c>
      <c r="G95" t="s">
        <v>162</v>
      </c>
      <c r="H95" s="3" t="str">
        <f>IF(Qn-F95-Ta&gt;2*ENT,"Fara E","Ok")</f>
        <v>Ok</v>
      </c>
    </row>
    <row r="96" spans="5:8" x14ac:dyDescent="0.25">
      <c r="E96">
        <v>84</v>
      </c>
      <c r="F96">
        <v>20.02</v>
      </c>
      <c r="G96" t="s">
        <v>163</v>
      </c>
      <c r="H96" s="3" t="str">
        <f>IF(Qn-F96-Ta&gt;2*ENT,"Fara E","Ok")</f>
        <v>Ok</v>
      </c>
    </row>
    <row r="97" spans="5:8" x14ac:dyDescent="0.25">
      <c r="E97">
        <v>85</v>
      </c>
      <c r="F97">
        <v>20.059999999999999</v>
      </c>
      <c r="G97" t="s">
        <v>164</v>
      </c>
      <c r="H97" s="3" t="str">
        <f>IF(Qn-F97-Ta&gt;2*ENT,"Fara E","Ok")</f>
        <v>Ok</v>
      </c>
    </row>
    <row r="98" spans="5:8" x14ac:dyDescent="0.25">
      <c r="E98">
        <v>86</v>
      </c>
      <c r="F98">
        <v>20.059999999999999</v>
      </c>
      <c r="G98" t="s">
        <v>165</v>
      </c>
      <c r="H98" s="3" t="str">
        <f>IF(Qn-F98-Ta&gt;2*ENT,"Fara E","Ok")</f>
        <v>Ok</v>
      </c>
    </row>
    <row r="99" spans="5:8" x14ac:dyDescent="0.25">
      <c r="E99">
        <v>87</v>
      </c>
      <c r="F99">
        <v>20.059999999999999</v>
      </c>
      <c r="G99" t="s">
        <v>166</v>
      </c>
      <c r="H99" s="3" t="str">
        <f>IF(Qn-F99-Ta&gt;2*ENT,"Fara E","Ok")</f>
        <v>Ok</v>
      </c>
    </row>
    <row r="100" spans="5:8" x14ac:dyDescent="0.25">
      <c r="E100">
        <v>88</v>
      </c>
      <c r="F100">
        <v>20.04</v>
      </c>
      <c r="G100" t="s">
        <v>167</v>
      </c>
      <c r="H100" s="3" t="str">
        <f>IF(Qn-F100-Ta&gt;2*ENT,"Fara E","Ok")</f>
        <v>Ok</v>
      </c>
    </row>
    <row r="101" spans="5:8" x14ac:dyDescent="0.25">
      <c r="E101">
        <v>89</v>
      </c>
      <c r="F101">
        <v>20</v>
      </c>
      <c r="G101" t="s">
        <v>168</v>
      </c>
      <c r="H101" s="3" t="str">
        <f>IF(Qn-F101-Ta&gt;2*ENT,"Fara E","Ok")</f>
        <v>Ok</v>
      </c>
    </row>
    <row r="102" spans="5:8" x14ac:dyDescent="0.25">
      <c r="E102">
        <v>90</v>
      </c>
      <c r="F102">
        <v>20.02</v>
      </c>
      <c r="G102" t="s">
        <v>169</v>
      </c>
      <c r="H102" s="3" t="str">
        <f>IF(Qn-F102-Ta&gt;2*ENT,"Fara E","Ok")</f>
        <v>Ok</v>
      </c>
    </row>
    <row r="103" spans="5:8" x14ac:dyDescent="0.25">
      <c r="E103">
        <v>91</v>
      </c>
      <c r="F103">
        <v>20</v>
      </c>
      <c r="G103" t="s">
        <v>170</v>
      </c>
      <c r="H103" s="3" t="str">
        <f>IF(Qn-F103-Ta&gt;2*ENT,"Fara E","Ok")</f>
        <v>Ok</v>
      </c>
    </row>
    <row r="104" spans="5:8" x14ac:dyDescent="0.25">
      <c r="E104">
        <v>92</v>
      </c>
      <c r="F104">
        <v>20.04</v>
      </c>
      <c r="G104" t="s">
        <v>171</v>
      </c>
      <c r="H104" s="3" t="str">
        <f>IF(Qn-F104-Ta&gt;2*ENT,"Fara E","Ok")</f>
        <v>Ok</v>
      </c>
    </row>
    <row r="105" spans="5:8" x14ac:dyDescent="0.25">
      <c r="E105">
        <v>93</v>
      </c>
      <c r="F105">
        <v>20.04</v>
      </c>
      <c r="G105" t="s">
        <v>172</v>
      </c>
      <c r="H105" s="3" t="str">
        <f>IF(Qn-F105-Ta&gt;2*ENT,"Fara E","Ok")</f>
        <v>Ok</v>
      </c>
    </row>
    <row r="106" spans="5:8" x14ac:dyDescent="0.25">
      <c r="E106">
        <v>94</v>
      </c>
      <c r="F106">
        <v>20.02</v>
      </c>
      <c r="G106" t="s">
        <v>173</v>
      </c>
      <c r="H106" s="3" t="str">
        <f>IF(Qn-F106-Ta&gt;2*ENT,"Fara E","Ok")</f>
        <v>Ok</v>
      </c>
    </row>
    <row r="107" spans="5:8" x14ac:dyDescent="0.25">
      <c r="E107">
        <v>95</v>
      </c>
      <c r="F107">
        <v>20</v>
      </c>
      <c r="G107" t="s">
        <v>174</v>
      </c>
      <c r="H107" s="3" t="str">
        <f>IF(Qn-F107-Ta&gt;2*ENT,"Fara E","Ok")</f>
        <v>Ok</v>
      </c>
    </row>
    <row r="108" spans="5:8" x14ac:dyDescent="0.25">
      <c r="E108">
        <v>96</v>
      </c>
      <c r="F108">
        <v>20.02</v>
      </c>
      <c r="G108" t="s">
        <v>175</v>
      </c>
      <c r="H108" s="3" t="str">
        <f>IF(Qn-F108-Ta&gt;2*ENT,"Fara E","Ok")</f>
        <v>Ok</v>
      </c>
    </row>
    <row r="109" spans="5:8" x14ac:dyDescent="0.25">
      <c r="E109">
        <v>97</v>
      </c>
      <c r="F109">
        <v>20</v>
      </c>
      <c r="G109" t="s">
        <v>176</v>
      </c>
      <c r="H109" s="3" t="str">
        <f>IF(Qn-F109-Ta&gt;2*ENT,"Fara E","Ok")</f>
        <v>Ok</v>
      </c>
    </row>
    <row r="110" spans="5:8" x14ac:dyDescent="0.25">
      <c r="E110">
        <v>98</v>
      </c>
      <c r="F110">
        <v>20.02</v>
      </c>
      <c r="G110" t="s">
        <v>177</v>
      </c>
      <c r="H110" s="3" t="str">
        <f>IF(Qn-F110-Ta&gt;2*ENT,"Fara E","Ok")</f>
        <v>Ok</v>
      </c>
    </row>
    <row r="111" spans="5:8" x14ac:dyDescent="0.25">
      <c r="E111">
        <v>99</v>
      </c>
      <c r="F111">
        <v>20</v>
      </c>
      <c r="G111" t="s">
        <v>178</v>
      </c>
      <c r="H111" s="3" t="str">
        <f>IF(Qn-F111-Ta&gt;2*ENT,"Fara E","Ok")</f>
        <v>Ok</v>
      </c>
    </row>
    <row r="112" spans="5:8" x14ac:dyDescent="0.25">
      <c r="E112">
        <v>100</v>
      </c>
      <c r="F112">
        <v>20.02</v>
      </c>
      <c r="G112" t="s">
        <v>179</v>
      </c>
      <c r="H112" s="3" t="str">
        <f>IF(Qn-F112-Ta&gt;2*ENT,"Fara E","Ok")</f>
        <v>Ok</v>
      </c>
    </row>
    <row r="113" spans="5:8" x14ac:dyDescent="0.25">
      <c r="E113">
        <v>101</v>
      </c>
      <c r="F113">
        <v>20.04</v>
      </c>
      <c r="G113" t="s">
        <v>180</v>
      </c>
      <c r="H113" s="3" t="str">
        <f>IF(Qn-F113-Ta&gt;2*ENT,"Fara E","Ok")</f>
        <v>Ok</v>
      </c>
    </row>
    <row r="114" spans="5:8" x14ac:dyDescent="0.25">
      <c r="E114">
        <v>102</v>
      </c>
      <c r="F114">
        <v>20.02</v>
      </c>
      <c r="G114" t="s">
        <v>181</v>
      </c>
      <c r="H114" s="3" t="str">
        <f>IF(Qn-F114-Ta&gt;2*ENT,"Fara E","Ok")</f>
        <v>Ok</v>
      </c>
    </row>
    <row r="115" spans="5:8" x14ac:dyDescent="0.25">
      <c r="E115">
        <v>103</v>
      </c>
      <c r="F115">
        <v>20</v>
      </c>
      <c r="G115" t="s">
        <v>182</v>
      </c>
      <c r="H115" s="3" t="str">
        <f>IF(Qn-F115-Ta&gt;2*ENT,"Fara E","Ok")</f>
        <v>Ok</v>
      </c>
    </row>
    <row r="116" spans="5:8" x14ac:dyDescent="0.25">
      <c r="E116">
        <v>104</v>
      </c>
      <c r="F116">
        <v>20.02</v>
      </c>
      <c r="G116" t="s">
        <v>183</v>
      </c>
      <c r="H116" s="3" t="str">
        <f>IF(Qn-F116-Ta&gt;2*ENT,"Fara E","Ok")</f>
        <v>Ok</v>
      </c>
    </row>
    <row r="117" spans="5:8" x14ac:dyDescent="0.25">
      <c r="E117">
        <v>105</v>
      </c>
      <c r="F117">
        <v>20.04</v>
      </c>
      <c r="G117" t="s">
        <v>184</v>
      </c>
      <c r="H117" s="3" t="str">
        <f>IF(Qn-F117-Ta&gt;2*ENT,"Fara E","Ok")</f>
        <v>Ok</v>
      </c>
    </row>
    <row r="118" spans="5:8" x14ac:dyDescent="0.25">
      <c r="E118">
        <v>106</v>
      </c>
      <c r="F118">
        <v>20.02</v>
      </c>
      <c r="G118" t="s">
        <v>185</v>
      </c>
      <c r="H118" s="3" t="str">
        <f>IF(Qn-F118-Ta&gt;2*ENT,"Fara E","Ok")</f>
        <v>Ok</v>
      </c>
    </row>
    <row r="119" spans="5:8" x14ac:dyDescent="0.25">
      <c r="E119">
        <v>107</v>
      </c>
      <c r="F119">
        <v>20.04</v>
      </c>
      <c r="G119" t="s">
        <v>186</v>
      </c>
      <c r="H119" s="3" t="str">
        <f>IF(Qn-F119-Ta&gt;2*ENT,"Fara E","Ok")</f>
        <v>Ok</v>
      </c>
    </row>
    <row r="120" spans="5:8" x14ac:dyDescent="0.25">
      <c r="E120">
        <v>108</v>
      </c>
      <c r="F120">
        <v>20.04</v>
      </c>
      <c r="G120" t="s">
        <v>187</v>
      </c>
      <c r="H120" s="3" t="str">
        <f>IF(Qn-F120-Ta&gt;2*ENT,"Fara E","Ok")</f>
        <v>Ok</v>
      </c>
    </row>
    <row r="121" spans="5:8" x14ac:dyDescent="0.25">
      <c r="E121">
        <v>109</v>
      </c>
      <c r="F121">
        <v>20.04</v>
      </c>
      <c r="G121" t="s">
        <v>188</v>
      </c>
      <c r="H121" s="3" t="str">
        <f>IF(Qn-F121-Ta&gt;2*ENT,"Fara E","Ok")</f>
        <v>Ok</v>
      </c>
    </row>
    <row r="122" spans="5:8" x14ac:dyDescent="0.25">
      <c r="E122">
        <v>110</v>
      </c>
      <c r="F122">
        <v>20.04</v>
      </c>
      <c r="G122" t="s">
        <v>189</v>
      </c>
      <c r="H122" s="3" t="str">
        <f>IF(Qn-F122-Ta&gt;2*ENT,"Fara E","Ok")</f>
        <v>Ok</v>
      </c>
    </row>
    <row r="123" spans="5:8" x14ac:dyDescent="0.25">
      <c r="E123">
        <v>111</v>
      </c>
      <c r="F123">
        <v>20</v>
      </c>
      <c r="G123" t="s">
        <v>190</v>
      </c>
      <c r="H123" s="3" t="str">
        <f>IF(Qn-F123-Ta&gt;2*ENT,"Fara E","Ok")</f>
        <v>Ok</v>
      </c>
    </row>
    <row r="124" spans="5:8" x14ac:dyDescent="0.25">
      <c r="E124">
        <v>112</v>
      </c>
      <c r="F124">
        <v>20.059999999999999</v>
      </c>
      <c r="G124" t="s">
        <v>191</v>
      </c>
      <c r="H124" s="3" t="str">
        <f>IF(Qn-F124-Ta&gt;2*ENT,"Fara E","Ok")</f>
        <v>Ok</v>
      </c>
    </row>
    <row r="125" spans="5:8" x14ac:dyDescent="0.25">
      <c r="E125">
        <v>113</v>
      </c>
      <c r="F125">
        <v>20.059999999999999</v>
      </c>
      <c r="G125" t="s">
        <v>192</v>
      </c>
      <c r="H125" s="3" t="str">
        <f>IF(Qn-F125-Ta&gt;2*ENT,"Fara E","Ok")</f>
        <v>Ok</v>
      </c>
    </row>
    <row r="126" spans="5:8" x14ac:dyDescent="0.25">
      <c r="E126">
        <v>114</v>
      </c>
      <c r="F126">
        <v>20.02</v>
      </c>
      <c r="G126" t="s">
        <v>193</v>
      </c>
      <c r="H126" s="3" t="str">
        <f>IF(Qn-F126-Ta&gt;2*ENT,"Fara E","Ok")</f>
        <v>Ok</v>
      </c>
    </row>
    <row r="127" spans="5:8" x14ac:dyDescent="0.25">
      <c r="E127">
        <v>115</v>
      </c>
      <c r="F127">
        <v>20.059999999999999</v>
      </c>
      <c r="G127" t="s">
        <v>194</v>
      </c>
      <c r="H127" s="3" t="str">
        <f>IF(Qn-F127-Ta&gt;2*ENT,"Fara E","Ok")</f>
        <v>Ok</v>
      </c>
    </row>
    <row r="128" spans="5:8" x14ac:dyDescent="0.25">
      <c r="E128">
        <v>116</v>
      </c>
      <c r="F128">
        <v>20</v>
      </c>
      <c r="G128" t="s">
        <v>195</v>
      </c>
      <c r="H128" s="3" t="str">
        <f>IF(Qn-F128-Ta&gt;2*ENT,"Fara E","Ok")</f>
        <v>Ok</v>
      </c>
    </row>
    <row r="129" spans="5:8" x14ac:dyDescent="0.25">
      <c r="E129">
        <v>117</v>
      </c>
      <c r="F129">
        <v>20</v>
      </c>
      <c r="G129"/>
      <c r="H129" s="3" t="str">
        <f>IF(Qn-F129-Ta&gt;2*ENT,"Fara E","Ok")</f>
        <v>Ok</v>
      </c>
    </row>
    <row r="130" spans="5:8" x14ac:dyDescent="0.25">
      <c r="E130">
        <v>118</v>
      </c>
      <c r="F130">
        <v>20.04</v>
      </c>
      <c r="G130" t="s">
        <v>196</v>
      </c>
      <c r="H130" s="3" t="str">
        <f>IF(Qn-F130-Ta&gt;2*ENT,"Fara E","Ok")</f>
        <v>Ok</v>
      </c>
    </row>
    <row r="131" spans="5:8" x14ac:dyDescent="0.25">
      <c r="E131">
        <v>119</v>
      </c>
      <c r="F131">
        <v>20</v>
      </c>
      <c r="G131" t="s">
        <v>197</v>
      </c>
      <c r="H131" s="3" t="str">
        <f>IF(Qn-F131-Ta&gt;2*ENT,"Fara E","Ok")</f>
        <v>Ok</v>
      </c>
    </row>
    <row r="132" spans="5:8" x14ac:dyDescent="0.25">
      <c r="E132">
        <v>120</v>
      </c>
      <c r="F132">
        <v>20.04</v>
      </c>
      <c r="G132" t="s">
        <v>198</v>
      </c>
      <c r="H132" s="3" t="str">
        <f>IF(Qn-F132-Ta&gt;2*ENT,"Fara E","Ok")</f>
        <v>Ok</v>
      </c>
    </row>
    <row r="133" spans="5:8" x14ac:dyDescent="0.25">
      <c r="E133">
        <v>121</v>
      </c>
      <c r="F133">
        <v>20.059999999999999</v>
      </c>
      <c r="G133" t="s">
        <v>199</v>
      </c>
      <c r="H133" s="3" t="str">
        <f>IF(Qn-F133-Ta&gt;2*ENT,"Fara E","Ok")</f>
        <v>Ok</v>
      </c>
    </row>
    <row r="134" spans="5:8" x14ac:dyDescent="0.25">
      <c r="E134">
        <v>122</v>
      </c>
      <c r="F134">
        <v>20</v>
      </c>
      <c r="G134" t="s">
        <v>200</v>
      </c>
      <c r="H134" s="3" t="str">
        <f>IF(Qn-F134-Ta&gt;2*ENT,"Fara E","Ok")</f>
        <v>Ok</v>
      </c>
    </row>
    <row r="135" spans="5:8" x14ac:dyDescent="0.25">
      <c r="E135">
        <v>123</v>
      </c>
      <c r="F135">
        <v>20.02</v>
      </c>
      <c r="G135" t="s">
        <v>201</v>
      </c>
      <c r="H135" s="3" t="str">
        <f>IF(Qn-F135-Ta&gt;2*ENT,"Fara E","Ok")</f>
        <v>Ok</v>
      </c>
    </row>
    <row r="136" spans="5:8" x14ac:dyDescent="0.25">
      <c r="E136">
        <v>124</v>
      </c>
      <c r="F136">
        <v>20.02</v>
      </c>
      <c r="G136" t="s">
        <v>202</v>
      </c>
      <c r="H136" s="3" t="str">
        <f>IF(Qn-F136-Ta&gt;2*ENT,"Fara E","Ok")</f>
        <v>Ok</v>
      </c>
    </row>
    <row r="137" spans="5:8" x14ac:dyDescent="0.25">
      <c r="E137">
        <v>125</v>
      </c>
      <c r="F137">
        <v>20.02</v>
      </c>
      <c r="G137" t="s">
        <v>203</v>
      </c>
      <c r="H137" s="3" t="str">
        <f>IF(Qn-F137-Ta&gt;2*ENT,"Fara E","Ok")</f>
        <v>Ok</v>
      </c>
    </row>
    <row r="138" spans="5:8" x14ac:dyDescent="0.25">
      <c r="E138">
        <v>126</v>
      </c>
      <c r="F138">
        <v>20</v>
      </c>
      <c r="G138" t="s">
        <v>204</v>
      </c>
      <c r="H138" s="3" t="str">
        <f>IF(Qn-F138-Ta&gt;2*ENT,"Fara E","Ok")</f>
        <v>Ok</v>
      </c>
    </row>
    <row r="139" spans="5:8" x14ac:dyDescent="0.25">
      <c r="E139">
        <v>127</v>
      </c>
      <c r="F139">
        <v>20.04</v>
      </c>
      <c r="G139" t="s">
        <v>205</v>
      </c>
      <c r="H139" s="3" t="str">
        <f>IF(Qn-F139-Ta&gt;2*ENT,"Fara E","Ok")</f>
        <v>Ok</v>
      </c>
    </row>
    <row r="140" spans="5:8" x14ac:dyDescent="0.25">
      <c r="E140">
        <v>128</v>
      </c>
      <c r="F140">
        <v>20.02</v>
      </c>
      <c r="G140" t="s">
        <v>206</v>
      </c>
      <c r="H140" s="3" t="str">
        <f>IF(Qn-F140-Ta&gt;2*ENT,"Fara E","Ok")</f>
        <v>Ok</v>
      </c>
    </row>
    <row r="141" spans="5:8" x14ac:dyDescent="0.25">
      <c r="E141">
        <v>129</v>
      </c>
      <c r="F141">
        <v>20.02</v>
      </c>
      <c r="G141" t="s">
        <v>207</v>
      </c>
      <c r="H141" s="3" t="str">
        <f>IF(Qn-F141-Ta&gt;2*ENT,"Fara E","Ok")</f>
        <v>Ok</v>
      </c>
    </row>
    <row r="142" spans="5:8" x14ac:dyDescent="0.25">
      <c r="E142">
        <v>130</v>
      </c>
      <c r="F142">
        <v>20.04</v>
      </c>
      <c r="G142" t="s">
        <v>208</v>
      </c>
      <c r="H142" s="3" t="str">
        <f>IF(Qn-F142-Ta&gt;2*ENT,"Fara E","Ok")</f>
        <v>Ok</v>
      </c>
    </row>
    <row r="143" spans="5:8" x14ac:dyDescent="0.25">
      <c r="E143">
        <v>131</v>
      </c>
      <c r="F143">
        <v>20.02</v>
      </c>
      <c r="G143" t="s">
        <v>209</v>
      </c>
      <c r="H143" s="3" t="str">
        <f>IF(Qn-F143-Ta&gt;2*ENT,"Fara E","Ok")</f>
        <v>Ok</v>
      </c>
    </row>
    <row r="144" spans="5:8" x14ac:dyDescent="0.25">
      <c r="E144">
        <v>132</v>
      </c>
      <c r="F144">
        <v>20.04</v>
      </c>
      <c r="G144" t="s">
        <v>210</v>
      </c>
      <c r="H144" s="3" t="str">
        <f>IF(Qn-F144-Ta&gt;2*ENT,"Fara E","Ok")</f>
        <v>Ok</v>
      </c>
    </row>
    <row r="145" spans="5:8" x14ac:dyDescent="0.25">
      <c r="E145">
        <v>133</v>
      </c>
      <c r="F145">
        <v>20</v>
      </c>
      <c r="G145" t="s">
        <v>211</v>
      </c>
      <c r="H145" s="3" t="str">
        <f>IF(Qn-F145-Ta&gt;2*ENT,"Fara E","Ok")</f>
        <v>Ok</v>
      </c>
    </row>
    <row r="146" spans="5:8" x14ac:dyDescent="0.25">
      <c r="E146">
        <v>134</v>
      </c>
      <c r="F146">
        <v>20</v>
      </c>
      <c r="G146" t="s">
        <v>212</v>
      </c>
      <c r="H146" s="3" t="str">
        <f>IF(Qn-F146-Ta&gt;2*ENT,"Fara E","Ok")</f>
        <v>Ok</v>
      </c>
    </row>
    <row r="147" spans="5:8" x14ac:dyDescent="0.25">
      <c r="E147">
        <v>135</v>
      </c>
      <c r="F147">
        <v>20</v>
      </c>
      <c r="G147" t="s">
        <v>213</v>
      </c>
      <c r="H147" s="3" t="str">
        <f>IF(Qn-F147-Ta&gt;2*ENT,"Fara E","Ok")</f>
        <v>Ok</v>
      </c>
    </row>
    <row r="148" spans="5:8" x14ac:dyDescent="0.25">
      <c r="E148">
        <v>136</v>
      </c>
      <c r="F148">
        <v>20.04</v>
      </c>
      <c r="G148" t="s">
        <v>214</v>
      </c>
      <c r="H148" s="3" t="str">
        <f>IF(Qn-F148-Ta&gt;2*ENT,"Fara E","Ok")</f>
        <v>Ok</v>
      </c>
    </row>
    <row r="149" spans="5:8" x14ac:dyDescent="0.25">
      <c r="E149">
        <v>137</v>
      </c>
      <c r="F149">
        <v>20</v>
      </c>
      <c r="G149" t="s">
        <v>215</v>
      </c>
      <c r="H149" s="3" t="str">
        <f>IF(Qn-F149-Ta&gt;2*ENT,"Fara E","Ok")</f>
        <v>Ok</v>
      </c>
    </row>
    <row r="150" spans="5:8" x14ac:dyDescent="0.25">
      <c r="E150">
        <v>138</v>
      </c>
      <c r="F150">
        <v>20</v>
      </c>
      <c r="G150"/>
      <c r="H150" s="3" t="str">
        <f>IF(Qn-F150-Ta&gt;2*ENT,"Fara E","Ok")</f>
        <v>Ok</v>
      </c>
    </row>
    <row r="151" spans="5:8" x14ac:dyDescent="0.25">
      <c r="E151">
        <v>139</v>
      </c>
      <c r="F151">
        <v>20.02</v>
      </c>
      <c r="G151" t="s">
        <v>216</v>
      </c>
      <c r="H151" s="3" t="str">
        <f>IF(Qn-F151-Ta&gt;2*ENT,"Fara E","Ok")</f>
        <v>Ok</v>
      </c>
    </row>
    <row r="152" spans="5:8" x14ac:dyDescent="0.25">
      <c r="E152">
        <v>140</v>
      </c>
      <c r="F152">
        <v>20</v>
      </c>
      <c r="G152" t="s">
        <v>217</v>
      </c>
      <c r="H152" s="3" t="str">
        <f>IF(Qn-F152-Ta&gt;2*ENT,"Fara E","Ok")</f>
        <v>Ok</v>
      </c>
    </row>
    <row r="153" spans="5:8" x14ac:dyDescent="0.25">
      <c r="E153">
        <v>141</v>
      </c>
      <c r="F153">
        <v>20.04</v>
      </c>
      <c r="G153" t="s">
        <v>218</v>
      </c>
      <c r="H153" s="3" t="str">
        <f>IF(Qn-F153-Ta&gt;2*ENT,"Fara E","Ok")</f>
        <v>Ok</v>
      </c>
    </row>
    <row r="154" spans="5:8" x14ac:dyDescent="0.25">
      <c r="E154">
        <v>142</v>
      </c>
      <c r="F154">
        <v>20.02</v>
      </c>
      <c r="G154" t="s">
        <v>219</v>
      </c>
      <c r="H154" s="3" t="str">
        <f>IF(Qn-F154-Ta&gt;2*ENT,"Fara E","Ok")</f>
        <v>Ok</v>
      </c>
    </row>
    <row r="155" spans="5:8" x14ac:dyDescent="0.25">
      <c r="E155">
        <v>143</v>
      </c>
      <c r="F155">
        <v>20.04</v>
      </c>
      <c r="G155" t="s">
        <v>220</v>
      </c>
      <c r="H155" s="3" t="str">
        <f>IF(Qn-F155-Ta&gt;2*ENT,"Fara E","Ok")</f>
        <v>Ok</v>
      </c>
    </row>
    <row r="156" spans="5:8" x14ac:dyDescent="0.25">
      <c r="E156">
        <v>144</v>
      </c>
      <c r="F156">
        <v>20.02</v>
      </c>
      <c r="G156" t="s">
        <v>221</v>
      </c>
      <c r="H156" s="3" t="str">
        <f>IF(Qn-F156-Ta&gt;2*ENT,"Fara E","Ok")</f>
        <v>Ok</v>
      </c>
    </row>
    <row r="157" spans="5:8" x14ac:dyDescent="0.25">
      <c r="E157">
        <v>145</v>
      </c>
      <c r="F157">
        <v>20.02</v>
      </c>
      <c r="G157" t="s">
        <v>222</v>
      </c>
      <c r="H157" s="3" t="str">
        <f>IF(Qn-F157-Ta&gt;2*ENT,"Fara E","Ok")</f>
        <v>Ok</v>
      </c>
    </row>
    <row r="158" spans="5:8" x14ac:dyDescent="0.25">
      <c r="E158">
        <v>146</v>
      </c>
      <c r="F158">
        <v>20.02</v>
      </c>
      <c r="G158" t="s">
        <v>223</v>
      </c>
      <c r="H158" s="3" t="str">
        <f>IF(Qn-F158-Ta&gt;2*ENT,"Fara E","Ok")</f>
        <v>Ok</v>
      </c>
    </row>
    <row r="159" spans="5:8" x14ac:dyDescent="0.25">
      <c r="E159">
        <v>147</v>
      </c>
      <c r="F159">
        <v>20.02</v>
      </c>
      <c r="G159" t="s">
        <v>224</v>
      </c>
      <c r="H159" s="3" t="str">
        <f>IF(Qn-F159-Ta&gt;2*ENT,"Fara E","Ok")</f>
        <v>Ok</v>
      </c>
    </row>
    <row r="160" spans="5:8" x14ac:dyDescent="0.25">
      <c r="E160">
        <v>148</v>
      </c>
      <c r="F160">
        <v>20.02</v>
      </c>
      <c r="G160" t="s">
        <v>225</v>
      </c>
      <c r="H160" s="3" t="str">
        <f>IF(Qn-F160-Ta&gt;2*ENT,"Fara E","Ok")</f>
        <v>Ok</v>
      </c>
    </row>
    <row r="161" spans="5:8" x14ac:dyDescent="0.25">
      <c r="E161">
        <v>149</v>
      </c>
      <c r="F161">
        <v>20</v>
      </c>
      <c r="G161" t="s">
        <v>226</v>
      </c>
      <c r="H161" s="3" t="str">
        <f>IF(Qn-F161-Ta&gt;2*ENT,"Fara E","Ok")</f>
        <v>Ok</v>
      </c>
    </row>
    <row r="162" spans="5:8" x14ac:dyDescent="0.25">
      <c r="E162">
        <v>150</v>
      </c>
      <c r="F162">
        <v>20.02</v>
      </c>
      <c r="G162" t="s">
        <v>227</v>
      </c>
      <c r="H162" s="3" t="str">
        <f>IF(Qn-F162-Ta&gt;2*ENT,"Fara E","Ok")</f>
        <v>Ok</v>
      </c>
    </row>
    <row r="163" spans="5:8" x14ac:dyDescent="0.25">
      <c r="E163">
        <v>151</v>
      </c>
      <c r="F163">
        <v>20</v>
      </c>
      <c r="G163" t="s">
        <v>228</v>
      </c>
      <c r="H163" s="3" t="str">
        <f>IF(Qn-F163-Ta&gt;2*ENT,"Fara E","Ok")</f>
        <v>Ok</v>
      </c>
    </row>
    <row r="164" spans="5:8" x14ac:dyDescent="0.25">
      <c r="E164">
        <v>152</v>
      </c>
      <c r="F164">
        <v>20.02</v>
      </c>
      <c r="G164" t="s">
        <v>229</v>
      </c>
      <c r="H164" s="3" t="str">
        <f>IF(Qn-F164-Ta&gt;2*ENT,"Fara E","Ok")</f>
        <v>Ok</v>
      </c>
    </row>
    <row r="165" spans="5:8" x14ac:dyDescent="0.25">
      <c r="E165">
        <v>153</v>
      </c>
      <c r="F165">
        <v>20</v>
      </c>
      <c r="G165" t="s">
        <v>230</v>
      </c>
      <c r="H165" s="3" t="str">
        <f>IF(Qn-F165-Ta&gt;2*ENT,"Fara E","Ok")</f>
        <v>Ok</v>
      </c>
    </row>
    <row r="166" spans="5:8" x14ac:dyDescent="0.25">
      <c r="E166">
        <v>154</v>
      </c>
      <c r="F166">
        <v>20.059999999999999</v>
      </c>
      <c r="G166" t="s">
        <v>231</v>
      </c>
      <c r="H166" s="3" t="str">
        <f>IF(Qn-F166-Ta&gt;2*ENT,"Fara E","Ok")</f>
        <v>Ok</v>
      </c>
    </row>
    <row r="167" spans="5:8" x14ac:dyDescent="0.25">
      <c r="E167">
        <v>155</v>
      </c>
      <c r="F167">
        <v>20.02</v>
      </c>
      <c r="G167" t="s">
        <v>232</v>
      </c>
      <c r="H167" s="3" t="str">
        <f>IF(Qn-F167-Ta&gt;2*ENT,"Fara E","Ok")</f>
        <v>Ok</v>
      </c>
    </row>
    <row r="168" spans="5:8" x14ac:dyDescent="0.25">
      <c r="E168">
        <v>156</v>
      </c>
      <c r="F168">
        <v>20.02</v>
      </c>
      <c r="G168" t="s">
        <v>233</v>
      </c>
      <c r="H168" s="3" t="str">
        <f>IF(Qn-F168-Ta&gt;2*ENT,"Fara E","Ok")</f>
        <v>Ok</v>
      </c>
    </row>
    <row r="169" spans="5:8" x14ac:dyDescent="0.25">
      <c r="E169">
        <v>157</v>
      </c>
      <c r="F169">
        <v>20.04</v>
      </c>
      <c r="G169" t="s">
        <v>234</v>
      </c>
      <c r="H169" s="3" t="str">
        <f>IF(Qn-F169-Ta&gt;2*ENT,"Fara E","Ok")</f>
        <v>Ok</v>
      </c>
    </row>
    <row r="170" spans="5:8" x14ac:dyDescent="0.25">
      <c r="E170">
        <v>158</v>
      </c>
      <c r="F170">
        <v>20.02</v>
      </c>
      <c r="G170" t="s">
        <v>235</v>
      </c>
      <c r="H170" s="3" t="str">
        <f>IF(Qn-F170-Ta&gt;2*ENT,"Fara E","Ok")</f>
        <v>Ok</v>
      </c>
    </row>
    <row r="171" spans="5:8" x14ac:dyDescent="0.25">
      <c r="E171">
        <v>159</v>
      </c>
      <c r="F171">
        <v>20</v>
      </c>
      <c r="G171" t="s">
        <v>236</v>
      </c>
      <c r="H171" s="3" t="str">
        <f>IF(Qn-F171-Ta&gt;2*ENT,"Fara E","Ok")</f>
        <v>Ok</v>
      </c>
    </row>
    <row r="172" spans="5:8" x14ac:dyDescent="0.25">
      <c r="E172">
        <v>160</v>
      </c>
      <c r="F172">
        <v>20.02</v>
      </c>
      <c r="G172" t="s">
        <v>237</v>
      </c>
      <c r="H172" s="3" t="str">
        <f>IF(Qn-F172-Ta&gt;2*ENT,"Fara E","Ok")</f>
        <v>Ok</v>
      </c>
    </row>
    <row r="173" spans="5:8" x14ac:dyDescent="0.25">
      <c r="E173">
        <v>161</v>
      </c>
      <c r="F173">
        <v>20.02</v>
      </c>
      <c r="G173" t="s">
        <v>238</v>
      </c>
      <c r="H173" s="3" t="str">
        <f>IF(Qn-F173-Ta&gt;2*ENT,"Fara E","Ok")</f>
        <v>Ok</v>
      </c>
    </row>
    <row r="174" spans="5:8" x14ac:dyDescent="0.25">
      <c r="E174">
        <v>162</v>
      </c>
      <c r="F174">
        <v>20</v>
      </c>
      <c r="G174"/>
      <c r="H174" s="3" t="str">
        <f>IF(Qn-F174-Ta&gt;2*ENT,"Fara E","Ok")</f>
        <v>Ok</v>
      </c>
    </row>
    <row r="175" spans="5:8" x14ac:dyDescent="0.25">
      <c r="E175">
        <v>163</v>
      </c>
      <c r="F175">
        <v>20.02</v>
      </c>
      <c r="G175" t="s">
        <v>239</v>
      </c>
      <c r="H175" s="3" t="str">
        <f>IF(Qn-F175-Ta&gt;2*ENT,"Fara E","Ok")</f>
        <v>Ok</v>
      </c>
    </row>
    <row r="176" spans="5:8" x14ac:dyDescent="0.25">
      <c r="E176">
        <v>164</v>
      </c>
      <c r="F176">
        <v>20.02</v>
      </c>
      <c r="G176" t="s">
        <v>240</v>
      </c>
      <c r="H176" s="3" t="str">
        <f>IF(Qn-F176-Ta&gt;2*ENT,"Fara E","Ok")</f>
        <v>Ok</v>
      </c>
    </row>
    <row r="177" spans="5:8" x14ac:dyDescent="0.25">
      <c r="E177">
        <v>165</v>
      </c>
      <c r="F177">
        <v>20.04</v>
      </c>
      <c r="G177" t="s">
        <v>241</v>
      </c>
      <c r="H177" s="3" t="str">
        <f>IF(Qn-F177-Ta&gt;2*ENT,"Fara E","Ok")</f>
        <v>Ok</v>
      </c>
    </row>
    <row r="178" spans="5:8" x14ac:dyDescent="0.25">
      <c r="E178">
        <v>166</v>
      </c>
      <c r="F178">
        <v>20.059999999999999</v>
      </c>
      <c r="G178" t="s">
        <v>242</v>
      </c>
      <c r="H178" s="3" t="str">
        <f>IF(Qn-F178-Ta&gt;2*ENT,"Fara E","Ok")</f>
        <v>Ok</v>
      </c>
    </row>
    <row r="179" spans="5:8" x14ac:dyDescent="0.25">
      <c r="E179">
        <v>167</v>
      </c>
      <c r="F179">
        <v>20</v>
      </c>
      <c r="G179"/>
      <c r="H179" s="3" t="str">
        <f>IF(Qn-F179-Ta&gt;2*ENT,"Fara E","Ok")</f>
        <v>Ok</v>
      </c>
    </row>
    <row r="180" spans="5:8" x14ac:dyDescent="0.25">
      <c r="E180">
        <v>168</v>
      </c>
      <c r="F180">
        <v>20.02</v>
      </c>
      <c r="G180" t="s">
        <v>243</v>
      </c>
      <c r="H180" s="3" t="str">
        <f>IF(Qn-F180-Ta&gt;2*ENT,"Fara E","Ok")</f>
        <v>Ok</v>
      </c>
    </row>
    <row r="181" spans="5:8" x14ac:dyDescent="0.25">
      <c r="E181">
        <v>169</v>
      </c>
      <c r="F181">
        <v>20</v>
      </c>
      <c r="G181" t="s">
        <v>244</v>
      </c>
      <c r="H181" s="3" t="str">
        <f>IF(Qn-F181-Ta&gt;2*ENT,"Fara E","Ok")</f>
        <v>Ok</v>
      </c>
    </row>
    <row r="182" spans="5:8" x14ac:dyDescent="0.25">
      <c r="E182">
        <v>170</v>
      </c>
      <c r="F182">
        <v>20.04</v>
      </c>
      <c r="G182" t="s">
        <v>245</v>
      </c>
      <c r="H182" s="3" t="str">
        <f>IF(Qn-F182-Ta&gt;2*ENT,"Fara E","Ok")</f>
        <v>Ok</v>
      </c>
    </row>
    <row r="183" spans="5:8" x14ac:dyDescent="0.25">
      <c r="E183">
        <v>171</v>
      </c>
      <c r="F183">
        <v>20</v>
      </c>
      <c r="G183"/>
      <c r="H183" s="3" t="str">
        <f>IF(Qn-F183-Ta&gt;2*ENT,"Fara E","Ok")</f>
        <v>Ok</v>
      </c>
    </row>
    <row r="184" spans="5:8" x14ac:dyDescent="0.25">
      <c r="E184">
        <v>172</v>
      </c>
      <c r="F184">
        <v>20</v>
      </c>
      <c r="G184"/>
      <c r="H184" s="3" t="str">
        <f>IF(Qn-F184-Ta&gt;2*ENT,"Fara E","Ok")</f>
        <v>Ok</v>
      </c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F14" sqref="F14"/>
    </sheetView>
  </sheetViews>
  <sheetFormatPr defaultRowHeight="15" x14ac:dyDescent="0.25"/>
  <cols>
    <col min="1" max="1" width="4" customWidth="1"/>
    <col min="2" max="2" width="22.85546875" customWidth="1"/>
    <col min="3" max="3" width="11.7109375" customWidth="1"/>
    <col min="4" max="4" width="7" customWidth="1"/>
    <col min="5" max="5" width="59.5703125" customWidth="1"/>
    <col min="6" max="6" width="14" customWidth="1"/>
    <col min="7" max="7" width="6" style="4" customWidth="1"/>
    <col min="8" max="8" width="4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300064</v>
      </c>
      <c r="E1" t="s">
        <v>89</v>
      </c>
      <c r="F1" t="s">
        <v>90</v>
      </c>
      <c r="G1">
        <v>10000</v>
      </c>
      <c r="H1">
        <v>320</v>
      </c>
      <c r="I1" s="29">
        <v>43528</v>
      </c>
      <c r="N1" s="33"/>
      <c r="O1" s="33"/>
      <c r="P1" s="33"/>
      <c r="Q1" s="33"/>
    </row>
    <row r="2" spans="1:17" x14ac:dyDescent="0.25">
      <c r="A2">
        <v>1</v>
      </c>
      <c r="B2">
        <v>10000</v>
      </c>
      <c r="C2" t="s">
        <v>246</v>
      </c>
      <c r="G2"/>
    </row>
    <row r="3" spans="1:17" x14ac:dyDescent="0.25">
      <c r="A3">
        <v>2</v>
      </c>
      <c r="B3">
        <v>10020</v>
      </c>
      <c r="C3" t="s">
        <v>247</v>
      </c>
      <c r="G3"/>
    </row>
    <row r="4" spans="1:17" x14ac:dyDescent="0.25">
      <c r="A4">
        <v>3</v>
      </c>
      <c r="B4">
        <v>10040</v>
      </c>
      <c r="C4" t="s">
        <v>248</v>
      </c>
      <c r="G4"/>
    </row>
    <row r="5" spans="1:17" x14ac:dyDescent="0.25">
      <c r="A5">
        <v>4</v>
      </c>
      <c r="B5">
        <v>10020</v>
      </c>
      <c r="C5" t="s">
        <v>249</v>
      </c>
      <c r="G5"/>
    </row>
    <row r="6" spans="1:17" x14ac:dyDescent="0.25">
      <c r="A6">
        <v>5</v>
      </c>
      <c r="B6">
        <v>10020</v>
      </c>
      <c r="C6" t="s">
        <v>250</v>
      </c>
      <c r="G6"/>
    </row>
    <row r="7" spans="1:17" x14ac:dyDescent="0.25">
      <c r="A7">
        <v>6</v>
      </c>
      <c r="B7">
        <v>10000</v>
      </c>
      <c r="C7" t="s">
        <v>251</v>
      </c>
      <c r="G7"/>
    </row>
    <row r="8" spans="1:17" x14ac:dyDescent="0.25">
      <c r="A8">
        <v>7</v>
      </c>
      <c r="B8">
        <v>10020</v>
      </c>
      <c r="C8" t="s">
        <v>252</v>
      </c>
      <c r="G8"/>
    </row>
    <row r="9" spans="1:17" x14ac:dyDescent="0.25">
      <c r="A9">
        <v>8</v>
      </c>
      <c r="B9">
        <v>10040</v>
      </c>
      <c r="C9" t="s">
        <v>253</v>
      </c>
      <c r="G9"/>
    </row>
    <row r="10" spans="1:17" x14ac:dyDescent="0.25">
      <c r="A10">
        <v>9</v>
      </c>
      <c r="B10">
        <v>10040</v>
      </c>
      <c r="C10" t="s">
        <v>254</v>
      </c>
      <c r="G10"/>
    </row>
    <row r="11" spans="1:17" x14ac:dyDescent="0.25">
      <c r="A11">
        <v>10</v>
      </c>
      <c r="B11">
        <v>10020</v>
      </c>
      <c r="C11" t="s">
        <v>255</v>
      </c>
      <c r="G11"/>
    </row>
    <row r="12" spans="1:17" x14ac:dyDescent="0.25">
      <c r="A12">
        <v>11</v>
      </c>
      <c r="B12">
        <v>10020</v>
      </c>
      <c r="C12" t="s">
        <v>256</v>
      </c>
      <c r="G12"/>
    </row>
    <row r="13" spans="1:17" x14ac:dyDescent="0.25">
      <c r="A13">
        <v>12</v>
      </c>
      <c r="B13">
        <v>10020</v>
      </c>
      <c r="C13" t="s">
        <v>257</v>
      </c>
      <c r="G13"/>
    </row>
    <row r="14" spans="1:17" x14ac:dyDescent="0.25">
      <c r="A14">
        <v>13</v>
      </c>
      <c r="B14">
        <v>10020</v>
      </c>
      <c r="C14" t="s">
        <v>258</v>
      </c>
      <c r="G14"/>
    </row>
    <row r="15" spans="1:17" x14ac:dyDescent="0.25">
      <c r="A15">
        <v>14</v>
      </c>
      <c r="B15">
        <v>10040</v>
      </c>
      <c r="C15" t="s">
        <v>259</v>
      </c>
      <c r="G15"/>
    </row>
    <row r="16" spans="1:17" x14ac:dyDescent="0.25">
      <c r="A16">
        <v>15</v>
      </c>
      <c r="B16">
        <v>10000</v>
      </c>
      <c r="C16" t="s">
        <v>260</v>
      </c>
      <c r="G16"/>
    </row>
    <row r="17" spans="1:7" x14ac:dyDescent="0.25">
      <c r="A17">
        <v>16</v>
      </c>
      <c r="B17">
        <v>10040</v>
      </c>
      <c r="C17" t="s">
        <v>261</v>
      </c>
      <c r="G17"/>
    </row>
    <row r="18" spans="1:7" x14ac:dyDescent="0.25">
      <c r="A18">
        <v>17</v>
      </c>
      <c r="B18">
        <v>10020</v>
      </c>
      <c r="C18" t="s">
        <v>262</v>
      </c>
      <c r="G18"/>
    </row>
    <row r="19" spans="1:7" x14ac:dyDescent="0.25">
      <c r="A19">
        <v>18</v>
      </c>
      <c r="B19">
        <v>10140</v>
      </c>
      <c r="C19" t="s">
        <v>263</v>
      </c>
      <c r="G19"/>
    </row>
    <row r="20" spans="1:7" x14ac:dyDescent="0.25">
      <c r="A20">
        <v>19</v>
      </c>
      <c r="B20">
        <v>10020</v>
      </c>
      <c r="C20" t="s">
        <v>264</v>
      </c>
      <c r="G20"/>
    </row>
    <row r="21" spans="1:7" x14ac:dyDescent="0.25">
      <c r="A21">
        <v>20</v>
      </c>
      <c r="B21">
        <v>10000</v>
      </c>
      <c r="C21" t="s">
        <v>265</v>
      </c>
      <c r="G21"/>
    </row>
    <row r="22" spans="1:7" x14ac:dyDescent="0.25">
      <c r="A22">
        <v>21</v>
      </c>
      <c r="B22">
        <v>10160</v>
      </c>
      <c r="C22" t="s">
        <v>266</v>
      </c>
      <c r="G22"/>
    </row>
    <row r="23" spans="1:7" x14ac:dyDescent="0.25">
      <c r="A23">
        <v>22</v>
      </c>
      <c r="B23">
        <v>10000</v>
      </c>
      <c r="C23" t="s">
        <v>267</v>
      </c>
      <c r="G23"/>
    </row>
    <row r="24" spans="1:7" x14ac:dyDescent="0.25">
      <c r="A24">
        <v>23</v>
      </c>
      <c r="B24">
        <v>10000</v>
      </c>
      <c r="C24" t="s">
        <v>268</v>
      </c>
      <c r="G24"/>
    </row>
    <row r="25" spans="1:7" x14ac:dyDescent="0.25">
      <c r="A25">
        <v>24</v>
      </c>
      <c r="B25">
        <v>10000</v>
      </c>
      <c r="G25"/>
    </row>
    <row r="26" spans="1:7" x14ac:dyDescent="0.25">
      <c r="A26">
        <v>25</v>
      </c>
      <c r="B26">
        <v>10020</v>
      </c>
      <c r="C26" t="s">
        <v>269</v>
      </c>
      <c r="G26"/>
    </row>
    <row r="27" spans="1:7" x14ac:dyDescent="0.25">
      <c r="A27">
        <v>26</v>
      </c>
      <c r="B27">
        <v>10000</v>
      </c>
      <c r="C27" t="s">
        <v>270</v>
      </c>
      <c r="G27"/>
    </row>
    <row r="28" spans="1:7" x14ac:dyDescent="0.25">
      <c r="A28">
        <v>27</v>
      </c>
      <c r="B28">
        <v>10000</v>
      </c>
      <c r="C28" t="s">
        <v>271</v>
      </c>
      <c r="G28"/>
    </row>
    <row r="29" spans="1:7" x14ac:dyDescent="0.25">
      <c r="A29">
        <v>28</v>
      </c>
      <c r="B29">
        <v>10000</v>
      </c>
      <c r="C29" t="s">
        <v>272</v>
      </c>
      <c r="G29"/>
    </row>
    <row r="30" spans="1:7" x14ac:dyDescent="0.25">
      <c r="A30">
        <v>29</v>
      </c>
      <c r="B30">
        <v>10020</v>
      </c>
      <c r="C30" t="s">
        <v>273</v>
      </c>
      <c r="G30"/>
    </row>
    <row r="31" spans="1:7" x14ac:dyDescent="0.25">
      <c r="A31">
        <v>30</v>
      </c>
      <c r="B31">
        <v>9960</v>
      </c>
      <c r="C31" t="s">
        <v>274</v>
      </c>
      <c r="G31"/>
    </row>
    <row r="32" spans="1:7" x14ac:dyDescent="0.25">
      <c r="A32">
        <v>31</v>
      </c>
      <c r="B32">
        <v>10000</v>
      </c>
      <c r="C32" t="s">
        <v>275</v>
      </c>
      <c r="G32"/>
    </row>
    <row r="33" spans="1:7" x14ac:dyDescent="0.25">
      <c r="A33">
        <v>32</v>
      </c>
      <c r="B33">
        <v>10000</v>
      </c>
      <c r="C33" t="s">
        <v>276</v>
      </c>
      <c r="G33"/>
    </row>
    <row r="34" spans="1:7" x14ac:dyDescent="0.25">
      <c r="A34">
        <v>33</v>
      </c>
      <c r="B34">
        <v>10000</v>
      </c>
      <c r="C34" t="s">
        <v>277</v>
      </c>
      <c r="G34"/>
    </row>
    <row r="35" spans="1:7" x14ac:dyDescent="0.25">
      <c r="A35">
        <v>34</v>
      </c>
      <c r="B35">
        <v>9980</v>
      </c>
      <c r="C35" t="s">
        <v>278</v>
      </c>
      <c r="G35"/>
    </row>
    <row r="36" spans="1:7" x14ac:dyDescent="0.25">
      <c r="A36">
        <v>35</v>
      </c>
      <c r="B36">
        <v>10000</v>
      </c>
      <c r="C36" t="s">
        <v>279</v>
      </c>
      <c r="G36"/>
    </row>
    <row r="37" spans="1:7" x14ac:dyDescent="0.25">
      <c r="A37">
        <v>36</v>
      </c>
      <c r="B37">
        <v>10020</v>
      </c>
      <c r="C37" t="s">
        <v>280</v>
      </c>
      <c r="G37"/>
    </row>
    <row r="38" spans="1:7" x14ac:dyDescent="0.25">
      <c r="A38">
        <v>37</v>
      </c>
      <c r="B38">
        <v>10020</v>
      </c>
      <c r="C38" t="s">
        <v>281</v>
      </c>
      <c r="G38"/>
    </row>
    <row r="39" spans="1:7" x14ac:dyDescent="0.25">
      <c r="A39">
        <v>38</v>
      </c>
      <c r="B39">
        <v>10000</v>
      </c>
      <c r="C39" t="s">
        <v>282</v>
      </c>
      <c r="G39"/>
    </row>
    <row r="40" spans="1:7" x14ac:dyDescent="0.25">
      <c r="A40">
        <v>39</v>
      </c>
      <c r="B40">
        <v>10000</v>
      </c>
      <c r="C40" t="s">
        <v>283</v>
      </c>
      <c r="G40"/>
    </row>
    <row r="41" spans="1:7" x14ac:dyDescent="0.25">
      <c r="A41">
        <v>40</v>
      </c>
      <c r="B41">
        <v>10000</v>
      </c>
      <c r="C41" t="s">
        <v>284</v>
      </c>
      <c r="G41"/>
    </row>
    <row r="42" spans="1:7" x14ac:dyDescent="0.25">
      <c r="A42">
        <v>41</v>
      </c>
      <c r="B42">
        <v>10000</v>
      </c>
      <c r="C42" t="s">
        <v>285</v>
      </c>
      <c r="G42"/>
    </row>
    <row r="43" spans="1:7" x14ac:dyDescent="0.25">
      <c r="A43">
        <v>42</v>
      </c>
      <c r="B43">
        <v>10000</v>
      </c>
      <c r="C43" t="s">
        <v>286</v>
      </c>
      <c r="G43"/>
    </row>
    <row r="44" spans="1:7" x14ac:dyDescent="0.25">
      <c r="A44">
        <v>43</v>
      </c>
      <c r="B44">
        <v>10020</v>
      </c>
      <c r="C44" t="s">
        <v>287</v>
      </c>
      <c r="G44"/>
    </row>
    <row r="45" spans="1:7" x14ac:dyDescent="0.25">
      <c r="A45">
        <v>44</v>
      </c>
      <c r="B45">
        <v>10000</v>
      </c>
      <c r="C45" t="s">
        <v>288</v>
      </c>
      <c r="G45"/>
    </row>
    <row r="46" spans="1:7" x14ac:dyDescent="0.25">
      <c r="A46">
        <v>45</v>
      </c>
      <c r="B46">
        <v>10000</v>
      </c>
      <c r="C46" t="s">
        <v>289</v>
      </c>
      <c r="G46"/>
    </row>
    <row r="47" spans="1:7" x14ac:dyDescent="0.25">
      <c r="A47">
        <v>46</v>
      </c>
      <c r="B47">
        <v>10000</v>
      </c>
      <c r="C47" t="s">
        <v>290</v>
      </c>
      <c r="G47"/>
    </row>
    <row r="48" spans="1:7" x14ac:dyDescent="0.25">
      <c r="A48">
        <v>47</v>
      </c>
      <c r="B48">
        <v>10000</v>
      </c>
      <c r="C48" t="s">
        <v>291</v>
      </c>
      <c r="G48"/>
    </row>
    <row r="49" spans="1:7" x14ac:dyDescent="0.25">
      <c r="A49">
        <v>48</v>
      </c>
      <c r="B49">
        <v>10000</v>
      </c>
      <c r="C49" t="s">
        <v>292</v>
      </c>
      <c r="G49"/>
    </row>
    <row r="50" spans="1:7" x14ac:dyDescent="0.25">
      <c r="A50">
        <v>49</v>
      </c>
      <c r="B50">
        <v>10020</v>
      </c>
      <c r="C50" t="s">
        <v>293</v>
      </c>
      <c r="G50"/>
    </row>
    <row r="51" spans="1:7" x14ac:dyDescent="0.25">
      <c r="A51">
        <v>50</v>
      </c>
      <c r="B51">
        <v>10020</v>
      </c>
      <c r="C51" t="s">
        <v>294</v>
      </c>
      <c r="G51"/>
    </row>
    <row r="52" spans="1:7" x14ac:dyDescent="0.25">
      <c r="A52">
        <v>51</v>
      </c>
      <c r="B52">
        <v>10000</v>
      </c>
      <c r="C52" t="s">
        <v>295</v>
      </c>
      <c r="G52"/>
    </row>
    <row r="53" spans="1:7" x14ac:dyDescent="0.25">
      <c r="A53">
        <v>52</v>
      </c>
      <c r="B53">
        <v>10020</v>
      </c>
      <c r="C53" t="s">
        <v>296</v>
      </c>
      <c r="G53"/>
    </row>
    <row r="54" spans="1:7" x14ac:dyDescent="0.25">
      <c r="A54">
        <v>53</v>
      </c>
      <c r="B54">
        <v>10020</v>
      </c>
      <c r="C54" t="s">
        <v>297</v>
      </c>
      <c r="G54"/>
    </row>
    <row r="55" spans="1:7" x14ac:dyDescent="0.25">
      <c r="A55">
        <v>54</v>
      </c>
      <c r="B55">
        <v>10000</v>
      </c>
      <c r="C55" t="s">
        <v>298</v>
      </c>
      <c r="G55"/>
    </row>
    <row r="56" spans="1:7" x14ac:dyDescent="0.25">
      <c r="A56">
        <v>55</v>
      </c>
      <c r="B56">
        <v>10000</v>
      </c>
      <c r="C56" t="s">
        <v>299</v>
      </c>
      <c r="G56"/>
    </row>
    <row r="57" spans="1:7" x14ac:dyDescent="0.25">
      <c r="A57">
        <v>56</v>
      </c>
      <c r="B57">
        <v>10020</v>
      </c>
      <c r="C57" t="s">
        <v>300</v>
      </c>
      <c r="G57"/>
    </row>
    <row r="58" spans="1:7" x14ac:dyDescent="0.25">
      <c r="A58">
        <v>57</v>
      </c>
      <c r="B58">
        <v>10000</v>
      </c>
      <c r="C58" t="s">
        <v>301</v>
      </c>
      <c r="G58"/>
    </row>
    <row r="59" spans="1:7" x14ac:dyDescent="0.25">
      <c r="A59">
        <v>58</v>
      </c>
      <c r="B59">
        <v>10040</v>
      </c>
      <c r="C59" t="s">
        <v>302</v>
      </c>
      <c r="G59"/>
    </row>
    <row r="60" spans="1:7" x14ac:dyDescent="0.25">
      <c r="A60">
        <v>59</v>
      </c>
      <c r="B60">
        <v>10040</v>
      </c>
      <c r="C60" t="s">
        <v>303</v>
      </c>
      <c r="G60"/>
    </row>
    <row r="61" spans="1:7" x14ac:dyDescent="0.25">
      <c r="A61">
        <v>60</v>
      </c>
      <c r="B61">
        <v>10000</v>
      </c>
      <c r="C61" t="s">
        <v>304</v>
      </c>
      <c r="G61"/>
    </row>
    <row r="62" spans="1:7" x14ac:dyDescent="0.25">
      <c r="A62">
        <v>61</v>
      </c>
      <c r="B62">
        <v>10020</v>
      </c>
      <c r="C62" t="s">
        <v>305</v>
      </c>
      <c r="G62"/>
    </row>
    <row r="63" spans="1:7" x14ac:dyDescent="0.25">
      <c r="A63">
        <v>62</v>
      </c>
      <c r="B63">
        <v>10020</v>
      </c>
      <c r="C63" t="s">
        <v>306</v>
      </c>
      <c r="G63"/>
    </row>
    <row r="64" spans="1:7" x14ac:dyDescent="0.25">
      <c r="A64">
        <v>63</v>
      </c>
      <c r="B64">
        <v>10000</v>
      </c>
      <c r="C64" t="s">
        <v>307</v>
      </c>
      <c r="G64"/>
    </row>
    <row r="65" spans="1:7" x14ac:dyDescent="0.25">
      <c r="A65">
        <v>64</v>
      </c>
      <c r="B65">
        <v>10020</v>
      </c>
      <c r="C65" t="s">
        <v>308</v>
      </c>
      <c r="G65"/>
    </row>
    <row r="66" spans="1:7" x14ac:dyDescent="0.25">
      <c r="A66">
        <v>65</v>
      </c>
      <c r="B66">
        <v>10020</v>
      </c>
      <c r="C66" t="s">
        <v>309</v>
      </c>
      <c r="G66"/>
    </row>
    <row r="67" spans="1:7" x14ac:dyDescent="0.25">
      <c r="A67">
        <v>66</v>
      </c>
      <c r="B67">
        <v>10020</v>
      </c>
      <c r="C67" t="s">
        <v>310</v>
      </c>
      <c r="G67"/>
    </row>
    <row r="68" spans="1:7" x14ac:dyDescent="0.25">
      <c r="A68">
        <v>67</v>
      </c>
      <c r="B68">
        <v>10040</v>
      </c>
      <c r="C68" t="s">
        <v>311</v>
      </c>
      <c r="G68"/>
    </row>
    <row r="69" spans="1:7" x14ac:dyDescent="0.25">
      <c r="A69">
        <v>68</v>
      </c>
      <c r="B69">
        <v>10020</v>
      </c>
      <c r="C69" t="s">
        <v>312</v>
      </c>
      <c r="G69"/>
    </row>
    <row r="70" spans="1:7" x14ac:dyDescent="0.25">
      <c r="A70">
        <v>69</v>
      </c>
      <c r="B70">
        <v>10020</v>
      </c>
      <c r="C70" t="s">
        <v>313</v>
      </c>
      <c r="G70"/>
    </row>
    <row r="71" spans="1:7" x14ac:dyDescent="0.25">
      <c r="A71">
        <v>70</v>
      </c>
      <c r="B71">
        <v>10020</v>
      </c>
      <c r="C71" t="s">
        <v>314</v>
      </c>
      <c r="G71"/>
    </row>
    <row r="72" spans="1:7" x14ac:dyDescent="0.25">
      <c r="A72">
        <v>71</v>
      </c>
      <c r="B72">
        <v>10000</v>
      </c>
      <c r="C72" t="s">
        <v>315</v>
      </c>
      <c r="G72"/>
    </row>
    <row r="73" spans="1:7" x14ac:dyDescent="0.25">
      <c r="A73">
        <v>72</v>
      </c>
      <c r="B73">
        <v>10020</v>
      </c>
      <c r="C73" t="s">
        <v>316</v>
      </c>
      <c r="G73"/>
    </row>
    <row r="74" spans="1:7" x14ac:dyDescent="0.25">
      <c r="A74">
        <v>73</v>
      </c>
      <c r="B74">
        <v>10000</v>
      </c>
      <c r="C74" t="s">
        <v>317</v>
      </c>
      <c r="G74"/>
    </row>
    <row r="75" spans="1:7" x14ac:dyDescent="0.25">
      <c r="A75">
        <v>74</v>
      </c>
      <c r="B75">
        <v>10000</v>
      </c>
      <c r="C75" t="s">
        <v>318</v>
      </c>
      <c r="G75"/>
    </row>
    <row r="76" spans="1:7" x14ac:dyDescent="0.25">
      <c r="A76">
        <v>75</v>
      </c>
      <c r="B76">
        <v>10020</v>
      </c>
      <c r="C76" t="s">
        <v>319</v>
      </c>
      <c r="G76"/>
    </row>
    <row r="77" spans="1:7" x14ac:dyDescent="0.25">
      <c r="A77">
        <v>76</v>
      </c>
      <c r="B77">
        <v>10040</v>
      </c>
      <c r="C77" t="s">
        <v>320</v>
      </c>
      <c r="G77"/>
    </row>
    <row r="78" spans="1:7" x14ac:dyDescent="0.25">
      <c r="A78">
        <v>77</v>
      </c>
      <c r="B78">
        <v>10000</v>
      </c>
      <c r="C78" t="s">
        <v>321</v>
      </c>
      <c r="G78"/>
    </row>
    <row r="79" spans="1:7" x14ac:dyDescent="0.25">
      <c r="A79">
        <v>78</v>
      </c>
      <c r="B79">
        <v>10000</v>
      </c>
      <c r="C79" t="s">
        <v>322</v>
      </c>
      <c r="G79"/>
    </row>
    <row r="80" spans="1:7" x14ac:dyDescent="0.25">
      <c r="A80">
        <v>79</v>
      </c>
      <c r="B80">
        <v>10020</v>
      </c>
      <c r="C80" t="s">
        <v>323</v>
      </c>
      <c r="G80"/>
    </row>
    <row r="81" spans="1:7" x14ac:dyDescent="0.25">
      <c r="A81">
        <v>80</v>
      </c>
      <c r="B81">
        <v>10000</v>
      </c>
      <c r="C81" t="s">
        <v>324</v>
      </c>
      <c r="G81"/>
    </row>
    <row r="82" spans="1:7" x14ac:dyDescent="0.25">
      <c r="A82">
        <v>81</v>
      </c>
      <c r="B82">
        <v>10000</v>
      </c>
      <c r="C82" t="s">
        <v>325</v>
      </c>
      <c r="G82"/>
    </row>
    <row r="83" spans="1:7" x14ac:dyDescent="0.25">
      <c r="A83">
        <v>82</v>
      </c>
      <c r="B83">
        <v>10020</v>
      </c>
      <c r="C83" t="s">
        <v>326</v>
      </c>
      <c r="G83"/>
    </row>
    <row r="84" spans="1:7" x14ac:dyDescent="0.25">
      <c r="A84">
        <v>83</v>
      </c>
      <c r="B84">
        <v>10000</v>
      </c>
      <c r="C84" t="s">
        <v>327</v>
      </c>
      <c r="G84"/>
    </row>
    <row r="85" spans="1:7" x14ac:dyDescent="0.25">
      <c r="A85">
        <v>84</v>
      </c>
      <c r="B85">
        <v>10020</v>
      </c>
      <c r="C85" t="s">
        <v>328</v>
      </c>
      <c r="G85"/>
    </row>
    <row r="86" spans="1:7" x14ac:dyDescent="0.25">
      <c r="A86">
        <v>85</v>
      </c>
      <c r="B86">
        <v>10000</v>
      </c>
      <c r="C86" t="s">
        <v>329</v>
      </c>
      <c r="G86"/>
    </row>
    <row r="87" spans="1:7" x14ac:dyDescent="0.25">
      <c r="A87">
        <v>86</v>
      </c>
      <c r="B87">
        <v>10000</v>
      </c>
      <c r="C87" t="s">
        <v>330</v>
      </c>
      <c r="G87"/>
    </row>
    <row r="88" spans="1:7" x14ac:dyDescent="0.25">
      <c r="A88">
        <v>87</v>
      </c>
      <c r="B88">
        <v>10000</v>
      </c>
      <c r="C88" t="s">
        <v>331</v>
      </c>
      <c r="G88"/>
    </row>
    <row r="89" spans="1:7" x14ac:dyDescent="0.25">
      <c r="A89">
        <v>88</v>
      </c>
      <c r="B89">
        <v>10020</v>
      </c>
      <c r="C89" t="s">
        <v>332</v>
      </c>
      <c r="G89"/>
    </row>
    <row r="90" spans="1:7" x14ac:dyDescent="0.25">
      <c r="A90">
        <v>89</v>
      </c>
      <c r="B90">
        <v>10000</v>
      </c>
      <c r="C90" t="s">
        <v>333</v>
      </c>
      <c r="G90"/>
    </row>
    <row r="91" spans="1:7" x14ac:dyDescent="0.25">
      <c r="A91">
        <v>90</v>
      </c>
      <c r="B91">
        <v>10000</v>
      </c>
      <c r="C91" t="s">
        <v>334</v>
      </c>
      <c r="G91"/>
    </row>
    <row r="92" spans="1:7" x14ac:dyDescent="0.25">
      <c r="A92">
        <v>91</v>
      </c>
      <c r="B92">
        <v>10000</v>
      </c>
      <c r="C92" t="s">
        <v>335</v>
      </c>
      <c r="G92"/>
    </row>
    <row r="93" spans="1:7" x14ac:dyDescent="0.25">
      <c r="A93">
        <v>92</v>
      </c>
      <c r="B93">
        <v>10000</v>
      </c>
      <c r="C93" t="s">
        <v>336</v>
      </c>
      <c r="G93"/>
    </row>
    <row r="94" spans="1:7" x14ac:dyDescent="0.25">
      <c r="A94">
        <v>93</v>
      </c>
      <c r="B94">
        <v>10020</v>
      </c>
      <c r="C94" t="s">
        <v>337</v>
      </c>
      <c r="G94"/>
    </row>
    <row r="95" spans="1:7" x14ac:dyDescent="0.25">
      <c r="A95">
        <v>94</v>
      </c>
      <c r="B95">
        <v>10000</v>
      </c>
      <c r="C95" t="s">
        <v>338</v>
      </c>
      <c r="G95"/>
    </row>
    <row r="96" spans="1:7" x14ac:dyDescent="0.25">
      <c r="A96">
        <v>95</v>
      </c>
      <c r="B96">
        <v>10000</v>
      </c>
      <c r="C96" t="s">
        <v>339</v>
      </c>
      <c r="G96"/>
    </row>
    <row r="97" spans="1:7" x14ac:dyDescent="0.25">
      <c r="A97">
        <v>96</v>
      </c>
      <c r="B97">
        <v>9980</v>
      </c>
      <c r="C97" t="s">
        <v>340</v>
      </c>
      <c r="G97"/>
    </row>
    <row r="98" spans="1:7" x14ac:dyDescent="0.25">
      <c r="A98">
        <v>97</v>
      </c>
      <c r="B98">
        <v>10000</v>
      </c>
      <c r="C98" t="s">
        <v>341</v>
      </c>
      <c r="G98"/>
    </row>
    <row r="99" spans="1:7" x14ac:dyDescent="0.25">
      <c r="A99">
        <v>98</v>
      </c>
      <c r="B99">
        <v>10020</v>
      </c>
      <c r="C99" t="s">
        <v>342</v>
      </c>
      <c r="G99"/>
    </row>
    <row r="100" spans="1:7" x14ac:dyDescent="0.25">
      <c r="A100">
        <v>99</v>
      </c>
      <c r="B100">
        <v>10000</v>
      </c>
      <c r="C100" t="s">
        <v>343</v>
      </c>
      <c r="G100"/>
    </row>
    <row r="101" spans="1:7" x14ac:dyDescent="0.25">
      <c r="A101">
        <v>100</v>
      </c>
      <c r="B101">
        <v>10000</v>
      </c>
      <c r="C101" t="s">
        <v>344</v>
      </c>
      <c r="G101"/>
    </row>
    <row r="102" spans="1:7" x14ac:dyDescent="0.25">
      <c r="A102">
        <v>101</v>
      </c>
      <c r="B102">
        <v>10000</v>
      </c>
      <c r="C102" t="s">
        <v>345</v>
      </c>
      <c r="G102"/>
    </row>
    <row r="103" spans="1:7" x14ac:dyDescent="0.25">
      <c r="A103">
        <v>102</v>
      </c>
      <c r="B103">
        <v>10000</v>
      </c>
      <c r="C103" t="s">
        <v>346</v>
      </c>
      <c r="G103"/>
    </row>
    <row r="104" spans="1:7" x14ac:dyDescent="0.25">
      <c r="A104">
        <v>103</v>
      </c>
      <c r="B104">
        <v>10000</v>
      </c>
      <c r="C104" t="s">
        <v>347</v>
      </c>
      <c r="G104"/>
    </row>
    <row r="105" spans="1:7" x14ac:dyDescent="0.25">
      <c r="A105">
        <v>104</v>
      </c>
      <c r="B105">
        <v>10000</v>
      </c>
      <c r="G105"/>
    </row>
    <row r="106" spans="1:7" x14ac:dyDescent="0.25">
      <c r="A106">
        <v>105</v>
      </c>
      <c r="B106">
        <v>10020</v>
      </c>
      <c r="C106" t="s">
        <v>348</v>
      </c>
      <c r="G106"/>
    </row>
    <row r="107" spans="1:7" x14ac:dyDescent="0.25">
      <c r="A107">
        <v>106</v>
      </c>
      <c r="B107">
        <v>10040</v>
      </c>
      <c r="C107" t="s">
        <v>349</v>
      </c>
      <c r="G107"/>
    </row>
    <row r="108" spans="1:7" x14ac:dyDescent="0.25">
      <c r="A108">
        <v>107</v>
      </c>
      <c r="B108">
        <v>10000</v>
      </c>
      <c r="C108" t="s">
        <v>350</v>
      </c>
      <c r="G108"/>
    </row>
    <row r="109" spans="1:7" x14ac:dyDescent="0.25">
      <c r="A109">
        <v>108</v>
      </c>
      <c r="B109">
        <v>10000</v>
      </c>
      <c r="C109" t="s">
        <v>351</v>
      </c>
      <c r="G109"/>
    </row>
    <row r="110" spans="1:7" x14ac:dyDescent="0.25">
      <c r="A110">
        <v>109</v>
      </c>
      <c r="B110">
        <v>10000</v>
      </c>
      <c r="C110" t="s">
        <v>352</v>
      </c>
      <c r="G110"/>
    </row>
    <row r="111" spans="1:7" x14ac:dyDescent="0.25">
      <c r="A111">
        <v>110</v>
      </c>
      <c r="B111">
        <v>10020</v>
      </c>
      <c r="C111" t="s">
        <v>353</v>
      </c>
      <c r="G111"/>
    </row>
    <row r="112" spans="1:7" x14ac:dyDescent="0.25">
      <c r="A112">
        <v>111</v>
      </c>
      <c r="B112">
        <v>10020</v>
      </c>
      <c r="C112" t="s">
        <v>354</v>
      </c>
      <c r="G112"/>
    </row>
    <row r="113" spans="1:7" x14ac:dyDescent="0.25">
      <c r="A113">
        <v>112</v>
      </c>
      <c r="B113">
        <v>10000</v>
      </c>
      <c r="C113" t="s">
        <v>355</v>
      </c>
      <c r="G113"/>
    </row>
    <row r="114" spans="1:7" x14ac:dyDescent="0.25">
      <c r="A114">
        <v>113</v>
      </c>
      <c r="B114">
        <v>10000</v>
      </c>
      <c r="C114" t="s">
        <v>356</v>
      </c>
      <c r="G114"/>
    </row>
    <row r="115" spans="1:7" x14ac:dyDescent="0.25">
      <c r="A115">
        <v>114</v>
      </c>
      <c r="B115">
        <v>10000</v>
      </c>
      <c r="C115" t="s">
        <v>357</v>
      </c>
      <c r="G115"/>
    </row>
    <row r="116" spans="1:7" x14ac:dyDescent="0.25">
      <c r="A116">
        <v>115</v>
      </c>
      <c r="B116">
        <v>10000</v>
      </c>
      <c r="C116" t="s">
        <v>358</v>
      </c>
      <c r="G116"/>
    </row>
    <row r="117" spans="1:7" x14ac:dyDescent="0.25">
      <c r="A117">
        <v>116</v>
      </c>
      <c r="B117">
        <v>10020</v>
      </c>
      <c r="C117" t="s">
        <v>359</v>
      </c>
      <c r="G117"/>
    </row>
    <row r="118" spans="1:7" x14ac:dyDescent="0.25">
      <c r="A118">
        <v>117</v>
      </c>
      <c r="B118">
        <v>10000</v>
      </c>
      <c r="C118" t="s">
        <v>360</v>
      </c>
      <c r="G118"/>
    </row>
    <row r="119" spans="1:7" x14ac:dyDescent="0.25">
      <c r="A119">
        <v>118</v>
      </c>
      <c r="B119">
        <v>10020</v>
      </c>
      <c r="C119" t="s">
        <v>361</v>
      </c>
      <c r="G119"/>
    </row>
    <row r="120" spans="1:7" x14ac:dyDescent="0.25">
      <c r="A120">
        <v>119</v>
      </c>
      <c r="B120">
        <v>10000</v>
      </c>
      <c r="C120" t="s">
        <v>362</v>
      </c>
      <c r="G120"/>
    </row>
    <row r="121" spans="1:7" x14ac:dyDescent="0.25">
      <c r="A121">
        <v>120</v>
      </c>
      <c r="B121">
        <v>10000</v>
      </c>
      <c r="C121" t="s">
        <v>363</v>
      </c>
      <c r="G121"/>
    </row>
    <row r="122" spans="1:7" x14ac:dyDescent="0.25">
      <c r="A122">
        <v>121</v>
      </c>
      <c r="B122">
        <v>10000</v>
      </c>
      <c r="C122" t="s">
        <v>364</v>
      </c>
      <c r="G122"/>
    </row>
    <row r="123" spans="1:7" x14ac:dyDescent="0.25">
      <c r="A123">
        <v>122</v>
      </c>
      <c r="B123">
        <v>10060</v>
      </c>
      <c r="C123" t="s">
        <v>365</v>
      </c>
      <c r="G123"/>
    </row>
    <row r="124" spans="1:7" x14ac:dyDescent="0.25">
      <c r="A124">
        <v>123</v>
      </c>
      <c r="B124">
        <v>10000</v>
      </c>
      <c r="C124" t="s">
        <v>366</v>
      </c>
      <c r="G124"/>
    </row>
    <row r="125" spans="1:7" x14ac:dyDescent="0.25">
      <c r="A125">
        <v>124</v>
      </c>
      <c r="B125">
        <v>10000</v>
      </c>
      <c r="C125" t="s">
        <v>367</v>
      </c>
      <c r="G125"/>
    </row>
    <row r="126" spans="1:7" x14ac:dyDescent="0.25">
      <c r="A126">
        <v>125</v>
      </c>
      <c r="B126">
        <v>10020</v>
      </c>
      <c r="C126" t="s">
        <v>368</v>
      </c>
      <c r="G126"/>
    </row>
    <row r="127" spans="1:7" x14ac:dyDescent="0.25">
      <c r="A127">
        <v>126</v>
      </c>
      <c r="B127">
        <v>10000</v>
      </c>
      <c r="C127" t="s">
        <v>369</v>
      </c>
      <c r="G127"/>
    </row>
    <row r="128" spans="1:7" x14ac:dyDescent="0.25">
      <c r="A128">
        <v>127</v>
      </c>
      <c r="B128">
        <v>10000</v>
      </c>
      <c r="C128" t="s">
        <v>370</v>
      </c>
      <c r="G128"/>
    </row>
    <row r="129" spans="1:7" x14ac:dyDescent="0.25">
      <c r="A129">
        <v>128</v>
      </c>
      <c r="B129">
        <v>10020</v>
      </c>
      <c r="C129" t="s">
        <v>371</v>
      </c>
      <c r="G129"/>
    </row>
    <row r="130" spans="1:7" x14ac:dyDescent="0.25">
      <c r="A130">
        <v>129</v>
      </c>
      <c r="B130">
        <v>10000</v>
      </c>
      <c r="C130" t="s">
        <v>372</v>
      </c>
      <c r="G130"/>
    </row>
    <row r="131" spans="1:7" x14ac:dyDescent="0.25">
      <c r="A131">
        <v>130</v>
      </c>
      <c r="B131">
        <v>10020</v>
      </c>
      <c r="C131" t="s">
        <v>373</v>
      </c>
      <c r="G131"/>
    </row>
    <row r="132" spans="1:7" x14ac:dyDescent="0.25">
      <c r="A132">
        <v>131</v>
      </c>
      <c r="B132">
        <v>10020</v>
      </c>
      <c r="C132" t="s">
        <v>374</v>
      </c>
      <c r="G132"/>
    </row>
    <row r="133" spans="1:7" x14ac:dyDescent="0.25">
      <c r="A133">
        <v>132</v>
      </c>
      <c r="B133">
        <v>10020</v>
      </c>
      <c r="C133" t="s">
        <v>375</v>
      </c>
      <c r="G133"/>
    </row>
    <row r="134" spans="1:7" x14ac:dyDescent="0.25">
      <c r="A134">
        <v>133</v>
      </c>
      <c r="B134">
        <v>10020</v>
      </c>
      <c r="C134" t="s">
        <v>376</v>
      </c>
      <c r="G134"/>
    </row>
    <row r="135" spans="1:7" x14ac:dyDescent="0.25">
      <c r="A135">
        <v>134</v>
      </c>
      <c r="B135">
        <v>10000</v>
      </c>
      <c r="C135" t="s">
        <v>377</v>
      </c>
      <c r="G135"/>
    </row>
    <row r="136" spans="1:7" x14ac:dyDescent="0.25">
      <c r="A136">
        <v>135</v>
      </c>
      <c r="B136">
        <v>10000</v>
      </c>
      <c r="C136" t="s">
        <v>378</v>
      </c>
      <c r="G136"/>
    </row>
    <row r="137" spans="1:7" x14ac:dyDescent="0.25">
      <c r="A137">
        <v>136</v>
      </c>
      <c r="B137">
        <v>10000</v>
      </c>
      <c r="C137" t="s">
        <v>379</v>
      </c>
      <c r="G137"/>
    </row>
    <row r="138" spans="1:7" x14ac:dyDescent="0.25">
      <c r="A138">
        <v>137</v>
      </c>
      <c r="B138">
        <v>10020</v>
      </c>
      <c r="C138" t="s">
        <v>380</v>
      </c>
      <c r="G138"/>
    </row>
    <row r="139" spans="1:7" x14ac:dyDescent="0.25">
      <c r="A139">
        <v>138</v>
      </c>
      <c r="B139">
        <v>10000</v>
      </c>
      <c r="C139" t="s">
        <v>381</v>
      </c>
      <c r="G139"/>
    </row>
    <row r="140" spans="1:7" x14ac:dyDescent="0.25">
      <c r="A140">
        <v>139</v>
      </c>
      <c r="B140">
        <v>10020</v>
      </c>
      <c r="C140" t="s">
        <v>382</v>
      </c>
      <c r="G140"/>
    </row>
    <row r="141" spans="1:7" x14ac:dyDescent="0.25">
      <c r="A141">
        <v>140</v>
      </c>
      <c r="B141">
        <v>10020</v>
      </c>
      <c r="C141" t="s">
        <v>383</v>
      </c>
      <c r="G141"/>
    </row>
    <row r="142" spans="1:7" x14ac:dyDescent="0.25">
      <c r="A142">
        <v>141</v>
      </c>
      <c r="B142">
        <v>10020</v>
      </c>
      <c r="C142" t="s">
        <v>384</v>
      </c>
      <c r="G142"/>
    </row>
    <row r="143" spans="1:7" x14ac:dyDescent="0.25">
      <c r="A143">
        <v>142</v>
      </c>
      <c r="B143">
        <v>10020</v>
      </c>
      <c r="C143" t="s">
        <v>385</v>
      </c>
      <c r="G143"/>
    </row>
    <row r="144" spans="1:7" x14ac:dyDescent="0.25">
      <c r="A144">
        <v>143</v>
      </c>
      <c r="B144">
        <v>10020</v>
      </c>
      <c r="C144" t="s">
        <v>386</v>
      </c>
      <c r="G144"/>
    </row>
    <row r="145" spans="1:7" x14ac:dyDescent="0.25">
      <c r="A145">
        <v>144</v>
      </c>
      <c r="B145">
        <v>9980</v>
      </c>
      <c r="C145" t="s">
        <v>387</v>
      </c>
      <c r="G145"/>
    </row>
    <row r="146" spans="1:7" x14ac:dyDescent="0.25">
      <c r="A146">
        <v>145</v>
      </c>
      <c r="B146">
        <v>10020</v>
      </c>
      <c r="C146" t="s">
        <v>388</v>
      </c>
      <c r="G146"/>
    </row>
    <row r="147" spans="1:7" x14ac:dyDescent="0.25">
      <c r="A147">
        <v>146</v>
      </c>
      <c r="B147">
        <v>10000</v>
      </c>
      <c r="C147" t="s">
        <v>389</v>
      </c>
      <c r="G147"/>
    </row>
    <row r="148" spans="1:7" x14ac:dyDescent="0.25">
      <c r="A148">
        <v>147</v>
      </c>
      <c r="B148">
        <v>10020</v>
      </c>
      <c r="C148" t="s">
        <v>390</v>
      </c>
      <c r="G148"/>
    </row>
    <row r="149" spans="1:7" x14ac:dyDescent="0.25">
      <c r="A149">
        <v>148</v>
      </c>
      <c r="B149">
        <v>10020</v>
      </c>
      <c r="C149" t="s">
        <v>391</v>
      </c>
      <c r="G149"/>
    </row>
    <row r="150" spans="1:7" x14ac:dyDescent="0.25">
      <c r="A150">
        <v>149</v>
      </c>
      <c r="B150">
        <v>10020</v>
      </c>
      <c r="C150" t="s">
        <v>392</v>
      </c>
      <c r="G150"/>
    </row>
    <row r="151" spans="1:7" x14ac:dyDescent="0.25">
      <c r="A151">
        <v>150</v>
      </c>
      <c r="B151">
        <v>10000</v>
      </c>
      <c r="C151" t="s">
        <v>393</v>
      </c>
      <c r="G151"/>
    </row>
    <row r="152" spans="1:7" x14ac:dyDescent="0.25">
      <c r="A152">
        <v>151</v>
      </c>
      <c r="B152">
        <v>10020</v>
      </c>
      <c r="C152" t="s">
        <v>394</v>
      </c>
      <c r="G152"/>
    </row>
    <row r="153" spans="1:7" x14ac:dyDescent="0.25">
      <c r="A153">
        <v>152</v>
      </c>
      <c r="B153">
        <v>10000</v>
      </c>
      <c r="C153" t="s">
        <v>395</v>
      </c>
      <c r="G153"/>
    </row>
    <row r="154" spans="1:7" x14ac:dyDescent="0.25">
      <c r="A154">
        <v>153</v>
      </c>
      <c r="B154">
        <v>10000</v>
      </c>
      <c r="C154" t="s">
        <v>396</v>
      </c>
      <c r="G154"/>
    </row>
    <row r="155" spans="1:7" x14ac:dyDescent="0.25">
      <c r="A155">
        <v>154</v>
      </c>
      <c r="B155">
        <v>10020</v>
      </c>
      <c r="C155" t="s">
        <v>397</v>
      </c>
      <c r="G155"/>
    </row>
    <row r="156" spans="1:7" x14ac:dyDescent="0.25">
      <c r="A156">
        <v>155</v>
      </c>
      <c r="B156">
        <v>10020</v>
      </c>
      <c r="C156" t="s">
        <v>398</v>
      </c>
      <c r="G156"/>
    </row>
    <row r="157" spans="1:7" x14ac:dyDescent="0.25">
      <c r="A157">
        <v>156</v>
      </c>
      <c r="B157">
        <v>10000</v>
      </c>
      <c r="C157" t="s">
        <v>399</v>
      </c>
      <c r="G157"/>
    </row>
    <row r="158" spans="1:7" x14ac:dyDescent="0.25">
      <c r="A158">
        <v>157</v>
      </c>
      <c r="B158">
        <v>10000</v>
      </c>
      <c r="C158" t="s">
        <v>400</v>
      </c>
      <c r="G158"/>
    </row>
    <row r="159" spans="1:7" x14ac:dyDescent="0.25">
      <c r="A159">
        <v>158</v>
      </c>
      <c r="B159">
        <v>10000</v>
      </c>
      <c r="C159" t="s">
        <v>401</v>
      </c>
      <c r="G159"/>
    </row>
    <row r="160" spans="1:7" x14ac:dyDescent="0.25">
      <c r="A160">
        <v>159</v>
      </c>
      <c r="B160">
        <v>10000</v>
      </c>
      <c r="C160" t="s">
        <v>402</v>
      </c>
      <c r="G160"/>
    </row>
    <row r="161" spans="1:7" x14ac:dyDescent="0.25">
      <c r="A161">
        <v>160</v>
      </c>
      <c r="B161">
        <v>10000</v>
      </c>
      <c r="C161" t="s">
        <v>403</v>
      </c>
      <c r="G161"/>
    </row>
    <row r="162" spans="1:7" x14ac:dyDescent="0.25">
      <c r="A162">
        <v>161</v>
      </c>
      <c r="B162">
        <v>10020</v>
      </c>
      <c r="C162" t="s">
        <v>404</v>
      </c>
      <c r="G162"/>
    </row>
    <row r="163" spans="1:7" x14ac:dyDescent="0.25">
      <c r="A163">
        <v>162</v>
      </c>
      <c r="B163">
        <v>10000</v>
      </c>
      <c r="C163" t="s">
        <v>405</v>
      </c>
      <c r="G163"/>
    </row>
    <row r="164" spans="1:7" x14ac:dyDescent="0.25">
      <c r="A164">
        <v>163</v>
      </c>
      <c r="B164">
        <v>10000</v>
      </c>
      <c r="C164" t="s">
        <v>406</v>
      </c>
      <c r="G164"/>
    </row>
    <row r="165" spans="1:7" x14ac:dyDescent="0.25">
      <c r="A165">
        <v>164</v>
      </c>
      <c r="B165">
        <v>8620</v>
      </c>
      <c r="C165" t="s">
        <v>407</v>
      </c>
      <c r="G165"/>
    </row>
    <row r="166" spans="1:7" x14ac:dyDescent="0.25">
      <c r="A166">
        <v>165</v>
      </c>
      <c r="B166">
        <v>10000</v>
      </c>
      <c r="C166" t="s">
        <v>408</v>
      </c>
      <c r="G166"/>
    </row>
    <row r="167" spans="1:7" x14ac:dyDescent="0.25">
      <c r="A167">
        <v>166</v>
      </c>
      <c r="B167">
        <v>10020</v>
      </c>
      <c r="C167" t="s">
        <v>409</v>
      </c>
      <c r="G167"/>
    </row>
    <row r="168" spans="1:7" x14ac:dyDescent="0.25">
      <c r="A168">
        <v>167</v>
      </c>
      <c r="B168">
        <v>10000</v>
      </c>
      <c r="C168" t="s">
        <v>410</v>
      </c>
      <c r="G168"/>
    </row>
    <row r="169" spans="1:7" x14ac:dyDescent="0.25">
      <c r="A169">
        <v>168</v>
      </c>
      <c r="B169">
        <v>10000</v>
      </c>
      <c r="C169" t="s">
        <v>411</v>
      </c>
      <c r="G169"/>
    </row>
    <row r="170" spans="1:7" x14ac:dyDescent="0.25">
      <c r="A170">
        <v>169</v>
      </c>
      <c r="B170">
        <v>10000</v>
      </c>
      <c r="C170" t="s">
        <v>412</v>
      </c>
      <c r="G170"/>
    </row>
    <row r="171" spans="1:7" x14ac:dyDescent="0.25">
      <c r="A171">
        <v>170</v>
      </c>
      <c r="B171">
        <v>10000</v>
      </c>
      <c r="C171" t="s">
        <v>413</v>
      </c>
      <c r="G171"/>
    </row>
    <row r="172" spans="1:7" x14ac:dyDescent="0.25">
      <c r="A172">
        <v>171</v>
      </c>
      <c r="B172">
        <v>10020</v>
      </c>
      <c r="C172" t="s">
        <v>414</v>
      </c>
      <c r="G172"/>
    </row>
    <row r="173" spans="1:7" x14ac:dyDescent="0.25">
      <c r="A173">
        <v>172</v>
      </c>
      <c r="B173">
        <v>10000</v>
      </c>
      <c r="C173" t="s">
        <v>415</v>
      </c>
      <c r="G173"/>
    </row>
    <row r="174" spans="1:7" x14ac:dyDescent="0.25">
      <c r="A174">
        <v>173</v>
      </c>
      <c r="B174">
        <v>10040</v>
      </c>
      <c r="C174" t="s">
        <v>416</v>
      </c>
      <c r="G174"/>
    </row>
    <row r="175" spans="1:7" x14ac:dyDescent="0.25">
      <c r="A175">
        <v>174</v>
      </c>
      <c r="B175">
        <v>10000</v>
      </c>
      <c r="C175" t="s">
        <v>417</v>
      </c>
      <c r="G175"/>
    </row>
    <row r="176" spans="1:7" x14ac:dyDescent="0.25">
      <c r="A176">
        <v>175</v>
      </c>
      <c r="B176">
        <v>10000</v>
      </c>
      <c r="C176" t="s">
        <v>418</v>
      </c>
      <c r="G176"/>
    </row>
    <row r="177" spans="1:7" x14ac:dyDescent="0.25">
      <c r="A177">
        <v>176</v>
      </c>
      <c r="B177">
        <v>10020</v>
      </c>
      <c r="C177" t="s">
        <v>419</v>
      </c>
      <c r="G177"/>
    </row>
    <row r="178" spans="1:7" x14ac:dyDescent="0.25">
      <c r="A178">
        <v>177</v>
      </c>
      <c r="B178">
        <v>10000</v>
      </c>
      <c r="C178" t="s">
        <v>420</v>
      </c>
      <c r="G178"/>
    </row>
    <row r="179" spans="1:7" x14ac:dyDescent="0.25">
      <c r="A179">
        <v>178</v>
      </c>
      <c r="B179">
        <v>10000</v>
      </c>
      <c r="C179" t="s">
        <v>421</v>
      </c>
      <c r="G179"/>
    </row>
    <row r="180" spans="1:7" x14ac:dyDescent="0.25">
      <c r="A180">
        <v>179</v>
      </c>
      <c r="B180">
        <v>10000</v>
      </c>
      <c r="C180" t="s">
        <v>422</v>
      </c>
      <c r="G180"/>
    </row>
    <row r="181" spans="1:7" x14ac:dyDescent="0.25">
      <c r="A181">
        <v>180</v>
      </c>
      <c r="B181">
        <v>9980</v>
      </c>
      <c r="C181" t="s">
        <v>423</v>
      </c>
      <c r="G181"/>
    </row>
    <row r="182" spans="1:7" x14ac:dyDescent="0.25">
      <c r="A182">
        <v>181</v>
      </c>
      <c r="B182">
        <v>10000</v>
      </c>
      <c r="C182" t="s">
        <v>424</v>
      </c>
      <c r="G182"/>
    </row>
    <row r="183" spans="1:7" x14ac:dyDescent="0.25">
      <c r="A183">
        <v>182</v>
      </c>
      <c r="B183">
        <v>10000</v>
      </c>
      <c r="C183" t="s">
        <v>425</v>
      </c>
      <c r="G183"/>
    </row>
    <row r="184" spans="1:7" x14ac:dyDescent="0.25">
      <c r="A184">
        <v>183</v>
      </c>
      <c r="B184">
        <v>10160</v>
      </c>
      <c r="C184" t="s">
        <v>426</v>
      </c>
      <c r="G184"/>
    </row>
    <row r="185" spans="1:7" x14ac:dyDescent="0.25">
      <c r="A185">
        <v>184</v>
      </c>
      <c r="B185">
        <v>10000</v>
      </c>
      <c r="C185" t="s">
        <v>427</v>
      </c>
      <c r="G185"/>
    </row>
    <row r="186" spans="1:7" x14ac:dyDescent="0.25">
      <c r="A186">
        <v>185</v>
      </c>
      <c r="B186">
        <v>10020</v>
      </c>
      <c r="C186" t="s">
        <v>428</v>
      </c>
      <c r="G186"/>
    </row>
    <row r="187" spans="1:7" x14ac:dyDescent="0.25">
      <c r="A187">
        <v>186</v>
      </c>
      <c r="B187">
        <v>10000</v>
      </c>
      <c r="C187" t="s">
        <v>429</v>
      </c>
      <c r="G187"/>
    </row>
    <row r="188" spans="1:7" x14ac:dyDescent="0.25">
      <c r="A188">
        <v>187</v>
      </c>
      <c r="B188">
        <v>10020</v>
      </c>
      <c r="C188" t="s">
        <v>430</v>
      </c>
      <c r="G188"/>
    </row>
    <row r="189" spans="1:7" x14ac:dyDescent="0.25">
      <c r="A189">
        <v>188</v>
      </c>
      <c r="B189">
        <v>10020</v>
      </c>
      <c r="C189" t="s">
        <v>431</v>
      </c>
      <c r="G189"/>
    </row>
    <row r="190" spans="1:7" x14ac:dyDescent="0.25">
      <c r="A190">
        <v>189</v>
      </c>
      <c r="B190">
        <v>10020</v>
      </c>
      <c r="C190" t="s">
        <v>432</v>
      </c>
      <c r="G190"/>
    </row>
    <row r="191" spans="1:7" x14ac:dyDescent="0.25">
      <c r="A191">
        <v>190</v>
      </c>
      <c r="B191">
        <v>10020</v>
      </c>
      <c r="C191" t="s">
        <v>433</v>
      </c>
      <c r="G191"/>
    </row>
    <row r="192" spans="1:7" x14ac:dyDescent="0.25">
      <c r="A192">
        <v>191</v>
      </c>
      <c r="B192">
        <v>10020</v>
      </c>
      <c r="C192" t="s">
        <v>434</v>
      </c>
      <c r="G192"/>
    </row>
    <row r="193" spans="1:7" x14ac:dyDescent="0.25">
      <c r="A193">
        <v>192</v>
      </c>
      <c r="B193">
        <v>10020</v>
      </c>
      <c r="C193" t="s">
        <v>435</v>
      </c>
      <c r="G193"/>
    </row>
    <row r="194" spans="1:7" x14ac:dyDescent="0.25">
      <c r="A194">
        <v>193</v>
      </c>
      <c r="B194">
        <v>10020</v>
      </c>
      <c r="C194" t="s">
        <v>436</v>
      </c>
      <c r="G194"/>
    </row>
    <row r="195" spans="1:7" x14ac:dyDescent="0.25">
      <c r="A195">
        <v>194</v>
      </c>
      <c r="B195">
        <v>10020</v>
      </c>
      <c r="C195" t="s">
        <v>437</v>
      </c>
      <c r="G195"/>
    </row>
    <row r="196" spans="1:7" x14ac:dyDescent="0.25">
      <c r="A196">
        <v>195</v>
      </c>
      <c r="B196">
        <v>10000</v>
      </c>
      <c r="C196" t="s">
        <v>438</v>
      </c>
      <c r="G196"/>
    </row>
    <row r="197" spans="1:7" x14ac:dyDescent="0.25">
      <c r="A197">
        <v>196</v>
      </c>
      <c r="B197">
        <v>10000</v>
      </c>
      <c r="C197" t="s">
        <v>439</v>
      </c>
      <c r="G197"/>
    </row>
    <row r="198" spans="1:7" x14ac:dyDescent="0.25">
      <c r="A198">
        <v>197</v>
      </c>
      <c r="B198">
        <v>10000</v>
      </c>
      <c r="C198" t="s">
        <v>440</v>
      </c>
      <c r="G198"/>
    </row>
    <row r="199" spans="1:7" x14ac:dyDescent="0.25">
      <c r="A199">
        <v>198</v>
      </c>
      <c r="B199">
        <v>9960</v>
      </c>
      <c r="C199" t="s">
        <v>441</v>
      </c>
      <c r="G199"/>
    </row>
    <row r="200" spans="1:7" x14ac:dyDescent="0.25">
      <c r="A200">
        <v>199</v>
      </c>
      <c r="B200">
        <v>10000</v>
      </c>
      <c r="C200" t="s">
        <v>442</v>
      </c>
      <c r="G200"/>
    </row>
    <row r="201" spans="1:7" x14ac:dyDescent="0.25">
      <c r="A201">
        <v>200</v>
      </c>
      <c r="B201">
        <v>10000</v>
      </c>
      <c r="C201" t="s">
        <v>443</v>
      </c>
      <c r="G201"/>
    </row>
    <row r="202" spans="1:7" x14ac:dyDescent="0.25">
      <c r="A202">
        <v>201</v>
      </c>
      <c r="B202">
        <v>10020</v>
      </c>
      <c r="C202" t="s">
        <v>444</v>
      </c>
      <c r="G202"/>
    </row>
    <row r="203" spans="1:7" x14ac:dyDescent="0.25">
      <c r="A203">
        <v>202</v>
      </c>
      <c r="B203">
        <v>10020</v>
      </c>
      <c r="C203" t="s">
        <v>445</v>
      </c>
      <c r="G203"/>
    </row>
    <row r="204" spans="1:7" x14ac:dyDescent="0.25">
      <c r="A204">
        <v>203</v>
      </c>
      <c r="B204">
        <v>9980</v>
      </c>
      <c r="C204" t="s">
        <v>446</v>
      </c>
      <c r="G204"/>
    </row>
    <row r="205" spans="1:7" x14ac:dyDescent="0.25">
      <c r="A205">
        <v>204</v>
      </c>
      <c r="B205">
        <v>10000</v>
      </c>
      <c r="C205" t="s">
        <v>447</v>
      </c>
      <c r="G205"/>
    </row>
    <row r="206" spans="1:7" x14ac:dyDescent="0.25">
      <c r="A206">
        <v>205</v>
      </c>
      <c r="B206">
        <v>10020</v>
      </c>
      <c r="C206" t="s">
        <v>448</v>
      </c>
      <c r="G206"/>
    </row>
    <row r="207" spans="1:7" x14ac:dyDescent="0.25">
      <c r="A207">
        <v>206</v>
      </c>
      <c r="B207">
        <v>10000</v>
      </c>
      <c r="C207" t="s">
        <v>449</v>
      </c>
      <c r="G207"/>
    </row>
    <row r="208" spans="1:7" x14ac:dyDescent="0.25">
      <c r="A208">
        <v>207</v>
      </c>
      <c r="B208">
        <v>10000</v>
      </c>
      <c r="C208" t="s">
        <v>450</v>
      </c>
      <c r="G208"/>
    </row>
    <row r="209" spans="1:7" x14ac:dyDescent="0.25">
      <c r="A209">
        <v>208</v>
      </c>
      <c r="B209">
        <v>10020</v>
      </c>
      <c r="C209" t="s">
        <v>451</v>
      </c>
      <c r="G209"/>
    </row>
    <row r="210" spans="1:7" x14ac:dyDescent="0.25">
      <c r="A210">
        <v>209</v>
      </c>
      <c r="B210">
        <v>10020</v>
      </c>
      <c r="C210" t="s">
        <v>452</v>
      </c>
      <c r="G210"/>
    </row>
    <row r="211" spans="1:7" x14ac:dyDescent="0.25">
      <c r="A211">
        <v>210</v>
      </c>
      <c r="B211">
        <v>10020</v>
      </c>
      <c r="C211" t="s">
        <v>453</v>
      </c>
      <c r="G211"/>
    </row>
    <row r="212" spans="1:7" x14ac:dyDescent="0.25">
      <c r="A212">
        <v>211</v>
      </c>
      <c r="B212">
        <v>10000</v>
      </c>
      <c r="C212" t="s">
        <v>454</v>
      </c>
      <c r="G212"/>
    </row>
    <row r="213" spans="1:7" x14ac:dyDescent="0.25">
      <c r="A213">
        <v>212</v>
      </c>
      <c r="B213">
        <v>9980</v>
      </c>
      <c r="C213" t="s">
        <v>455</v>
      </c>
      <c r="G213"/>
    </row>
    <row r="214" spans="1:7" x14ac:dyDescent="0.25">
      <c r="A214">
        <v>213</v>
      </c>
      <c r="B214">
        <v>9980</v>
      </c>
      <c r="C214" t="s">
        <v>456</v>
      </c>
      <c r="G214"/>
    </row>
    <row r="215" spans="1:7" x14ac:dyDescent="0.25">
      <c r="A215">
        <v>214</v>
      </c>
      <c r="B215">
        <v>10000</v>
      </c>
      <c r="C215" t="s">
        <v>457</v>
      </c>
      <c r="G215"/>
    </row>
    <row r="216" spans="1:7" x14ac:dyDescent="0.25">
      <c r="A216">
        <v>215</v>
      </c>
      <c r="B216">
        <v>10000</v>
      </c>
      <c r="C216" t="s">
        <v>458</v>
      </c>
      <c r="G216"/>
    </row>
    <row r="217" spans="1:7" x14ac:dyDescent="0.25">
      <c r="A217">
        <v>216</v>
      </c>
      <c r="B217">
        <v>10000</v>
      </c>
      <c r="C217" t="s">
        <v>459</v>
      </c>
      <c r="G217"/>
    </row>
    <row r="218" spans="1:7" x14ac:dyDescent="0.25">
      <c r="A218">
        <v>217</v>
      </c>
      <c r="B218">
        <v>10000</v>
      </c>
      <c r="C218" t="s">
        <v>460</v>
      </c>
      <c r="G218"/>
    </row>
    <row r="219" spans="1:7" x14ac:dyDescent="0.25">
      <c r="A219">
        <v>218</v>
      </c>
      <c r="B219">
        <v>10000</v>
      </c>
      <c r="C219" t="s">
        <v>461</v>
      </c>
      <c r="G219"/>
    </row>
    <row r="220" spans="1:7" x14ac:dyDescent="0.25">
      <c r="A220">
        <v>219</v>
      </c>
      <c r="B220">
        <v>10020</v>
      </c>
      <c r="C220" t="s">
        <v>462</v>
      </c>
      <c r="G220"/>
    </row>
    <row r="221" spans="1:7" x14ac:dyDescent="0.25">
      <c r="A221">
        <v>220</v>
      </c>
      <c r="B221">
        <v>10040</v>
      </c>
      <c r="C221" t="s">
        <v>463</v>
      </c>
      <c r="G221"/>
    </row>
    <row r="222" spans="1:7" x14ac:dyDescent="0.25">
      <c r="A222">
        <v>221</v>
      </c>
      <c r="B222">
        <v>10020</v>
      </c>
      <c r="C222" t="s">
        <v>464</v>
      </c>
      <c r="G222"/>
    </row>
    <row r="223" spans="1:7" x14ac:dyDescent="0.25">
      <c r="A223">
        <v>222</v>
      </c>
      <c r="B223">
        <v>10020</v>
      </c>
      <c r="C223" t="s">
        <v>465</v>
      </c>
      <c r="G223"/>
    </row>
    <row r="224" spans="1:7" x14ac:dyDescent="0.25">
      <c r="A224">
        <v>223</v>
      </c>
      <c r="B224">
        <v>10000</v>
      </c>
      <c r="C224" t="s">
        <v>466</v>
      </c>
      <c r="G224"/>
    </row>
    <row r="225" spans="1:7" x14ac:dyDescent="0.25">
      <c r="A225">
        <v>224</v>
      </c>
      <c r="B225">
        <v>10000</v>
      </c>
      <c r="C225" t="s">
        <v>467</v>
      </c>
      <c r="G225"/>
    </row>
    <row r="226" spans="1:7" x14ac:dyDescent="0.25">
      <c r="A226">
        <v>225</v>
      </c>
      <c r="B226">
        <v>10000</v>
      </c>
      <c r="C226" t="s">
        <v>468</v>
      </c>
      <c r="G226"/>
    </row>
    <row r="227" spans="1:7" x14ac:dyDescent="0.25">
      <c r="A227">
        <v>226</v>
      </c>
      <c r="B227">
        <v>10080</v>
      </c>
      <c r="C227" t="s">
        <v>469</v>
      </c>
      <c r="G227"/>
    </row>
    <row r="228" spans="1:7" x14ac:dyDescent="0.25">
      <c r="A228">
        <v>227</v>
      </c>
      <c r="B228">
        <v>10000</v>
      </c>
      <c r="C228" t="s">
        <v>470</v>
      </c>
      <c r="G228"/>
    </row>
    <row r="229" spans="1:7" x14ac:dyDescent="0.25">
      <c r="A229">
        <v>228</v>
      </c>
      <c r="B229">
        <v>10040</v>
      </c>
      <c r="C229" t="s">
        <v>471</v>
      </c>
      <c r="G229"/>
    </row>
    <row r="230" spans="1:7" x14ac:dyDescent="0.25">
      <c r="A230">
        <v>229</v>
      </c>
      <c r="B230">
        <v>10040</v>
      </c>
      <c r="C230" t="s">
        <v>472</v>
      </c>
      <c r="G230"/>
    </row>
    <row r="231" spans="1:7" x14ac:dyDescent="0.25">
      <c r="A231">
        <v>230</v>
      </c>
      <c r="B231">
        <v>10020</v>
      </c>
      <c r="C231" t="s">
        <v>473</v>
      </c>
      <c r="G231"/>
    </row>
    <row r="232" spans="1:7" x14ac:dyDescent="0.25">
      <c r="A232">
        <v>231</v>
      </c>
      <c r="B232">
        <v>10020</v>
      </c>
      <c r="C232" t="s">
        <v>474</v>
      </c>
      <c r="G232"/>
    </row>
    <row r="233" spans="1:7" x14ac:dyDescent="0.25">
      <c r="A233">
        <v>232</v>
      </c>
      <c r="B233">
        <v>10020</v>
      </c>
      <c r="C233" t="s">
        <v>475</v>
      </c>
      <c r="G233"/>
    </row>
    <row r="234" spans="1:7" x14ac:dyDescent="0.25">
      <c r="A234">
        <v>233</v>
      </c>
      <c r="B234">
        <v>10000</v>
      </c>
      <c r="C234" t="s">
        <v>476</v>
      </c>
      <c r="G234"/>
    </row>
    <row r="235" spans="1:7" x14ac:dyDescent="0.25">
      <c r="A235">
        <v>234</v>
      </c>
      <c r="B235">
        <v>10040</v>
      </c>
      <c r="C235" t="s">
        <v>477</v>
      </c>
      <c r="G235"/>
    </row>
    <row r="236" spans="1:7" x14ac:dyDescent="0.25">
      <c r="A236">
        <v>235</v>
      </c>
      <c r="B236">
        <v>10020</v>
      </c>
      <c r="C236" t="s">
        <v>478</v>
      </c>
      <c r="G236"/>
    </row>
    <row r="237" spans="1:7" x14ac:dyDescent="0.25">
      <c r="A237">
        <v>236</v>
      </c>
      <c r="B237">
        <v>10040</v>
      </c>
      <c r="C237" t="s">
        <v>479</v>
      </c>
      <c r="G237"/>
    </row>
    <row r="238" spans="1:7" x14ac:dyDescent="0.25">
      <c r="A238">
        <v>237</v>
      </c>
      <c r="B238">
        <v>10020</v>
      </c>
      <c r="C238" t="s">
        <v>480</v>
      </c>
      <c r="G238"/>
    </row>
    <row r="239" spans="1:7" x14ac:dyDescent="0.25">
      <c r="A239">
        <v>238</v>
      </c>
      <c r="B239">
        <v>10020</v>
      </c>
      <c r="C239" t="s">
        <v>481</v>
      </c>
      <c r="G239"/>
    </row>
    <row r="240" spans="1:7" x14ac:dyDescent="0.25">
      <c r="A240">
        <v>239</v>
      </c>
      <c r="B240">
        <v>10040</v>
      </c>
      <c r="C240" t="s">
        <v>482</v>
      </c>
      <c r="G240"/>
    </row>
    <row r="241" spans="1:7" x14ac:dyDescent="0.25">
      <c r="A241">
        <v>240</v>
      </c>
      <c r="B241">
        <v>10020</v>
      </c>
      <c r="C241" t="s">
        <v>483</v>
      </c>
      <c r="G241"/>
    </row>
    <row r="242" spans="1:7" x14ac:dyDescent="0.25">
      <c r="A242">
        <v>241</v>
      </c>
      <c r="B242">
        <v>10020</v>
      </c>
      <c r="C242" t="s">
        <v>484</v>
      </c>
      <c r="G242"/>
    </row>
    <row r="243" spans="1:7" x14ac:dyDescent="0.25">
      <c r="A243">
        <v>242</v>
      </c>
      <c r="B243">
        <v>10040</v>
      </c>
      <c r="C243" t="s">
        <v>485</v>
      </c>
      <c r="G243"/>
    </row>
    <row r="244" spans="1:7" x14ac:dyDescent="0.25">
      <c r="A244">
        <v>243</v>
      </c>
      <c r="B244">
        <v>10020</v>
      </c>
      <c r="C244" t="s">
        <v>486</v>
      </c>
      <c r="G244"/>
    </row>
    <row r="245" spans="1:7" x14ac:dyDescent="0.25">
      <c r="A245">
        <v>244</v>
      </c>
      <c r="B245">
        <v>10020</v>
      </c>
      <c r="C245" t="s">
        <v>487</v>
      </c>
      <c r="G245"/>
    </row>
    <row r="246" spans="1:7" x14ac:dyDescent="0.25">
      <c r="A246">
        <v>245</v>
      </c>
      <c r="B246">
        <v>10000</v>
      </c>
      <c r="C246" t="s">
        <v>488</v>
      </c>
      <c r="G246"/>
    </row>
    <row r="247" spans="1:7" x14ac:dyDescent="0.25">
      <c r="A247">
        <v>246</v>
      </c>
      <c r="B247">
        <v>10040</v>
      </c>
      <c r="C247" t="s">
        <v>489</v>
      </c>
      <c r="G247"/>
    </row>
    <row r="248" spans="1:7" x14ac:dyDescent="0.25">
      <c r="A248">
        <v>247</v>
      </c>
      <c r="B248">
        <v>10020</v>
      </c>
      <c r="C248" t="s">
        <v>490</v>
      </c>
      <c r="G248"/>
    </row>
    <row r="249" spans="1:7" x14ac:dyDescent="0.25">
      <c r="A249">
        <v>248</v>
      </c>
      <c r="B249">
        <v>10040</v>
      </c>
      <c r="C249" t="s">
        <v>491</v>
      </c>
      <c r="G249"/>
    </row>
    <row r="250" spans="1:7" x14ac:dyDescent="0.25">
      <c r="A250">
        <v>249</v>
      </c>
      <c r="B250">
        <v>10040</v>
      </c>
      <c r="C250" t="s">
        <v>492</v>
      </c>
      <c r="G250"/>
    </row>
    <row r="251" spans="1:7" x14ac:dyDescent="0.25">
      <c r="A251">
        <v>250</v>
      </c>
      <c r="B251">
        <v>10020</v>
      </c>
      <c r="C251" t="s">
        <v>493</v>
      </c>
      <c r="G251"/>
    </row>
    <row r="252" spans="1:7" x14ac:dyDescent="0.25">
      <c r="A252">
        <v>251</v>
      </c>
      <c r="B252">
        <v>10020</v>
      </c>
      <c r="C252" t="s">
        <v>494</v>
      </c>
      <c r="G252"/>
    </row>
    <row r="253" spans="1:7" x14ac:dyDescent="0.25">
      <c r="A253">
        <v>252</v>
      </c>
      <c r="B253">
        <v>10040</v>
      </c>
      <c r="C253" t="s">
        <v>495</v>
      </c>
      <c r="G253"/>
    </row>
    <row r="254" spans="1:7" x14ac:dyDescent="0.25">
      <c r="A254">
        <v>253</v>
      </c>
      <c r="B254">
        <v>10040</v>
      </c>
      <c r="C254" t="s">
        <v>496</v>
      </c>
      <c r="G254"/>
    </row>
    <row r="255" spans="1:7" x14ac:dyDescent="0.25">
      <c r="A255">
        <v>254</v>
      </c>
      <c r="B255">
        <v>10020</v>
      </c>
      <c r="C255" t="s">
        <v>497</v>
      </c>
      <c r="G255"/>
    </row>
    <row r="256" spans="1:7" x14ac:dyDescent="0.25">
      <c r="A256">
        <v>255</v>
      </c>
      <c r="B256">
        <v>10000</v>
      </c>
      <c r="C256" t="s">
        <v>498</v>
      </c>
      <c r="G256"/>
    </row>
    <row r="257" spans="1:7" x14ac:dyDescent="0.25">
      <c r="A257">
        <v>256</v>
      </c>
      <c r="B257">
        <v>10020</v>
      </c>
      <c r="C257" t="s">
        <v>499</v>
      </c>
      <c r="G257"/>
    </row>
    <row r="258" spans="1:7" x14ac:dyDescent="0.25">
      <c r="A258">
        <v>257</v>
      </c>
      <c r="B258">
        <v>10020</v>
      </c>
      <c r="C258" t="s">
        <v>500</v>
      </c>
      <c r="G258"/>
    </row>
    <row r="259" spans="1:7" x14ac:dyDescent="0.25">
      <c r="A259">
        <v>258</v>
      </c>
      <c r="B259">
        <v>10020</v>
      </c>
      <c r="C259" t="s">
        <v>501</v>
      </c>
      <c r="G259"/>
    </row>
    <row r="260" spans="1:7" x14ac:dyDescent="0.25">
      <c r="A260">
        <v>259</v>
      </c>
      <c r="B260">
        <v>10040</v>
      </c>
      <c r="C260" t="s">
        <v>502</v>
      </c>
      <c r="G260"/>
    </row>
    <row r="261" spans="1:7" x14ac:dyDescent="0.25">
      <c r="A261">
        <v>260</v>
      </c>
      <c r="B261">
        <v>10060</v>
      </c>
      <c r="C261" t="s">
        <v>503</v>
      </c>
      <c r="G261"/>
    </row>
    <row r="262" spans="1:7" x14ac:dyDescent="0.25">
      <c r="A262">
        <v>261</v>
      </c>
      <c r="B262">
        <v>10000</v>
      </c>
      <c r="C262" t="s">
        <v>504</v>
      </c>
      <c r="G262"/>
    </row>
    <row r="263" spans="1:7" x14ac:dyDescent="0.25">
      <c r="A263">
        <v>262</v>
      </c>
      <c r="B263">
        <v>10040</v>
      </c>
      <c r="C263" t="s">
        <v>505</v>
      </c>
      <c r="G263"/>
    </row>
    <row r="264" spans="1:7" x14ac:dyDescent="0.25">
      <c r="A264">
        <v>263</v>
      </c>
      <c r="B264">
        <v>10000</v>
      </c>
      <c r="C264" t="s">
        <v>506</v>
      </c>
      <c r="G264"/>
    </row>
    <row r="265" spans="1:7" x14ac:dyDescent="0.25">
      <c r="A265">
        <v>264</v>
      </c>
      <c r="B265">
        <v>10020</v>
      </c>
      <c r="C265" t="s">
        <v>507</v>
      </c>
      <c r="G265"/>
    </row>
    <row r="266" spans="1:7" x14ac:dyDescent="0.25">
      <c r="A266">
        <v>265</v>
      </c>
      <c r="B266">
        <v>10020</v>
      </c>
      <c r="C266" t="s">
        <v>508</v>
      </c>
      <c r="G266"/>
    </row>
    <row r="267" spans="1:7" x14ac:dyDescent="0.25">
      <c r="A267">
        <v>266</v>
      </c>
      <c r="B267">
        <v>10040</v>
      </c>
      <c r="C267" t="s">
        <v>509</v>
      </c>
      <c r="G267"/>
    </row>
    <row r="268" spans="1:7" x14ac:dyDescent="0.25">
      <c r="A268">
        <v>267</v>
      </c>
      <c r="B268">
        <v>10040</v>
      </c>
      <c r="C268" t="s">
        <v>510</v>
      </c>
      <c r="G268"/>
    </row>
    <row r="269" spans="1:7" x14ac:dyDescent="0.25">
      <c r="A269">
        <v>268</v>
      </c>
      <c r="B269">
        <v>10000</v>
      </c>
      <c r="C269" t="s">
        <v>511</v>
      </c>
      <c r="G269"/>
    </row>
    <row r="270" spans="1:7" x14ac:dyDescent="0.25">
      <c r="A270">
        <v>269</v>
      </c>
      <c r="B270">
        <v>10020</v>
      </c>
      <c r="C270" t="s">
        <v>512</v>
      </c>
      <c r="G270"/>
    </row>
    <row r="271" spans="1:7" x14ac:dyDescent="0.25">
      <c r="A271">
        <v>270</v>
      </c>
      <c r="B271">
        <v>10020</v>
      </c>
      <c r="C271" t="s">
        <v>513</v>
      </c>
      <c r="G271"/>
    </row>
    <row r="272" spans="1:7" x14ac:dyDescent="0.25">
      <c r="A272">
        <v>271</v>
      </c>
      <c r="B272">
        <v>10020</v>
      </c>
      <c r="C272" t="s">
        <v>514</v>
      </c>
      <c r="G272"/>
    </row>
    <row r="273" spans="1:7" x14ac:dyDescent="0.25">
      <c r="A273">
        <v>272</v>
      </c>
      <c r="B273">
        <v>19980</v>
      </c>
      <c r="C273" t="s">
        <v>515</v>
      </c>
      <c r="G273"/>
    </row>
    <row r="274" spans="1:7" x14ac:dyDescent="0.25">
      <c r="G274"/>
    </row>
    <row r="275" spans="1:7" x14ac:dyDescent="0.25">
      <c r="G275"/>
    </row>
    <row r="276" spans="1:7" x14ac:dyDescent="0.25">
      <c r="G276"/>
    </row>
    <row r="277" spans="1:7" x14ac:dyDescent="0.25">
      <c r="G277"/>
    </row>
    <row r="278" spans="1:7" x14ac:dyDescent="0.25">
      <c r="G278"/>
    </row>
    <row r="279" spans="1:7" x14ac:dyDescent="0.25">
      <c r="G279"/>
    </row>
    <row r="280" spans="1:7" x14ac:dyDescent="0.25">
      <c r="G280"/>
    </row>
    <row r="281" spans="1:7" x14ac:dyDescent="0.25">
      <c r="G281"/>
    </row>
    <row r="282" spans="1:7" x14ac:dyDescent="0.25">
      <c r="G282"/>
    </row>
    <row r="283" spans="1:7" x14ac:dyDescent="0.25">
      <c r="G283"/>
    </row>
    <row r="284" spans="1:7" x14ac:dyDescent="0.25">
      <c r="G284"/>
    </row>
    <row r="285" spans="1:7" x14ac:dyDescent="0.25">
      <c r="G285"/>
    </row>
    <row r="286" spans="1:7" x14ac:dyDescent="0.25">
      <c r="G286"/>
    </row>
    <row r="287" spans="1:7" x14ac:dyDescent="0.25">
      <c r="G287"/>
    </row>
    <row r="288" spans="1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1" t="s">
        <v>38</v>
      </c>
      <c r="H3" s="81"/>
      <c r="I3" s="81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1"/>
      <c r="H4" s="81"/>
      <c r="I4" s="81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2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2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2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3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4" t="s">
        <v>56</v>
      </c>
      <c r="B12" s="10" t="s">
        <v>21</v>
      </c>
    </row>
    <row r="13" spans="1:11" ht="30" x14ac:dyDescent="0.25">
      <c r="A13" s="44" t="s">
        <v>53</v>
      </c>
      <c r="B13" s="10" t="s">
        <v>22</v>
      </c>
    </row>
    <row r="14" spans="1:11" ht="38.25" x14ac:dyDescent="0.25">
      <c r="A14" s="45" t="s">
        <v>70</v>
      </c>
      <c r="B14" s="12" t="s">
        <v>23</v>
      </c>
    </row>
    <row r="15" spans="1:11" ht="45" x14ac:dyDescent="0.25">
      <c r="A15" s="46" t="s">
        <v>57</v>
      </c>
      <c r="B15" s="10" t="s">
        <v>24</v>
      </c>
    </row>
    <row r="16" spans="1:11" x14ac:dyDescent="0.25">
      <c r="A16" s="46" t="s">
        <v>25</v>
      </c>
      <c r="B16" s="10" t="s">
        <v>26</v>
      </c>
    </row>
    <row r="17" spans="1:2" x14ac:dyDescent="0.25">
      <c r="A17" s="46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2019-03-07T21:52:58Z</dcterms:modified>
</cp:coreProperties>
</file>