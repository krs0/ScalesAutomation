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r:id="rId2"/>
    <sheet name="Explicatii" sheetId="3" r:id="rId3"/>
    <sheet name="Header" sheetId="4" r:id="rId4"/>
  </sheets>
  <functionGroups builtInGroupCount="17"/>
  <definedNames>
    <definedName name="CA_1">Metrologie!$T$16</definedName>
    <definedName name="CA_2">Metrologie!$T$17</definedName>
    <definedName name="CMA">Metrologie!$B$10</definedName>
    <definedName name="CR_1">Metrologie!$V$16</definedName>
    <definedName name="CR_2">Metrologie!$V$17</definedName>
    <definedName name="ENT">Metrologie!$B$8</definedName>
    <definedName name="ES_1">Metrologie!$S$16</definedName>
    <definedName name="ES_2">Metrologie!$S$17</definedName>
    <definedName name="ES_3">Metrologie!$S$18</definedName>
    <definedName name="ES1_Status">Metrologie!$W$16</definedName>
    <definedName name="ES3_OK">Metrologie!$B$17</definedName>
    <definedName name="LotStatus">Metrologie!$W$16</definedName>
    <definedName name="ML">Metrologie!$B$9</definedName>
    <definedName name="Qn">Metrologie!$B$5</definedName>
    <definedName name="QnES3">Metrologie!$B$16</definedName>
    <definedName name="RN">Metrologie!$U$16</definedName>
    <definedName name="RN_1">Metrologie!$U$16</definedName>
    <definedName name="RN_2">Metrologie!$U$17</definedName>
    <definedName name="s">Metrologie!$B$14</definedName>
    <definedName name="SumOfSquares">Metrologie!$B$13</definedName>
    <definedName name="Ta">Metrologie!$B$7</definedName>
    <definedName name="test_1" localSheetId="1">RawData!#REF!</definedName>
    <definedName name="test_10" localSheetId="1">RawData!#REF!</definedName>
    <definedName name="test_11" localSheetId="1">RawData!#REF!</definedName>
    <definedName name="test_12" localSheetId="1">RawData!#REF!</definedName>
    <definedName name="test_13" localSheetId="1">RawData!#REF!</definedName>
    <definedName name="test_14" localSheetId="1">RawData!#REF!</definedName>
    <definedName name="test_15" localSheetId="1">RawData!#REF!</definedName>
    <definedName name="test_16" localSheetId="1">RawData!#REF!</definedName>
    <definedName name="test_17" localSheetId="1">RawData!#REF!</definedName>
    <definedName name="test_18" localSheetId="1">RawData!#REF!</definedName>
    <definedName name="test_19" localSheetId="1">RawData!#REF!</definedName>
    <definedName name="test_2" localSheetId="1">RawData!#REF!</definedName>
    <definedName name="test_20" localSheetId="1">RawData!#REF!</definedName>
    <definedName name="test_21" localSheetId="1">RawData!#REF!</definedName>
    <definedName name="test_22" localSheetId="1">RawData!#REF!</definedName>
    <definedName name="test_23" localSheetId="1">RawData!#REF!</definedName>
    <definedName name="test_24" localSheetId="1">RawData!#REF!</definedName>
    <definedName name="test_25" localSheetId="1">RawData!#REF!</definedName>
    <definedName name="test_26" localSheetId="1">RawData!#REF!</definedName>
    <definedName name="test_27" localSheetId="1">RawData!#REF!</definedName>
    <definedName name="test_28" localSheetId="1">RawData!#REF!</definedName>
    <definedName name="test_29" localSheetId="1">RawData!#REF!</definedName>
    <definedName name="test_3" localSheetId="1">RawData!#REF!</definedName>
    <definedName name="test_30" localSheetId="1">RawData!#REF!</definedName>
    <definedName name="test_4" localSheetId="1">RawData!#REF!</definedName>
    <definedName name="test_5" localSheetId="1">RawData!#REF!</definedName>
    <definedName name="test_6" localSheetId="1">RawData!$A$1:$I$212</definedName>
    <definedName name="test_8" localSheetId="1">RawData!#REF!</definedName>
    <definedName name="test_9" localSheetId="1">RawData!#REF!</definedName>
    <definedName name="Xi">Metrologie!$B$12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2" l="1"/>
  <c r="B13" i="2"/>
  <c r="Q225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5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P45" i="2"/>
  <c r="P44" i="2"/>
  <c r="P43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B12" i="2"/>
  <c r="O45" i="2"/>
  <c r="N45" i="2"/>
  <c r="O44" i="2"/>
  <c r="N44" i="2"/>
  <c r="O43" i="2"/>
  <c r="N43" i="2"/>
  <c r="O42" i="2"/>
  <c r="N42" i="2"/>
  <c r="O41" i="2"/>
  <c r="N41" i="2"/>
  <c r="O40" i="2"/>
  <c r="N40" i="2"/>
  <c r="O39" i="2"/>
  <c r="N39" i="2"/>
  <c r="O38" i="2"/>
  <c r="N38" i="2"/>
  <c r="O37" i="2"/>
  <c r="N37" i="2"/>
  <c r="O36" i="2"/>
  <c r="N36" i="2"/>
  <c r="O35" i="2"/>
  <c r="N35" i="2"/>
  <c r="O34" i="2"/>
  <c r="N34" i="2"/>
  <c r="O33" i="2"/>
  <c r="N33" i="2"/>
  <c r="O32" i="2"/>
  <c r="N32" i="2"/>
  <c r="O31" i="2"/>
  <c r="N31" i="2"/>
  <c r="O30" i="2"/>
  <c r="N30" i="2"/>
  <c r="O29" i="2"/>
  <c r="N29" i="2"/>
  <c r="O28" i="2"/>
  <c r="N28" i="2"/>
  <c r="O27" i="2"/>
  <c r="N27" i="2"/>
  <c r="O26" i="2"/>
  <c r="N26" i="2"/>
  <c r="O25" i="2"/>
  <c r="N25" i="2"/>
  <c r="O24" i="2"/>
  <c r="N24" i="2"/>
  <c r="O23" i="2"/>
  <c r="N23" i="2"/>
  <c r="O22" i="2"/>
  <c r="N22" i="2"/>
  <c r="O21" i="2"/>
  <c r="N21" i="2"/>
  <c r="O20" i="2"/>
  <c r="N20" i="2"/>
  <c r="O19" i="2"/>
  <c r="N19" i="2"/>
  <c r="O18" i="2"/>
  <c r="N18" i="2"/>
  <c r="O17" i="2"/>
  <c r="N17" i="2"/>
  <c r="O16" i="2"/>
  <c r="N16" i="2"/>
  <c r="O15" i="2"/>
  <c r="N15" i="2"/>
  <c r="M15" i="2"/>
  <c r="L15" i="2"/>
  <c r="K15" i="2"/>
  <c r="J45" i="2"/>
  <c r="I45" i="2"/>
  <c r="H45" i="2"/>
  <c r="J44" i="2"/>
  <c r="I44" i="2"/>
  <c r="H44" i="2"/>
  <c r="J43" i="2"/>
  <c r="I43" i="2"/>
  <c r="H43" i="2"/>
  <c r="J42" i="2"/>
  <c r="I42" i="2"/>
  <c r="H42" i="2"/>
  <c r="J41" i="2"/>
  <c r="I41" i="2"/>
  <c r="H41" i="2"/>
  <c r="J40" i="2"/>
  <c r="I40" i="2"/>
  <c r="H40" i="2"/>
  <c r="J39" i="2"/>
  <c r="I39" i="2"/>
  <c r="H39" i="2"/>
  <c r="J38" i="2"/>
  <c r="I38" i="2"/>
  <c r="H38" i="2"/>
  <c r="J37" i="2"/>
  <c r="I37" i="2"/>
  <c r="H37" i="2"/>
  <c r="J36" i="2"/>
  <c r="I36" i="2"/>
  <c r="H36" i="2"/>
  <c r="J35" i="2"/>
  <c r="I35" i="2"/>
  <c r="H35" i="2"/>
  <c r="J34" i="2"/>
  <c r="I34" i="2"/>
  <c r="H34" i="2"/>
  <c r="J33" i="2"/>
  <c r="I33" i="2"/>
  <c r="H33" i="2"/>
  <c r="J32" i="2"/>
  <c r="I32" i="2"/>
  <c r="H32" i="2"/>
  <c r="J31" i="2"/>
  <c r="I31" i="2"/>
  <c r="H31" i="2"/>
  <c r="J30" i="2"/>
  <c r="I30" i="2"/>
  <c r="H30" i="2"/>
  <c r="J29" i="2"/>
  <c r="I29" i="2"/>
  <c r="H29" i="2"/>
  <c r="J28" i="2"/>
  <c r="I28" i="2"/>
  <c r="H28" i="2"/>
  <c r="J27" i="2"/>
  <c r="I27" i="2"/>
  <c r="H27" i="2"/>
  <c r="J26" i="2"/>
  <c r="I26" i="2"/>
  <c r="H26" i="2"/>
  <c r="J25" i="2"/>
  <c r="I25" i="2"/>
  <c r="H25" i="2"/>
  <c r="J24" i="2"/>
  <c r="I24" i="2"/>
  <c r="H24" i="2"/>
  <c r="J23" i="2"/>
  <c r="I23" i="2"/>
  <c r="H23" i="2"/>
  <c r="J22" i="2"/>
  <c r="I22" i="2"/>
  <c r="H22" i="2"/>
  <c r="J21" i="2"/>
  <c r="I21" i="2"/>
  <c r="H21" i="2"/>
  <c r="J20" i="2"/>
  <c r="I20" i="2"/>
  <c r="H20" i="2"/>
  <c r="J19" i="2"/>
  <c r="I19" i="2"/>
  <c r="H19" i="2"/>
  <c r="J18" i="2"/>
  <c r="I18" i="2"/>
  <c r="H18" i="2"/>
  <c r="J17" i="2"/>
  <c r="I17" i="2"/>
  <c r="H17" i="2"/>
  <c r="J16" i="2"/>
  <c r="I16" i="2"/>
  <c r="H16" i="2"/>
  <c r="J15" i="2"/>
  <c r="I15" i="2"/>
  <c r="H15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S16" i="2" l="1"/>
  <c r="S17" i="2" s="1"/>
  <c r="V17" i="2"/>
  <c r="T17" i="2"/>
  <c r="V16" i="2"/>
  <c r="T16" i="2"/>
  <c r="J69" i="3"/>
  <c r="J68" i="3"/>
  <c r="K68" i="3" s="1"/>
  <c r="K60" i="3"/>
  <c r="J60" i="3"/>
  <c r="J59" i="3"/>
  <c r="L58" i="3"/>
  <c r="J58" i="3"/>
  <c r="K58" i="3" s="1"/>
  <c r="L50" i="3"/>
  <c r="L44" i="3"/>
  <c r="J41" i="3"/>
  <c r="J42" i="3" s="1"/>
  <c r="P38" i="3"/>
  <c r="P39" i="3" s="1"/>
  <c r="P36" i="3"/>
  <c r="P37" i="3" s="1"/>
  <c r="P34" i="3"/>
  <c r="P35" i="3" s="1"/>
  <c r="I29" i="3"/>
  <c r="L42" i="3" l="1"/>
  <c r="K42" i="3"/>
  <c r="L51" i="3" s="1"/>
  <c r="L68" i="3"/>
  <c r="L41" i="3"/>
  <c r="K41" i="3"/>
  <c r="L45" i="3" s="1"/>
  <c r="B11" i="2"/>
  <c r="B7" i="2" l="1"/>
  <c r="B5" i="2"/>
  <c r="B6" i="2"/>
  <c r="B4" i="2"/>
  <c r="B3" i="2"/>
  <c r="B10" i="2" l="1"/>
  <c r="U16" i="2" l="1"/>
  <c r="W16" i="2" s="1"/>
  <c r="W17" i="2" s="1"/>
  <c r="B14" i="2" l="1"/>
  <c r="B16" i="2" s="1"/>
  <c r="U17" i="2"/>
</calcChain>
</file>

<file path=xl/comments1.xml><?xml version="1.0" encoding="utf-8"?>
<comments xmlns="http://schemas.openxmlformats.org/spreadsheetml/2006/main">
  <authors>
    <author>krs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=  CF TABEL    
Qn in g sau ml - ENT in %,g sau ml
5 &lt;= Qn &lt;= 50  9%
50 &lt;= Qn &lt;= 100 4.5g
100 &lt;= Qn &lt;= 200 4.5%
200 &lt;= Qn &lt;= 300 9g
300 &lt;= Qn &lt;= 500 3%
500 &lt;= Qn &lt;= 1000 15g
1000&lt;= Qn &lt;= 10000 1.5%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49_1236_Gut80-MargarinaCreme_Cutie_20Kg" type="6" refreshedVersion="4" background="1" refreshOnLoad="1" saveData="1">
    <textPr prompt="0" codePage="437" sourceFile="C:\Home\Krs\Work\Cantar\ScalesAutomation\Distribution\CSVOutput\2018-03-04-072149_1236_Gut80-MargarinaCreme_Cutie_20Kg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<sst xmlns="http://schemas.openxmlformats.org/spreadsheetml/2006/main" count="180" uniqueCount="145">
  <si>
    <t>CSV Measurements folder Path:</t>
  </si>
  <si>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</si>
  <si>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</si>
  <si>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</si>
  <si>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</si>
  <si>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</si>
  <si>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</si>
  <si>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</si>
  <si>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</si>
  <si>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</si>
  <si>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</si>
  <si>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</si>
  <si>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COLOANA</t>
  </si>
  <si>
    <t>EXPLICATIE</t>
  </si>
  <si>
    <t>nr cantariri</t>
  </si>
  <si>
    <t>A</t>
  </si>
  <si>
    <t>NR. DE CANTARIRI = NR. DE PREAMBALATE</t>
  </si>
  <si>
    <t>DATA</t>
  </si>
  <si>
    <t>B</t>
  </si>
  <si>
    <t>DATA LA CARE SE FACE CANTARIREA</t>
  </si>
  <si>
    <t xml:space="preserve">ORA </t>
  </si>
  <si>
    <t>C</t>
  </si>
  <si>
    <t>ORA LA CARE SE FACE CANTATIREA</t>
  </si>
  <si>
    <t>CANTITATE CANTARITA [Cc]</t>
  </si>
  <si>
    <t>D</t>
  </si>
  <si>
    <t>CANTITATEA EFECTIV CANTARITA =PRODUS + AMBALAJ</t>
  </si>
  <si>
    <t>COMPARATIE EN&gt;2ENT  PRODUS FARA E  NU SE COMERCIALZEAZA</t>
  </si>
  <si>
    <t>E</t>
  </si>
  <si>
    <t>SE COMPARA  EROAREA NEGATIVA[EN] CU DUBLUL ERORII NEGATIVE TOLERATAENT]   DACA EN&gt;2*ENT PRODUSUL NU POATE AVEA SIMBOLUL E SI NU VA FI COMERCIALIZAT</t>
  </si>
  <si>
    <t>NR. ES1</t>
  </si>
  <si>
    <t>F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</si>
  <si>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</si>
  <si>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CONTINUTUL REAL Cr1</t>
  </si>
  <si>
    <t>G</t>
  </si>
  <si>
    <t>CANTITATEA DE PRODUS REAL[Cr1} =CANTITATEA CANTARITA[Cc] -TARA AMBALAJ[Ta]; IN FUNCTIE DE MARIMEA LOTULUI SE VOR LUA, PT. CALCUL ALEATORIU  30, 50, 80 DE CANTARIRI DIN COL.D</t>
  </si>
  <si>
    <t>Comparatie Cr1 cu CMA A/N</t>
  </si>
  <si>
    <t>H</t>
  </si>
  <si>
    <t>SE COMPARA [Cr1] CU CONTINUTUL MINIM ADMIS[CMA]; DACA Cr1&gt;CMA PREAMBALAT ADMIS   DACA Cr1&lt;CMA PREAMBALAT NECORESPUNZATOR A/N</t>
  </si>
  <si>
    <t>NR. ES2</t>
  </si>
  <si>
    <t>I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</si>
  <si>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</si>
  <si>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CONTINUTUL REAL Cr2</t>
  </si>
  <si>
    <t>J</t>
  </si>
  <si>
    <t>CANTITATEA DE PRODUS REAL[Cr2] =CANTITATEA CANTARITA[Cc] -TARA AMBALAJ[Ta]: IN FUNCTIE DE MARIMEA LOTULUI SE VOR LUA, PT. CALCUL ALEATORIU  30, 50, 80 DE CANTARIRI DIN COL.D</t>
  </si>
  <si>
    <t>Comparatie Cr cu CMA A/N</t>
  </si>
  <si>
    <t>K</t>
  </si>
  <si>
    <t>SE COMPARA [Cr2] CU CONTINUTUL MINIM ADMIS[CMA]; DACA Cr2&gt;CMA PREAMBALAT ADMIS   DACA Cr2&lt;CMA PREAMBALAT NECORESPUNZATOR A/N</t>
  </si>
  <si>
    <t>NR. ES3</t>
  </si>
  <si>
    <t>L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</si>
  <si>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</si>
  <si>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>CONTINUTUL REAL Cr3</t>
  </si>
  <si>
    <t>M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</si>
  <si>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</si>
  <si>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</si>
  <si>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N</t>
  </si>
  <si>
    <t>DIN CONTINUTUL REAL 3 [Cr3] SE SCADE MEDIA CONTINUTULUI REAL Xi MEDIU</t>
  </si>
  <si>
    <t>[VLUM REAL ES3 - Xi MEDIU]2</t>
  </si>
  <si>
    <t>O</t>
  </si>
  <si>
    <t>COL N LA PATRAT</t>
  </si>
  <si>
    <r>
      <t xml:space="preserve">EROARE NEGATIVA TOLERATA </t>
    </r>
    <r>
      <rPr>
        <b/>
        <sz val="12"/>
        <rFont val="Arial"/>
        <family val="2"/>
      </rPr>
      <t>[ENT]</t>
    </r>
    <r>
      <rPr>
        <sz val="12"/>
        <rFont val="Arial"/>
        <family val="2"/>
      </rPr>
      <t>:</t>
    </r>
  </si>
  <si>
    <t>SE CALCULEAZA IN FUNCTIE DE CANTITATEA NOMINALA Qn/ CANTITATEA NETA CF. TABEL</t>
  </si>
  <si>
    <r>
      <t xml:space="preserve">MARIMEA LOTULUI </t>
    </r>
    <r>
      <rPr>
        <b/>
        <sz val="12"/>
        <rFont val="Arial"/>
        <family val="2"/>
      </rPr>
      <t>[ML]:</t>
    </r>
  </si>
  <si>
    <t>ESTE EGAL CU NUMARUL DE PREAMBALATE CANTARITE; COUNT(A1:An)</t>
  </si>
  <si>
    <t>A. NR TOTAL DE PREAMB. NECORESPUNZATOAE ES1[NN1]</t>
  </si>
  <si>
    <t>SE NUMARA TOATE "N" DIN COL.H</t>
  </si>
  <si>
    <t>B. NR TOTAL DE PREAMB. NECORESPUNZATOAE ES2 [NN2]</t>
  </si>
  <si>
    <t>SE NUMARA TOATE "N" DIN COL.K</t>
  </si>
  <si>
    <r>
      <t xml:space="preserve">VALOARE MEDIE A CANTITATILOR REALE </t>
    </r>
    <r>
      <rPr>
        <b/>
        <sz val="10"/>
        <rFont val="Arial"/>
        <family val="2"/>
      </rPr>
      <t>Xi</t>
    </r>
  </si>
  <si>
    <t>Xi</t>
  </si>
  <si>
    <t>SE CALCULEAZA MEDIA ARITMETICA PE COL.M</t>
  </si>
  <si>
    <t xml:space="preserve"> Qn-[s/RADICAL(N)*0.995]</t>
  </si>
  <si>
    <t>DIN CANTITATEA NOMINALA [Qn] SE SCADE [s/RADICAL(N)*0.995]; UNDE N=NR DE ES3</t>
  </si>
  <si>
    <t>ESTIMATORUL ABATERII STANDARD s</t>
  </si>
  <si>
    <t>s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</si>
  <si>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</si>
  <si>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</si>
  <si>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</si>
  <si>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</si>
  <si>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</si>
  <si>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</si>
  <si>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</si>
  <si>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</si>
  <si>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</si>
  <si>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</si>
  <si>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</si>
  <si>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</si>
  <si>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2.2. VERIFICAREA CONTINUTULUI REAL AL PREAMBALATULUI</t>
  </si>
  <si>
    <t>CONTINUTUL MINIM ADMIS[CMA] = Qn - ENT</t>
  </si>
  <si>
    <t>kg</t>
  </si>
  <si>
    <r>
      <t xml:space="preserve">DACA CONTINUTUL REAL </t>
    </r>
    <r>
      <rPr>
        <b/>
        <sz val="12"/>
        <rFont val="Arial"/>
        <family val="2"/>
      </rPr>
      <t>[Cr]</t>
    </r>
    <r>
      <rPr>
        <sz val="12"/>
        <rFont val="Arial"/>
        <family val="2"/>
      </rPr>
      <t xml:space="preserve"> &lt; CONTINUTUL MINIM ADMIS</t>
    </r>
    <r>
      <rPr>
        <b/>
        <sz val="12"/>
        <rFont val="Arial"/>
        <family val="2"/>
      </rPr>
      <t xml:space="preserve"> [CMA]</t>
    </r>
    <r>
      <rPr>
        <sz val="12"/>
        <rFont val="Arial"/>
        <family val="2"/>
      </rPr>
      <t xml:space="preserve"> -- PREAMBALAT  NECORESPUNZATOR</t>
    </r>
  </si>
  <si>
    <r>
      <t xml:space="preserve">2.2.1. VERIFICARE </t>
    </r>
    <r>
      <rPr>
        <b/>
        <u/>
        <sz val="12"/>
        <color indexed="40"/>
        <rFont val="Arial"/>
        <family val="2"/>
      </rPr>
      <t>NEDISTRUCTIVA se efectueaza cf. planului de esantionare dubla din tabel</t>
    </r>
  </si>
  <si>
    <t>Marimea lotului (nr. de preambalate din lot)</t>
  </si>
  <si>
    <t>Succesiunea</t>
  </si>
  <si>
    <t>Marimea esantionului</t>
  </si>
  <si>
    <t>Marimea cumulata</t>
  </si>
  <si>
    <r>
      <t xml:space="preserve">Criteriul de acceptare </t>
    </r>
    <r>
      <rPr>
        <b/>
        <sz val="10"/>
        <rFont val="Arial"/>
        <family val="2"/>
      </rPr>
      <t>CA</t>
    </r>
  </si>
  <si>
    <r>
      <t xml:space="preserve">Criteriul de respingere </t>
    </r>
    <r>
      <rPr>
        <b/>
        <sz val="10"/>
        <rFont val="Arial"/>
        <family val="2"/>
      </rPr>
      <t>CR</t>
    </r>
  </si>
  <si>
    <t>……..</t>
  </si>
  <si>
    <t>&gt;= 3200</t>
  </si>
  <si>
    <t>CRITERIU DE ACCEPTARE</t>
  </si>
  <si>
    <t>CRITERIU DE RESPINGERE</t>
  </si>
  <si>
    <t>Marime esantion:</t>
  </si>
  <si>
    <t>ES1 =</t>
  </si>
  <si>
    <t>ES2 =</t>
  </si>
  <si>
    <t>VERIFICARE CRITERIU DE ACCEPTARE ES1</t>
  </si>
  <si>
    <t>DACA NN1&lt;=CA1  -- LOT ACCEPTAT --- STOP</t>
  </si>
  <si>
    <t>DACA NN1&gt;=CR1 -- LOT RESPINS --- STOP</t>
  </si>
  <si>
    <t>DACA CA1&gt;NN1&lt; CR1 --- VERIFICARE ESANTION 2</t>
  </si>
  <si>
    <t>VERIFICARE CRITERIU DE ACCEPTARE ES2</t>
  </si>
  <si>
    <t>DACA( NN1+NN2)&lt;=CA2  -- LOT ACCEPTAT --- STOP</t>
  </si>
  <si>
    <t>DACA ( NN1+NN2)&gt;=CR2 -- LOT RESPINS --- STOP</t>
  </si>
  <si>
    <t>2.3 VERIFICAREA VALORII MEDII A CONTINUTULUI REAL AL PREAMBALATULUI</t>
  </si>
  <si>
    <t>2.3.1. UN LOT ESTE ACCEPTAT DACA VALOAREA MEDIE A CANTITATILOR Xi &gt; Qn-[s/N*0.995]</t>
  </si>
  <si>
    <t xml:space="preserve"> Qn-[s/N*0.995]</t>
  </si>
  <si>
    <t xml:space="preserve">2.3.3.1.CRITERIU PT. VERIFICARE NEDISTRUCTIVA </t>
  </si>
  <si>
    <t>Criteriul de acceptare</t>
  </si>
  <si>
    <t>Criteriul de respingere</t>
  </si>
  <si>
    <t>Xi &gt;=Qn-0,503*s</t>
  </si>
  <si>
    <t>Xi &lt;Qn-0,503*s</t>
  </si>
  <si>
    <t>&gt;= 501</t>
  </si>
  <si>
    <t>Xi &gt;=Qn-0,379*s</t>
  </si>
  <si>
    <t>Xi &lt;Qn-0,379*s</t>
  </si>
  <si>
    <t>Qn-0,503*s sau Qn-0,379*s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</si>
  <si>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</si>
  <si>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</si>
  <si>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</si>
  <si>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</si>
  <si>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</si>
  <si>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</si>
  <si>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</si>
  <si>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Gut 80 - Margarina Creme</t>
  </si>
  <si>
    <t>Cutie_20Kg</t>
  </si>
  <si>
    <t>20.5Kg</t>
  </si>
  <si>
    <t>0.42Kg</t>
  </si>
  <si>
    <t>Comparatie EN&gt;2ENT (Produs 'Fara E' nu se comercializeaza!)</t>
  </si>
  <si>
    <t>Comparatie Cr1 cu CMA</t>
  </si>
  <si>
    <t>Comparatie Cr2 cu CMA</t>
  </si>
  <si>
    <t>Marime esantion</t>
  </si>
  <si>
    <r>
      <t>(Cr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</si>
  <si>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</si>
  <si>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Header Successiuni</t>
  </si>
  <si>
    <t>Continutul Real
[Cr1]</t>
  </si>
  <si>
    <t>Continutul Real
[Cr2]</t>
  </si>
  <si>
    <t>Continutul Real [Cr]
Cc - Ta</t>
  </si>
  <si>
    <t>Continutul Real - Continutul Real Mediu
Cr - 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</si>
</sst>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indexed="40"/>
      <name val="Arial"/>
      <family val="2"/>
    </font>
    <font>
      <b/>
      <sz val="12"/>
      <color indexed="10"/>
      <name val="Arial"/>
      <family val="2"/>
    </font>
    <font>
      <b/>
      <sz val="10"/>
      <color indexed="10"/>
      <name val="Arial"/>
      <family val="2"/>
    </font>
    <font>
      <b/>
      <sz val="10"/>
      <color indexed="40"/>
      <name val="Arial"/>
      <family val="2"/>
    </font>
    <font>
      <b/>
      <u/>
      <sz val="12"/>
      <color indexed="4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0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06">
    <xf numFmtId="0" fontId="0" fillId="0" borderId="0" xfId="0"/>
    <xf numFmtId="21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21" fontId="0" fillId="0" borderId="0" xfId="0" applyNumberFormat="1" applyAlignment="1">
      <alignment horizontal="right"/>
    </xf>
    <xf numFmtId="0" fontId="10" fillId="0" borderId="0" xfId="0" applyFont="1" applyAlignment="1">
      <alignment horizontal="center" wrapText="1"/>
    </xf>
    <xf numFmtId="0" fontId="0" fillId="0" borderId="0" xfId="0" applyFont="1" applyAlignment="1">
      <alignment horizontal="left" wrapText="1"/>
    </xf>
    <xf numFmtId="2" fontId="11" fillId="0" borderId="0" xfId="0" applyNumberFormat="1" applyFont="1" applyAlignment="1">
      <alignment horizontal="center" wrapText="1"/>
    </xf>
    <xf numFmtId="1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/>
    <xf numFmtId="0" fontId="5" fillId="0" borderId="1" xfId="0" applyFont="1" applyBorder="1" applyAlignment="1">
      <alignment vertical="center"/>
    </xf>
    <xf numFmtId="0" fontId="14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9" fillId="0" borderId="0" xfId="0" applyFont="1"/>
    <xf numFmtId="0" fontId="5" fillId="0" borderId="0" xfId="0" applyFont="1" applyFill="1"/>
    <xf numFmtId="0" fontId="9" fillId="0" borderId="0" xfId="0" applyFont="1" applyBorder="1" applyAlignment="1">
      <alignment vertical="center" wrapText="1"/>
    </xf>
    <xf numFmtId="0" fontId="15" fillId="2" borderId="0" xfId="0" applyFont="1" applyFill="1" applyBorder="1" applyAlignment="1">
      <alignment vertical="center"/>
    </xf>
    <xf numFmtId="0" fontId="5" fillId="0" borderId="0" xfId="0" applyFont="1" applyBorder="1"/>
    <xf numFmtId="0" fontId="16" fillId="0" borderId="0" xfId="0" applyFont="1" applyBorder="1" applyAlignment="1">
      <alignment vertical="center"/>
    </xf>
    <xf numFmtId="0" fontId="17" fillId="0" borderId="0" xfId="0" applyFont="1"/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5" fillId="0" borderId="5" xfId="0" applyFont="1" applyBorder="1"/>
    <xf numFmtId="0" fontId="5" fillId="0" borderId="6" xfId="0" applyFont="1" applyBorder="1"/>
    <xf numFmtId="0" fontId="7" fillId="0" borderId="7" xfId="0" applyFont="1" applyBorder="1"/>
    <xf numFmtId="0" fontId="0" fillId="0" borderId="6" xfId="0" applyBorder="1"/>
    <xf numFmtId="0" fontId="0" fillId="0" borderId="7" xfId="0" applyFill="1" applyBorder="1"/>
    <xf numFmtId="0" fontId="5" fillId="0" borderId="8" xfId="0" applyFont="1" applyBorder="1"/>
    <xf numFmtId="0" fontId="5" fillId="0" borderId="9" xfId="0" applyFont="1" applyBorder="1"/>
    <xf numFmtId="0" fontId="0" fillId="0" borderId="10" xfId="0" applyBorder="1"/>
    <xf numFmtId="0" fontId="0" fillId="0" borderId="9" xfId="0" applyBorder="1"/>
    <xf numFmtId="0" fontId="0" fillId="0" borderId="10" xfId="0" applyFill="1" applyBorder="1"/>
    <xf numFmtId="0" fontId="0" fillId="0" borderId="0" xfId="0" applyBorder="1"/>
    <xf numFmtId="0" fontId="0" fillId="0" borderId="11" xfId="0" applyFill="1" applyBorder="1"/>
    <xf numFmtId="0" fontId="0" fillId="0" borderId="0" xfId="0" applyFill="1"/>
    <xf numFmtId="0" fontId="7" fillId="0" borderId="0" xfId="0" applyFont="1" applyAlignment="1">
      <alignment horizontal="center" vertical="center" wrapText="1"/>
    </xf>
    <xf numFmtId="0" fontId="0" fillId="0" borderId="0" xfId="0" applyFill="1" applyBorder="1"/>
    <xf numFmtId="0" fontId="7" fillId="0" borderId="0" xfId="0" applyFont="1"/>
    <xf numFmtId="0" fontId="0" fillId="5" borderId="0" xfId="0" applyFill="1" applyAlignment="1">
      <alignment horizontal="left"/>
    </xf>
    <xf numFmtId="0" fontId="9" fillId="0" borderId="5" xfId="0" applyFont="1" applyBorder="1"/>
    <xf numFmtId="0" fontId="8" fillId="2" borderId="6" xfId="0" applyFont="1" applyFill="1" applyBorder="1"/>
    <xf numFmtId="0" fontId="5" fillId="0" borderId="7" xfId="0" applyFont="1" applyBorder="1"/>
    <xf numFmtId="0" fontId="9" fillId="0" borderId="8" xfId="0" applyFont="1" applyBorder="1"/>
    <xf numFmtId="0" fontId="8" fillId="2" borderId="9" xfId="0" applyFont="1" applyFill="1" applyBorder="1"/>
    <xf numFmtId="0" fontId="5" fillId="0" borderId="10" xfId="0" applyFont="1" applyBorder="1"/>
    <xf numFmtId="0" fontId="9" fillId="0" borderId="0" xfId="0" applyFont="1" applyBorder="1"/>
    <xf numFmtId="0" fontId="8" fillId="0" borderId="0" xfId="0" applyFont="1" applyBorder="1"/>
    <xf numFmtId="0" fontId="8" fillId="5" borderId="6" xfId="0" applyFont="1" applyFill="1" applyBorder="1"/>
    <xf numFmtId="0" fontId="14" fillId="0" borderId="0" xfId="0" applyFont="1"/>
    <xf numFmtId="4" fontId="0" fillId="6" borderId="0" xfId="0" applyNumberFormat="1" applyFill="1"/>
    <xf numFmtId="4" fontId="4" fillId="0" borderId="0" xfId="0" applyNumberFormat="1" applyFont="1"/>
    <xf numFmtId="0" fontId="4" fillId="0" borderId="0" xfId="0" applyFont="1"/>
    <xf numFmtId="4" fontId="0" fillId="0" borderId="0" xfId="0" applyNumberFormat="1"/>
    <xf numFmtId="2" fontId="0" fillId="5" borderId="0" xfId="0" applyNumberFormat="1" applyFill="1"/>
    <xf numFmtId="0" fontId="17" fillId="0" borderId="1" xfId="0" applyFont="1" applyBorder="1" applyAlignment="1">
      <alignment horizontal="center"/>
    </xf>
    <xf numFmtId="0" fontId="17" fillId="0" borderId="1" xfId="0" applyFont="1" applyBorder="1"/>
    <xf numFmtId="2" fontId="7" fillId="5" borderId="0" xfId="0" applyNumberFormat="1" applyFont="1" applyFill="1"/>
    <xf numFmtId="0" fontId="0" fillId="5" borderId="0" xfId="0" applyFill="1" applyAlignment="1">
      <alignment horizontal="right"/>
    </xf>
    <xf numFmtId="14" fontId="0" fillId="0" borderId="0" xfId="0" applyNumberFormat="1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right"/>
    </xf>
    <xf numFmtId="0" fontId="1" fillId="0" borderId="0" xfId="0" applyFont="1" applyAlignment="1"/>
    <xf numFmtId="0" fontId="7" fillId="0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7" fillId="0" borderId="4" xfId="0" applyFont="1" applyFill="1" applyBorder="1" applyAlignment="1">
      <alignment horizontal="center" vertical="center" wrapText="1"/>
    </xf>
    <xf numFmtId="0" fontId="1" fillId="0" borderId="0" xfId="0" applyFont="1" applyFill="1"/>
    <xf numFmtId="0" fontId="10" fillId="0" borderId="0" xfId="0" applyFont="1" applyFill="1" applyAlignment="1">
      <alignment horizontal="center" wrapText="1"/>
    </xf>
    <xf numFmtId="0" fontId="7" fillId="0" borderId="0" xfId="0" applyFont="1" applyFill="1"/>
    <xf numFmtId="0" fontId="22" fillId="0" borderId="0" xfId="0" applyFont="1"/>
    <xf numFmtId="0" fontId="10" fillId="0" borderId="0" xfId="0" applyNumberFormat="1" applyFont="1" applyFill="1" applyAlignment="1">
      <alignment horizontal="center" wrapText="1"/>
    </xf>
    <xf numFmtId="0" fontId="23" fillId="0" borderId="0" xfId="0" applyFont="1" applyAlignment="1">
      <alignment horizontal="center" wrapText="1"/>
    </xf>
    <xf numFmtId="0" fontId="11" fillId="0" borderId="0" xfId="0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</xdr:row>
          <xdr:rowOff>85725</xdr:rowOff>
        </xdr:from>
        <xdr:to>
          <xdr:col>22</xdr:col>
          <xdr:colOff>266700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Measurements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666750</xdr:colOff>
          <xdr:row>1</xdr:row>
          <xdr:rowOff>142875</xdr:rowOff>
        </xdr:from>
        <xdr:to>
          <xdr:col>27</xdr:col>
          <xdr:colOff>190500</xdr:colOff>
          <xdr:row>3</xdr:row>
          <xdr:rowOff>9525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_6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1039"/>
  <sheetViews>
    <sheetView tabSelected="1" zoomScaleNormal="100" workbookViewId="0">
      <selection activeCell="M10" sqref="M10"/>
    </sheetView>
  </sheetViews>
  <sheetFormatPr defaultRowHeight="15" x14ac:dyDescent="0.25"/>
  <cols>
    <col min="1" max="1" width="36" bestFit="1" customWidth="1"/>
    <col min="2" max="2" width="23.7109375" style="8" bestFit="1" customWidth="1"/>
    <col min="3" max="3" width="3.140625" style="5" bestFit="1" customWidth="1"/>
    <col min="4" max="4" width="5" style="4" bestFit="1" customWidth="1"/>
    <col min="5" max="5" width="10.7109375" style="8" customWidth="1"/>
    <col min="6" max="6" width="10.85546875" style="4" bestFit="1" customWidth="1"/>
    <col min="7" max="7" width="22.28515625" style="8" customWidth="1"/>
    <col min="8" max="8" width="8.28515625" customWidth="1"/>
    <col min="9" max="9" width="14.85546875" bestFit="1" customWidth="1"/>
    <col min="10" max="10" width="11.28515625" bestFit="1" customWidth="1"/>
    <col min="11" max="11" width="7.42578125" customWidth="1"/>
    <col min="12" max="12" width="18.28515625" bestFit="1" customWidth="1"/>
    <col min="13" max="13" width="16.140625" customWidth="1"/>
    <col min="15" max="15" width="19.140625" customWidth="1"/>
    <col min="16" max="16" width="22.28515625" style="66" customWidth="1"/>
    <col min="17" max="17" width="16.7109375" style="66" bestFit="1" customWidth="1"/>
    <col min="18" max="18" width="12.140625" customWidth="1"/>
    <col min="19" max="19" width="8.7109375" customWidth="1"/>
    <col min="20" max="20" width="10.140625" customWidth="1"/>
    <col min="21" max="21" width="11.5703125" bestFit="1" customWidth="1"/>
    <col min="22" max="22" width="10.7109375" customWidth="1"/>
  </cols>
  <sheetData>
    <row r="1" spans="1:24" x14ac:dyDescent="0.25">
      <c r="U1" s="93" t="s">
        <v>0</v>
      </c>
      <c r="V1" s="93"/>
      <c r="W1" s="93"/>
      <c r="X1" s="93"/>
    </row>
    <row r="2" spans="1:24" x14ac:dyDescent="0.25">
      <c r="C2" s="6"/>
    </row>
    <row r="3" spans="1:24" x14ac:dyDescent="0.25">
      <c r="A3" s="3" t="s">
        <v>3</v>
      </c>
      <c r="B3" s="8" t="str">
        <f>RawData!E1</f>
        <v>Gut 80 - Margarina Creme</v>
      </c>
      <c r="C3" s="4"/>
      <c r="Q3" s="99"/>
    </row>
    <row r="4" spans="1:24" x14ac:dyDescent="0.25">
      <c r="A4" s="3" t="s">
        <v>2</v>
      </c>
      <c r="B4" s="33">
        <f>RawData!D1</f>
        <v>1236</v>
      </c>
      <c r="C4" s="4"/>
    </row>
    <row r="5" spans="1:24" x14ac:dyDescent="0.25">
      <c r="A5" s="3" t="s">
        <v>5</v>
      </c>
      <c r="B5" s="8" t="str">
        <f>IF(ISERROR(VALUE(RawData!G1)), LEFT(RawData!G1, FIND("Kg",RawData!G1)-1), RawData!G1)</f>
        <v>20.5</v>
      </c>
      <c r="C5" s="4" t="s">
        <v>1</v>
      </c>
      <c r="K5" s="2"/>
    </row>
    <row r="6" spans="1:24" x14ac:dyDescent="0.25">
      <c r="A6" s="3" t="s">
        <v>4</v>
      </c>
      <c r="B6" s="8" t="str">
        <f>RawData!F1</f>
        <v>Cutie_20Kg</v>
      </c>
      <c r="C6" s="4"/>
    </row>
    <row r="7" spans="1:24" x14ac:dyDescent="0.25">
      <c r="A7" t="s">
        <v>6</v>
      </c>
      <c r="B7" s="8" t="str">
        <f>IF(ISERROR(VALUE(RawData!H1)), LEFT(RawData!H1, FIND("Kg",RawData!H1)-1), RawData!H1)</f>
        <v>0.42</v>
      </c>
      <c r="C7" s="4" t="s">
        <v>1</v>
      </c>
    </row>
    <row r="8" spans="1:24" x14ac:dyDescent="0.25">
      <c r="A8" s="3" t="s">
        <v>7</v>
      </c>
      <c r="B8" s="8">
        <v>0.3075</v>
      </c>
      <c r="C8" s="5" t="s">
        <v>1</v>
      </c>
    </row>
    <row r="9" spans="1:24" x14ac:dyDescent="0.25">
      <c r="A9" s="3" t="s">
        <v>8</v>
      </c>
      <c r="B9" s="33">
        <v>210</v>
      </c>
    </row>
    <row r="10" spans="1:24" x14ac:dyDescent="0.25">
      <c r="A10" s="3" t="s">
        <v>9</v>
      </c>
      <c r="B10" s="8">
        <f>Qn-ENT</f>
        <v>20.192499999999999</v>
      </c>
      <c r="C10" s="7" t="s">
        <v>1</v>
      </c>
    </row>
    <row r="11" spans="1:24" x14ac:dyDescent="0.25">
      <c r="A11" s="3" t="s">
        <v>10</v>
      </c>
      <c r="B11" s="34">
        <f>RawData!I1</f>
        <v>43163</v>
      </c>
    </row>
    <row r="12" spans="1:24" x14ac:dyDescent="0.25">
      <c r="A12" t="s">
        <v>76</v>
      </c>
      <c r="B12" s="8">
        <f>AVERAGE(O16:O45)</f>
        <v>20.127999999999993</v>
      </c>
    </row>
    <row r="13" spans="1:24" ht="17.25" x14ac:dyDescent="0.25">
      <c r="A13" s="31" t="s">
        <v>78</v>
      </c>
      <c r="B13" s="92">
        <f>SUM(Q16,Q45)</f>
        <v>7.3279999999999214E-3</v>
      </c>
    </row>
    <row r="14" spans="1:24" x14ac:dyDescent="0.25">
      <c r="A14" s="3" t="s">
        <v>77</v>
      </c>
      <c r="B14" s="92">
        <f>SQRT(SumOfSquares/(ES_3-1))</f>
        <v>1.5896215120978045E-2</v>
      </c>
    </row>
    <row r="15" spans="1:24" ht="60.75" customHeight="1" x14ac:dyDescent="0.25">
      <c r="D15" s="30" t="s">
        <v>127</v>
      </c>
      <c r="E15" s="30" t="s">
        <v>128</v>
      </c>
      <c r="F15" s="30" t="s">
        <v>129</v>
      </c>
      <c r="G15" s="32" t="str">
        <f>Header!G15</f>
        <v>Comparatie EN&gt;2ENT (Produs 'Fara E' nu se comercializeaza!)</v>
      </c>
      <c r="H15" s="30" t="str">
        <f>Header!H15</f>
        <v>#</v>
      </c>
      <c r="I15" s="30" t="str">
        <f>Header!I15</f>
        <v>Continutul Real
[Cr1]</v>
      </c>
      <c r="J15" s="30" t="str">
        <f>Header!J15</f>
        <v>Comparatie Cr1 cu CMA</v>
      </c>
      <c r="K15" s="30" t="str">
        <f>Header!K15</f>
        <v>#</v>
      </c>
      <c r="L15" s="30" t="str">
        <f>Header!L15</f>
        <v>Continutul Real
[Cr2]</v>
      </c>
      <c r="M15" s="30" t="str">
        <f>Header!M15</f>
        <v>Comparatie Cr2 cu CMA</v>
      </c>
      <c r="N15" s="30" t="str">
        <f>Header!N15</f>
        <v>#</v>
      </c>
      <c r="O15" s="30" t="str">
        <f>Header!O15</f>
        <v>Continutul Real [Cr]
Cc - Ta</v>
      </c>
      <c r="P15" s="100" t="str">
        <f>Header!P15</f>
        <v>Continutul Real - Continutul Real Mediu
Cr - Xi</v>
      </c>
      <c r="Q15" s="103" t="str">
        <f>Header!Q15</f>
        <v>(Cr - Xi)2</v>
      </c>
      <c r="S15" s="91" t="s">
        <v>137</v>
      </c>
      <c r="T15" s="67" t="s">
        <v>123</v>
      </c>
      <c r="U15" s="67" t="s">
        <v>125</v>
      </c>
      <c r="V15" s="67" t="s">
        <v>124</v>
      </c>
      <c r="W15" s="67" t="s">
        <v>126</v>
      </c>
    </row>
    <row r="16" spans="1:24" x14ac:dyDescent="0.25">
      <c r="A16" t="s">
        <v>139</v>
      </c>
      <c r="B16" s="92">
        <f>s/SQRT(ES_3)*0.995</f>
        <v>2.8877273409036053E-3</v>
      </c>
      <c r="D16">
        <v>1</v>
      </c>
      <c r="E16">
        <v>20.48</v>
      </c>
      <c r="F16" s="1">
        <v>0.80684027777777778</v>
      </c>
      <c r="G16" s="8" t="str">
        <f>IF(Qn-E16-Ta&gt;2*ENT,"Fara E","Admis")</f>
        <v>Admis</v>
      </c>
      <c r="H16">
        <f>D16</f>
        <v>1</v>
      </c>
      <c r="I16">
        <f>E16</f>
        <v>20.48</v>
      </c>
      <c r="J16" t="str">
        <f>IF(I16&gt;=CMA,"A","N")</f>
        <v>A</v>
      </c>
      <c r="N16">
        <f>D21</f>
        <v>6</v>
      </c>
      <c r="O16">
        <f>E21-Ta</f>
        <v>20.059999999999999</v>
      </c>
      <c r="P16" s="101">
        <f>O16-Xi</f>
        <v>-6.7999999999994287E-2</v>
      </c>
      <c r="Q16" s="66">
        <f>POWER(P16,2)</f>
        <v>4.6239999999992233E-3</v>
      </c>
      <c r="S16" s="70">
        <f>IF(ML&lt;=100,ML,IF(ML&gt;3201,80, IF(ML&gt;=501,50, IF(ML&gt;100,30,ML))))</f>
        <v>30</v>
      </c>
      <c r="T16" s="89">
        <f>IF(ML=30,1, IF(ML=50,2, IF(ML=80,3,1)))</f>
        <v>1</v>
      </c>
      <c r="U16" s="89">
        <f>COUNTIF(J:J, "N")</f>
        <v>1</v>
      </c>
      <c r="V16" s="89">
        <f>IF(ML=30,3, IF(ML=50,5, IF(ML=80,7,3)))</f>
        <v>3</v>
      </c>
      <c r="W16" t="str">
        <f>IF(CA_1&gt;=RN_1,"OK",IF(RN_1&gt;=CR_1,"NOT_OK","ES2 Needed"))</f>
        <v>OK</v>
      </c>
    </row>
    <row r="17" spans="2:23" x14ac:dyDescent="0.25">
      <c r="B17" s="8" t="str">
        <f>IF(Xi&gt;=QnES3 - 0.503 * s,"LOT ACCEPTAT","LOT RESPINS")</f>
        <v>LOT ACCEPTAT</v>
      </c>
      <c r="D17">
        <v>2</v>
      </c>
      <c r="E17">
        <v>20.48</v>
      </c>
      <c r="F17" s="1">
        <v>0.80686342592592597</v>
      </c>
      <c r="G17" s="8" t="str">
        <f>IF(Qn-E17-Ta&gt;2*ENT,"Fara E","Admis")</f>
        <v>Admis</v>
      </c>
      <c r="H17">
        <f>D24</f>
        <v>9</v>
      </c>
      <c r="I17">
        <f>E24</f>
        <v>20.6</v>
      </c>
      <c r="J17" t="str">
        <f>IF(I17&gt;=CMA,"A","N")</f>
        <v>A</v>
      </c>
      <c r="N17">
        <f>D26</f>
        <v>11</v>
      </c>
      <c r="O17">
        <f>E26-Ta</f>
        <v>20.059999999999999</v>
      </c>
      <c r="P17" s="101">
        <f>O17-Xi</f>
        <v>-6.7999999999994287E-2</v>
      </c>
      <c r="Q17" s="66">
        <f>POWER(P17,2)</f>
        <v>4.6239999999992233E-3</v>
      </c>
      <c r="S17" s="70">
        <f>IF(ML&lt;=100,0,ES_1)</f>
        <v>30</v>
      </c>
      <c r="T17" s="89">
        <f>IF(ML=30,4, IF(ML=50,6, IF(ML=80,8,4)))</f>
        <v>4</v>
      </c>
      <c r="U17" s="89" t="str">
        <f>IF(ES1_Status="ES2 Needed",COUNTIF(M:M, "N"),"")</f>
        <v/>
      </c>
      <c r="V17" s="89">
        <f>IF(ML=30,5, IF(ML=50,7, IF(ML=80,9,5)))</f>
        <v>5</v>
      </c>
      <c r="W17" t="str">
        <f>IF(ES1_Status="ES2Needed",IF(RN_1+RN_2&lt;=CA_2,"Ok","NotOk"),"Ok")</f>
        <v>Ok</v>
      </c>
    </row>
    <row r="18" spans="2:23" x14ac:dyDescent="0.25">
      <c r="D18">
        <v>3</v>
      </c>
      <c r="E18">
        <v>20.6</v>
      </c>
      <c r="F18" s="1">
        <v>0.8068749999999999</v>
      </c>
      <c r="G18" s="8" t="str">
        <f>IF(Qn-E18-Ta&gt;2*ENT,"Fara E","Admis")</f>
        <v>Admis</v>
      </c>
      <c r="H18">
        <f>D25</f>
        <v>10</v>
      </c>
      <c r="I18">
        <f>E25</f>
        <v>20.6</v>
      </c>
      <c r="J18" t="str">
        <f>IF(I18&gt;=CMA,"A","N")</f>
        <v>A</v>
      </c>
      <c r="N18">
        <f>D27</f>
        <v>12</v>
      </c>
      <c r="O18">
        <f>E27-Ta</f>
        <v>20.059999999999999</v>
      </c>
      <c r="P18" s="66">
        <f>O18-Xi</f>
        <v>-6.7999999999994287E-2</v>
      </c>
      <c r="Q18" s="66">
        <f>POWER(P18,2)</f>
        <v>4.6239999999992233E-3</v>
      </c>
      <c r="S18" s="3">
        <v>30</v>
      </c>
      <c r="T18" s="4"/>
      <c r="U18" s="4"/>
      <c r="V18" s="4"/>
    </row>
    <row r="19" spans="2:23" x14ac:dyDescent="0.25">
      <c r="D19">
        <v>4</v>
      </c>
      <c r="E19">
        <v>20.6</v>
      </c>
      <c r="F19" s="1">
        <v>0.80688657407407405</v>
      </c>
      <c r="G19" s="8" t="str">
        <f>IF(Qn-E19-Ta&gt;2*ENT,"Fara E","Admis")</f>
        <v>Admis</v>
      </c>
      <c r="H19">
        <f>D30</f>
        <v>15</v>
      </c>
      <c r="I19">
        <f>E30</f>
        <v>20.6</v>
      </c>
      <c r="J19" t="str">
        <f>IF(I19&gt;=CMA,"A","N")</f>
        <v>A</v>
      </c>
      <c r="N19">
        <f>D37</f>
        <v>22</v>
      </c>
      <c r="O19">
        <f>E37-Ta</f>
        <v>20.059999999999999</v>
      </c>
      <c r="P19" s="66">
        <f>O19-Xi</f>
        <v>-6.7999999999994287E-2</v>
      </c>
      <c r="Q19" s="66">
        <f>POWER(P19,2)</f>
        <v>4.6239999999992233E-3</v>
      </c>
    </row>
    <row r="20" spans="2:23" x14ac:dyDescent="0.25">
      <c r="D20">
        <v>5</v>
      </c>
      <c r="E20">
        <v>20.6</v>
      </c>
      <c r="F20" s="1">
        <v>0.80696759259259254</v>
      </c>
      <c r="G20" s="8" t="str">
        <f>IF(Qn-E20-Ta&gt;2*ENT,"Fara E","Admis")</f>
        <v>Admis</v>
      </c>
      <c r="H20">
        <f>D33</f>
        <v>18</v>
      </c>
      <c r="I20">
        <f>E33</f>
        <v>20.6</v>
      </c>
      <c r="J20" t="str">
        <f>IF(I20&gt;=CMA,"A","N")</f>
        <v>A</v>
      </c>
      <c r="N20">
        <f>D38</f>
        <v>23</v>
      </c>
      <c r="O20">
        <f>E38-Ta</f>
        <v>20.18</v>
      </c>
      <c r="P20" s="66">
        <f>O20-Xi</f>
        <v>5.2000000000006708E-2</v>
      </c>
      <c r="Q20" s="66">
        <f>POWER(P20,2)</f>
        <v>2.7040000000006976E-3</v>
      </c>
    </row>
    <row r="21" spans="2:23" x14ac:dyDescent="0.25">
      <c r="D21">
        <v>6</v>
      </c>
      <c r="E21">
        <v>20.48</v>
      </c>
      <c r="F21" s="1">
        <v>0.80684027777777778</v>
      </c>
      <c r="G21" s="8" t="str">
        <f>IF(Qn-E21-Ta&gt;2*ENT,"Fara E","Admis")</f>
        <v>Admis</v>
      </c>
      <c r="H21">
        <f>D52</f>
        <v>37</v>
      </c>
      <c r="I21">
        <f>E52</f>
        <v>20.48</v>
      </c>
      <c r="J21" t="str">
        <f>IF(I21&gt;=CMA,"A","N")</f>
        <v>A</v>
      </c>
      <c r="N21">
        <f>D46</f>
        <v>31</v>
      </c>
      <c r="O21">
        <f>E46-Ta</f>
        <v>20.059999999999999</v>
      </c>
      <c r="P21" s="66">
        <f>O21-Xi</f>
        <v>-6.7999999999994287E-2</v>
      </c>
      <c r="Q21" s="66">
        <f>POWER(P21,2)</f>
        <v>4.6239999999992233E-3</v>
      </c>
    </row>
    <row r="22" spans="2:23" x14ac:dyDescent="0.25">
      <c r="D22">
        <v>7</v>
      </c>
      <c r="E22">
        <v>20.48</v>
      </c>
      <c r="F22" s="1">
        <v>0.80686342592592597</v>
      </c>
      <c r="G22" s="8" t="str">
        <f>IF(Qn-E22-Ta&gt;2*ENT,"Fara E","Admis")</f>
        <v>Admis</v>
      </c>
      <c r="H22">
        <f>D53</f>
        <v>38</v>
      </c>
      <c r="I22">
        <f>E53</f>
        <v>20.6</v>
      </c>
      <c r="J22" t="str">
        <f>IF(I22&gt;=CMA,"A","N")</f>
        <v>A</v>
      </c>
      <c r="N22">
        <f>D57</f>
        <v>42</v>
      </c>
      <c r="O22">
        <f>E57-Ta</f>
        <v>20.059999999999999</v>
      </c>
      <c r="P22" s="66">
        <f>O22-Xi</f>
        <v>-6.7999999999994287E-2</v>
      </c>
      <c r="Q22" s="66">
        <f>POWER(P22,2)</f>
        <v>4.6239999999992233E-3</v>
      </c>
    </row>
    <row r="23" spans="2:23" x14ac:dyDescent="0.25">
      <c r="D23">
        <v>8</v>
      </c>
      <c r="E23">
        <v>20.6</v>
      </c>
      <c r="F23" s="1">
        <v>0.8068749999999999</v>
      </c>
      <c r="G23" s="8" t="str">
        <f>IF(Qn-E23-Ta&gt;2*ENT,"Fara E","Admis")</f>
        <v>Admis</v>
      </c>
      <c r="H23">
        <f>D54</f>
        <v>39</v>
      </c>
      <c r="I23">
        <f>E54</f>
        <v>20.6</v>
      </c>
      <c r="J23" t="str">
        <f>IF(I23&gt;=CMA,"A","N")</f>
        <v>A</v>
      </c>
      <c r="N23">
        <f>D64</f>
        <v>49</v>
      </c>
      <c r="O23">
        <f>E64-Ta</f>
        <v>20.18</v>
      </c>
      <c r="P23" s="66">
        <f>O23-Xi</f>
        <v>5.2000000000006708E-2</v>
      </c>
      <c r="Q23" s="66">
        <f>POWER(P23,2)</f>
        <v>2.7040000000006976E-3</v>
      </c>
    </row>
    <row r="24" spans="2:23" x14ac:dyDescent="0.25">
      <c r="D24">
        <v>9</v>
      </c>
      <c r="E24">
        <v>20.6</v>
      </c>
      <c r="F24" s="1">
        <v>0.80688657407407405</v>
      </c>
      <c r="G24" s="8" t="str">
        <f>IF(Qn-E24-Ta&gt;2*ENT,"Fara E","Admis")</f>
        <v>Admis</v>
      </c>
      <c r="H24">
        <f>D69</f>
        <v>54</v>
      </c>
      <c r="I24">
        <f>E69</f>
        <v>20.6</v>
      </c>
      <c r="J24" t="str">
        <f>IF(I24&gt;=CMA,"A","N")</f>
        <v>A</v>
      </c>
      <c r="N24">
        <f>D77</f>
        <v>62</v>
      </c>
      <c r="O24">
        <f>E77-Ta</f>
        <v>20.059999999999999</v>
      </c>
      <c r="P24" s="66">
        <f>O24-Xi</f>
        <v>-6.7999999999994287E-2</v>
      </c>
      <c r="Q24" s="66">
        <f>POWER(P24,2)</f>
        <v>4.6239999999992233E-3</v>
      </c>
    </row>
    <row r="25" spans="2:23" x14ac:dyDescent="0.25">
      <c r="D25">
        <v>10</v>
      </c>
      <c r="E25">
        <v>20.6</v>
      </c>
      <c r="F25" s="1">
        <v>0.80696759259259254</v>
      </c>
      <c r="G25" s="8" t="str">
        <f>IF(Qn-E25-Ta&gt;2*ENT,"Fara E","Admis")</f>
        <v>Admis</v>
      </c>
      <c r="H25">
        <f>D71</f>
        <v>56</v>
      </c>
      <c r="I25">
        <f>E71</f>
        <v>20.48</v>
      </c>
      <c r="J25" t="str">
        <f>IF(I25&gt;=CMA,"A","N")</f>
        <v>A</v>
      </c>
      <c r="N25">
        <f>D94</f>
        <v>79</v>
      </c>
      <c r="O25">
        <f>E94-Ta</f>
        <v>20.18</v>
      </c>
      <c r="P25" s="66">
        <f>O25-Xi</f>
        <v>5.2000000000006708E-2</v>
      </c>
      <c r="Q25" s="66">
        <f>POWER(P25,2)</f>
        <v>2.7040000000006976E-3</v>
      </c>
    </row>
    <row r="26" spans="2:23" x14ac:dyDescent="0.25">
      <c r="D26">
        <v>11</v>
      </c>
      <c r="E26">
        <v>20.48</v>
      </c>
      <c r="F26" s="1">
        <v>0.80684027777777778</v>
      </c>
      <c r="G26" s="8" t="str">
        <f>IF(Qn-E26-Ta&gt;2*ENT,"Fara E","Admis")</f>
        <v>Admis</v>
      </c>
      <c r="H26">
        <f>D76</f>
        <v>61</v>
      </c>
      <c r="I26">
        <f>E76</f>
        <v>10.48</v>
      </c>
      <c r="J26" t="str">
        <f>IF(I26&gt;=CMA,"A","N")</f>
        <v>N</v>
      </c>
      <c r="N26">
        <f>D102</f>
        <v>87</v>
      </c>
      <c r="O26">
        <f>E102-Ta</f>
        <v>20.059999999999999</v>
      </c>
      <c r="P26" s="66">
        <f>O26-Xi</f>
        <v>-6.7999999999994287E-2</v>
      </c>
      <c r="Q26" s="66">
        <f>POWER(P26,2)</f>
        <v>4.6239999999992233E-3</v>
      </c>
    </row>
    <row r="27" spans="2:23" x14ac:dyDescent="0.25">
      <c r="D27">
        <v>12</v>
      </c>
      <c r="E27">
        <v>20.48</v>
      </c>
      <c r="F27" s="1">
        <v>0.80686342592592597</v>
      </c>
      <c r="G27" s="8" t="str">
        <f>IF(Qn-E27-Ta&gt;2*ENT,"Fara E","Admis")</f>
        <v>Admis</v>
      </c>
      <c r="H27">
        <f>D82</f>
        <v>67</v>
      </c>
      <c r="I27">
        <f>E82</f>
        <v>20.48</v>
      </c>
      <c r="J27" t="str">
        <f>IF(I27&gt;=CMA,"A","N")</f>
        <v>A</v>
      </c>
      <c r="N27">
        <f>D145</f>
        <v>130</v>
      </c>
      <c r="O27">
        <f>E145-Ta</f>
        <v>20.18</v>
      </c>
      <c r="P27" s="66">
        <f>O27-Xi</f>
        <v>5.2000000000006708E-2</v>
      </c>
      <c r="Q27" s="66">
        <f>POWER(P27,2)</f>
        <v>2.7040000000006976E-3</v>
      </c>
    </row>
    <row r="28" spans="2:23" x14ac:dyDescent="0.25">
      <c r="D28">
        <v>13</v>
      </c>
      <c r="E28">
        <v>20.6</v>
      </c>
      <c r="F28" s="1">
        <v>0.8068749999999999</v>
      </c>
      <c r="G28" s="8" t="str">
        <f>IF(Qn-E28-Ta&gt;2*ENT,"Fara E","Admis")</f>
        <v>Admis</v>
      </c>
      <c r="H28">
        <f>D86</f>
        <v>71</v>
      </c>
      <c r="I28">
        <f>E86</f>
        <v>20.48</v>
      </c>
      <c r="J28" t="str">
        <f>IF(I28&gt;=CMA,"A","N")</f>
        <v>A</v>
      </c>
      <c r="N28">
        <f>D147</f>
        <v>132</v>
      </c>
      <c r="O28">
        <f>E147-Ta</f>
        <v>20.059999999999999</v>
      </c>
      <c r="P28" s="66">
        <f>O28-Xi</f>
        <v>-6.7999999999994287E-2</v>
      </c>
      <c r="Q28" s="66">
        <f>POWER(P28,2)</f>
        <v>4.6239999999992233E-3</v>
      </c>
    </row>
    <row r="29" spans="2:23" x14ac:dyDescent="0.25">
      <c r="D29">
        <v>14</v>
      </c>
      <c r="E29">
        <v>20.6</v>
      </c>
      <c r="F29" s="1">
        <v>0.80688657407407405</v>
      </c>
      <c r="G29" s="8" t="str">
        <f>IF(Qn-E29-Ta&gt;2*ENT,"Fara E","Admis")</f>
        <v>Admis</v>
      </c>
      <c r="H29">
        <f>D95</f>
        <v>80</v>
      </c>
      <c r="I29">
        <f>E95</f>
        <v>20.6</v>
      </c>
      <c r="J29" t="str">
        <f>IF(I29&gt;=CMA,"A","N")</f>
        <v>A</v>
      </c>
      <c r="N29">
        <f>D154</f>
        <v>139</v>
      </c>
      <c r="O29">
        <f>E154-Ta</f>
        <v>20.18</v>
      </c>
      <c r="P29" s="66">
        <f>O29-Xi</f>
        <v>5.2000000000006708E-2</v>
      </c>
      <c r="Q29" s="66">
        <f>POWER(P29,2)</f>
        <v>2.7040000000006976E-3</v>
      </c>
    </row>
    <row r="30" spans="2:23" x14ac:dyDescent="0.25">
      <c r="D30">
        <v>15</v>
      </c>
      <c r="E30">
        <v>20.6</v>
      </c>
      <c r="F30" s="1">
        <v>0.80696759259259254</v>
      </c>
      <c r="G30" s="8" t="str">
        <f>IF(Qn-E30-Ta&gt;2*ENT,"Fara E","Admis")</f>
        <v>Admis</v>
      </c>
      <c r="H30">
        <f>D126</f>
        <v>111</v>
      </c>
      <c r="I30">
        <f>E126</f>
        <v>20.48</v>
      </c>
      <c r="J30" t="str">
        <f>IF(I30&gt;=CMA,"A","N")</f>
        <v>A</v>
      </c>
      <c r="N30">
        <f>D162</f>
        <v>147</v>
      </c>
      <c r="O30">
        <f>E162-Ta</f>
        <v>20.059999999999999</v>
      </c>
      <c r="P30" s="66">
        <f>O30-Xi</f>
        <v>-6.7999999999994287E-2</v>
      </c>
      <c r="Q30" s="66">
        <f>POWER(P30,2)</f>
        <v>4.6239999999992233E-3</v>
      </c>
    </row>
    <row r="31" spans="2:23" x14ac:dyDescent="0.25">
      <c r="D31">
        <v>16</v>
      </c>
      <c r="E31">
        <v>20.48</v>
      </c>
      <c r="F31" s="1">
        <v>0.80684027777777778</v>
      </c>
      <c r="G31" s="8" t="str">
        <f>IF(Qn-E31-Ta&gt;2*ENT,"Fara E","Admis")</f>
        <v>Admis</v>
      </c>
      <c r="H31">
        <f>D130</f>
        <v>115</v>
      </c>
      <c r="I31">
        <f>E130</f>
        <v>20.6</v>
      </c>
      <c r="J31" t="str">
        <f>IF(I31&gt;=CMA,"A","N")</f>
        <v>A</v>
      </c>
      <c r="N31">
        <f>D163</f>
        <v>148</v>
      </c>
      <c r="O31">
        <f>E163-Ta</f>
        <v>20.18</v>
      </c>
      <c r="P31" s="66">
        <f>O31-Xi</f>
        <v>5.2000000000006708E-2</v>
      </c>
      <c r="Q31" s="66">
        <f>POWER(P31,2)</f>
        <v>2.7040000000006976E-3</v>
      </c>
    </row>
    <row r="32" spans="2:23" x14ac:dyDescent="0.25">
      <c r="D32">
        <v>17</v>
      </c>
      <c r="E32">
        <v>20.48</v>
      </c>
      <c r="F32" s="1">
        <v>0.80686342592592597</v>
      </c>
      <c r="G32" s="8" t="str">
        <f>IF(Qn-E32-Ta&gt;2*ENT,"Fara E","Admis")</f>
        <v>Admis</v>
      </c>
      <c r="H32">
        <f>D139</f>
        <v>124</v>
      </c>
      <c r="I32">
        <f>E139</f>
        <v>20.6</v>
      </c>
      <c r="J32" t="str">
        <f>IF(I32&gt;=CMA,"A","N")</f>
        <v>A</v>
      </c>
      <c r="N32">
        <f>D164</f>
        <v>149</v>
      </c>
      <c r="O32">
        <f>E164-Ta</f>
        <v>20.18</v>
      </c>
      <c r="P32" s="66">
        <f>O32-Xi</f>
        <v>5.2000000000006708E-2</v>
      </c>
      <c r="Q32" s="66">
        <f>POWER(P32,2)</f>
        <v>2.7040000000006976E-3</v>
      </c>
    </row>
    <row r="33" spans="4:17" x14ac:dyDescent="0.25">
      <c r="D33">
        <v>18</v>
      </c>
      <c r="E33">
        <v>20.6</v>
      </c>
      <c r="F33" s="1">
        <v>0.8068749999999999</v>
      </c>
      <c r="G33" s="8" t="str">
        <f>IF(Qn-E33-Ta&gt;2*ENT,"Fara E","Admis")</f>
        <v>Admis</v>
      </c>
      <c r="H33">
        <f>D141</f>
        <v>126</v>
      </c>
      <c r="I33">
        <f>E141</f>
        <v>20.48</v>
      </c>
      <c r="J33" t="str">
        <f>IF(I33&gt;=CMA,"A","N")</f>
        <v>A</v>
      </c>
      <c r="N33">
        <f>D175</f>
        <v>160</v>
      </c>
      <c r="O33">
        <f>E175-Ta</f>
        <v>20.18</v>
      </c>
      <c r="P33" s="66">
        <f>O33-Xi</f>
        <v>5.2000000000006708E-2</v>
      </c>
      <c r="Q33" s="66">
        <f>POWER(P33,2)</f>
        <v>2.7040000000006976E-3</v>
      </c>
    </row>
    <row r="34" spans="4:17" x14ac:dyDescent="0.25">
      <c r="D34">
        <v>19</v>
      </c>
      <c r="E34">
        <v>20.6</v>
      </c>
      <c r="F34" s="1">
        <v>0.80688657407407405</v>
      </c>
      <c r="G34" s="8" t="str">
        <f>IF(Qn-E34-Ta&gt;2*ENT,"Fara E","Admis")</f>
        <v>Admis</v>
      </c>
      <c r="H34">
        <f>D148</f>
        <v>133</v>
      </c>
      <c r="I34">
        <f>E148</f>
        <v>20.6</v>
      </c>
      <c r="J34" t="str">
        <f>IF(I34&gt;=CMA,"A","N")</f>
        <v>A</v>
      </c>
      <c r="N34">
        <f>D177</f>
        <v>162</v>
      </c>
      <c r="O34">
        <f>E177-Ta</f>
        <v>20.059999999999999</v>
      </c>
      <c r="P34" s="66">
        <f>O34-Xi</f>
        <v>-6.7999999999994287E-2</v>
      </c>
      <c r="Q34" s="66">
        <f>POWER(P34,2)</f>
        <v>4.6239999999992233E-3</v>
      </c>
    </row>
    <row r="35" spans="4:17" x14ac:dyDescent="0.25">
      <c r="D35">
        <v>20</v>
      </c>
      <c r="E35">
        <v>20.6</v>
      </c>
      <c r="F35" s="1">
        <v>0.80696759259259254</v>
      </c>
      <c r="G35" s="8" t="str">
        <f>IF(Qn-E35-Ta&gt;2*ENT,"Fara E","Admis")</f>
        <v>Admis</v>
      </c>
      <c r="H35">
        <f>D150</f>
        <v>135</v>
      </c>
      <c r="I35">
        <f>E150</f>
        <v>20.6</v>
      </c>
      <c r="J35" t="str">
        <f>IF(I35&gt;=CMA,"A","N")</f>
        <v>A</v>
      </c>
      <c r="N35">
        <f>D179</f>
        <v>164</v>
      </c>
      <c r="O35">
        <f>E179-Ta</f>
        <v>20.18</v>
      </c>
      <c r="P35" s="66">
        <f>O35-Xi</f>
        <v>5.2000000000006708E-2</v>
      </c>
      <c r="Q35" s="66">
        <f>POWER(P35,2)</f>
        <v>2.7040000000006976E-3</v>
      </c>
    </row>
    <row r="36" spans="4:17" x14ac:dyDescent="0.25">
      <c r="D36">
        <v>21</v>
      </c>
      <c r="E36">
        <v>20.48</v>
      </c>
      <c r="F36" s="1">
        <v>0.80684027777777778</v>
      </c>
      <c r="G36" s="8" t="str">
        <f>IF(Qn-E36-Ta&gt;2*ENT,"Fara E","Admis")</f>
        <v>Admis</v>
      </c>
      <c r="H36">
        <f>D159</f>
        <v>144</v>
      </c>
      <c r="I36">
        <f>E159</f>
        <v>20.6</v>
      </c>
      <c r="J36" t="str">
        <f>IF(I36&gt;=CMA,"A","N")</f>
        <v>A</v>
      </c>
      <c r="N36">
        <f>D187</f>
        <v>172</v>
      </c>
      <c r="O36">
        <f>E187-Ta</f>
        <v>20.059999999999999</v>
      </c>
      <c r="P36" s="66">
        <f>O36-Xi</f>
        <v>-6.7999999999994287E-2</v>
      </c>
      <c r="Q36" s="66">
        <f>POWER(P36,2)</f>
        <v>4.6239999999992233E-3</v>
      </c>
    </row>
    <row r="37" spans="4:17" x14ac:dyDescent="0.25">
      <c r="D37">
        <v>22</v>
      </c>
      <c r="E37">
        <v>20.48</v>
      </c>
      <c r="F37" s="1">
        <v>0.80686342592592597</v>
      </c>
      <c r="G37" s="8" t="str">
        <f>IF(Qn-E37-Ta&gt;2*ENT,"Fara E","Admis")</f>
        <v>Admis</v>
      </c>
      <c r="H37">
        <f>D170</f>
        <v>155</v>
      </c>
      <c r="I37">
        <f>E170</f>
        <v>20.6</v>
      </c>
      <c r="J37" t="str">
        <f>IF(I37&gt;=CMA,"A","N")</f>
        <v>A</v>
      </c>
      <c r="N37">
        <f>D188</f>
        <v>173</v>
      </c>
      <c r="O37">
        <f>E188-Ta</f>
        <v>20.18</v>
      </c>
      <c r="P37" s="66">
        <f>O37-Xi</f>
        <v>5.2000000000006708E-2</v>
      </c>
      <c r="Q37" s="66">
        <f>POWER(P37,2)</f>
        <v>2.7040000000006976E-3</v>
      </c>
    </row>
    <row r="38" spans="4:17" x14ac:dyDescent="0.25">
      <c r="D38">
        <v>23</v>
      </c>
      <c r="E38">
        <v>20.6</v>
      </c>
      <c r="F38" s="1">
        <v>0.8068749999999999</v>
      </c>
      <c r="G38" s="8" t="str">
        <f>IF(Qn-E38-Ta&gt;2*ENT,"Fara E","Admis")</f>
        <v>Admis</v>
      </c>
      <c r="H38">
        <f>D174</f>
        <v>159</v>
      </c>
      <c r="I38">
        <f>E174</f>
        <v>20.6</v>
      </c>
      <c r="J38" t="str">
        <f>IF(I38&gt;=CMA,"A","N")</f>
        <v>A</v>
      </c>
      <c r="N38">
        <f>D204</f>
        <v>189</v>
      </c>
      <c r="O38">
        <f>E204-Ta</f>
        <v>20.18</v>
      </c>
      <c r="P38" s="66">
        <f>O38-Xi</f>
        <v>5.2000000000006708E-2</v>
      </c>
      <c r="Q38" s="66">
        <f>POWER(P38,2)</f>
        <v>2.7040000000006976E-3</v>
      </c>
    </row>
    <row r="39" spans="4:17" x14ac:dyDescent="0.25">
      <c r="D39">
        <v>24</v>
      </c>
      <c r="E39">
        <v>20.6</v>
      </c>
      <c r="F39" s="1">
        <v>0.80688657407407405</v>
      </c>
      <c r="G39" s="8" t="str">
        <f>IF(Qn-E39-Ta&gt;2*ENT,"Fara E","Admis")</f>
        <v>Admis</v>
      </c>
      <c r="H39">
        <f>D180</f>
        <v>165</v>
      </c>
      <c r="I39">
        <f>E180</f>
        <v>20.6</v>
      </c>
      <c r="J39" t="str">
        <f>IF(I39&gt;=CMA,"A","N")</f>
        <v>A</v>
      </c>
      <c r="N39">
        <f>D205</f>
        <v>190</v>
      </c>
      <c r="O39">
        <f>E205-Ta</f>
        <v>20.18</v>
      </c>
      <c r="P39" s="66">
        <f>O39-Xi</f>
        <v>5.2000000000006708E-2</v>
      </c>
      <c r="Q39" s="66">
        <f>POWER(P39,2)</f>
        <v>2.7040000000006976E-3</v>
      </c>
    </row>
    <row r="40" spans="4:17" x14ac:dyDescent="0.25">
      <c r="D40">
        <v>25</v>
      </c>
      <c r="E40">
        <v>20.6</v>
      </c>
      <c r="F40" s="1">
        <v>0.80696759259259254</v>
      </c>
      <c r="G40" s="8" t="str">
        <f>IF(Qn-E40-Ta&gt;2*ENT,"Fara E","Admis")</f>
        <v>Admis</v>
      </c>
      <c r="H40">
        <f>D183</f>
        <v>168</v>
      </c>
      <c r="I40">
        <f>E183</f>
        <v>20.6</v>
      </c>
      <c r="J40" t="str">
        <f>IF(I40&gt;=CMA,"A","N")</f>
        <v>A</v>
      </c>
      <c r="N40">
        <f>D209</f>
        <v>194</v>
      </c>
      <c r="O40">
        <f>E209-Ta</f>
        <v>20.18</v>
      </c>
      <c r="P40" s="66">
        <f>O40-Xi</f>
        <v>5.2000000000006708E-2</v>
      </c>
      <c r="Q40" s="66">
        <f>POWER(P40,2)</f>
        <v>2.7040000000006976E-3</v>
      </c>
    </row>
    <row r="41" spans="4:17" x14ac:dyDescent="0.25">
      <c r="D41">
        <v>26</v>
      </c>
      <c r="E41">
        <v>20.48</v>
      </c>
      <c r="F41" s="1">
        <v>0.80684027777777778</v>
      </c>
      <c r="G41" s="8" t="str">
        <f>IF(Qn-E41-Ta&gt;2*ENT,"Fara E","Admis")</f>
        <v>Admis</v>
      </c>
      <c r="H41">
        <f>D186</f>
        <v>171</v>
      </c>
      <c r="I41">
        <f>E186</f>
        <v>20.48</v>
      </c>
      <c r="J41" t="str">
        <f>IF(I41&gt;=CMA,"A","N")</f>
        <v>A</v>
      </c>
      <c r="N41">
        <f>D213</f>
        <v>198</v>
      </c>
      <c r="O41">
        <f>E213-Ta</f>
        <v>20.18</v>
      </c>
      <c r="P41" s="66">
        <f>O41-Xi</f>
        <v>5.2000000000006708E-2</v>
      </c>
      <c r="Q41" s="66">
        <f>POWER(P41,2)</f>
        <v>2.7040000000006976E-3</v>
      </c>
    </row>
    <row r="42" spans="4:17" x14ac:dyDescent="0.25">
      <c r="D42">
        <v>27</v>
      </c>
      <c r="E42">
        <v>20.48</v>
      </c>
      <c r="F42" s="1">
        <v>0.80686342592592597</v>
      </c>
      <c r="G42" s="8" t="str">
        <f>IF(Qn-E42-Ta&gt;2*ENT,"Fara E","Admis")</f>
        <v>Admis</v>
      </c>
      <c r="H42">
        <f>D206</f>
        <v>191</v>
      </c>
      <c r="I42">
        <f>E206</f>
        <v>20.48</v>
      </c>
      <c r="J42" t="str">
        <f>IF(I42&gt;=CMA,"A","N")</f>
        <v>A</v>
      </c>
      <c r="N42">
        <f>D216</f>
        <v>201</v>
      </c>
      <c r="O42">
        <f>E216-Ta</f>
        <v>20.059999999999999</v>
      </c>
      <c r="P42" s="66">
        <f>O42-Xi</f>
        <v>-6.7999999999994287E-2</v>
      </c>
      <c r="Q42" s="66">
        <f>POWER(P42,2)</f>
        <v>4.6239999999992233E-3</v>
      </c>
    </row>
    <row r="43" spans="4:17" x14ac:dyDescent="0.25">
      <c r="D43">
        <v>28</v>
      </c>
      <c r="E43">
        <v>20.6</v>
      </c>
      <c r="F43" s="1">
        <v>0.8068749999999999</v>
      </c>
      <c r="G43" s="8" t="str">
        <f>IF(Qn-E43-Ta&gt;2*ENT,"Fara E","Admis")</f>
        <v>Admis</v>
      </c>
      <c r="H43">
        <f>D214</f>
        <v>199</v>
      </c>
      <c r="I43">
        <f>E214</f>
        <v>20.6</v>
      </c>
      <c r="J43" t="str">
        <f>IF(I43&gt;=CMA,"A","N")</f>
        <v>A</v>
      </c>
      <c r="N43">
        <f>D218</f>
        <v>203</v>
      </c>
      <c r="O43">
        <f>E218-Ta</f>
        <v>20.18</v>
      </c>
      <c r="P43" s="66">
        <f>O43-Xi</f>
        <v>5.2000000000006708E-2</v>
      </c>
      <c r="Q43" s="66">
        <f>POWER(P43,2)</f>
        <v>2.7040000000006976E-3</v>
      </c>
    </row>
    <row r="44" spans="4:17" x14ac:dyDescent="0.25">
      <c r="D44">
        <v>29</v>
      </c>
      <c r="E44">
        <v>20.6</v>
      </c>
      <c r="F44" s="1">
        <v>0.80688657407407405</v>
      </c>
      <c r="G44" s="8" t="str">
        <f>IF(Qn-E44-Ta&gt;2*ENT,"Fara E","Admis")</f>
        <v>Admis</v>
      </c>
      <c r="H44">
        <f>D219</f>
        <v>204</v>
      </c>
      <c r="I44">
        <f>E219</f>
        <v>20.6</v>
      </c>
      <c r="J44" t="str">
        <f>IF(I44&gt;=CMA,"A","N")</f>
        <v>A</v>
      </c>
      <c r="N44">
        <f>D224</f>
        <v>209</v>
      </c>
      <c r="O44">
        <f>E224-Ta</f>
        <v>20.18</v>
      </c>
      <c r="P44" s="66">
        <f>O44-Xi</f>
        <v>5.2000000000006708E-2</v>
      </c>
      <c r="Q44" s="66">
        <f>POWER(P44,2)</f>
        <v>2.7040000000006976E-3</v>
      </c>
    </row>
    <row r="45" spans="4:17" x14ac:dyDescent="0.25">
      <c r="D45">
        <v>30</v>
      </c>
      <c r="E45">
        <v>20.6</v>
      </c>
      <c r="F45" s="1">
        <v>0.80696759259259254</v>
      </c>
      <c r="G45" s="8" t="str">
        <f>IF(Qn-E45-Ta&gt;2*ENT,"Fara E","Admis")</f>
        <v>Admis</v>
      </c>
      <c r="H45">
        <f>D224</f>
        <v>209</v>
      </c>
      <c r="I45">
        <f>E224</f>
        <v>20.6</v>
      </c>
      <c r="J45" t="str">
        <f>IF(I45&gt;=CMA,"A","N")</f>
        <v>A</v>
      </c>
      <c r="N45">
        <f>D225</f>
        <v>210</v>
      </c>
      <c r="O45">
        <f>E225-Ta</f>
        <v>20.18</v>
      </c>
      <c r="P45" s="66">
        <f>O45-Xi</f>
        <v>5.2000000000006708E-2</v>
      </c>
      <c r="Q45" s="66">
        <f>POWER(P45,2)</f>
        <v>2.7040000000006976E-3</v>
      </c>
    </row>
    <row r="46" spans="4:17" x14ac:dyDescent="0.25">
      <c r="D46">
        <v>31</v>
      </c>
      <c r="E46">
        <v>20.48</v>
      </c>
      <c r="F46" s="1">
        <v>0.80684027777777778</v>
      </c>
      <c r="G46" s="8" t="str">
        <f>IF(Qn-E46-Ta&gt;2*ENT,"Fara E","Admis")</f>
        <v>Admis</v>
      </c>
      <c r="Q46" s="66">
        <f>POWER(P46,2)</f>
        <v>0</v>
      </c>
    </row>
    <row r="47" spans="4:17" x14ac:dyDescent="0.25">
      <c r="D47">
        <v>32</v>
      </c>
      <c r="E47">
        <v>20.48</v>
      </c>
      <c r="F47" s="1">
        <v>0.80686342592592597</v>
      </c>
      <c r="G47" s="8" t="str">
        <f>IF(Qn-E47-Ta&gt;2*ENT,"Fara E","Admis")</f>
        <v>Admis</v>
      </c>
      <c r="Q47" s="66">
        <f>POWER(P47,2)</f>
        <v>0</v>
      </c>
    </row>
    <row r="48" spans="4:17" x14ac:dyDescent="0.25">
      <c r="D48">
        <v>33</v>
      </c>
      <c r="E48">
        <v>20.6</v>
      </c>
      <c r="F48" s="1">
        <v>0.8068749999999999</v>
      </c>
      <c r="G48" s="8" t="str">
        <f>IF(Qn-E48-Ta&gt;2*ENT,"Fara E","Admis")</f>
        <v>Admis</v>
      </c>
      <c r="Q48" s="66">
        <f>POWER(P48,2)</f>
        <v>0</v>
      </c>
    </row>
    <row r="49" spans="4:17" x14ac:dyDescent="0.25">
      <c r="D49">
        <v>34</v>
      </c>
      <c r="E49">
        <v>20.6</v>
      </c>
      <c r="F49" s="1">
        <v>0.80688657407407405</v>
      </c>
      <c r="G49" s="8" t="str">
        <f>IF(Qn-E49-Ta&gt;2*ENT,"Fara E","Admis")</f>
        <v>Admis</v>
      </c>
      <c r="Q49" s="66">
        <f>POWER(P49,2)</f>
        <v>0</v>
      </c>
    </row>
    <row r="50" spans="4:17" x14ac:dyDescent="0.25">
      <c r="D50">
        <v>35</v>
      </c>
      <c r="E50">
        <v>20.6</v>
      </c>
      <c r="F50" s="1">
        <v>0.80696759259259254</v>
      </c>
      <c r="G50" s="8" t="str">
        <f>IF(Qn-E50-Ta&gt;2*ENT,"Fara E","Admis")</f>
        <v>Admis</v>
      </c>
      <c r="Q50" s="66">
        <f>POWER(P50,2)</f>
        <v>0</v>
      </c>
    </row>
    <row r="51" spans="4:17" x14ac:dyDescent="0.25">
      <c r="D51">
        <v>36</v>
      </c>
      <c r="E51">
        <v>20.48</v>
      </c>
      <c r="F51" s="1">
        <v>0.80684027777777778</v>
      </c>
      <c r="G51" s="8" t="str">
        <f>IF(Qn-E51-Ta&gt;2*ENT,"Fara E","Admis")</f>
        <v>Admis</v>
      </c>
      <c r="Q51" s="66">
        <f>POWER(P51,2)</f>
        <v>0</v>
      </c>
    </row>
    <row r="52" spans="4:17" x14ac:dyDescent="0.25">
      <c r="D52">
        <v>37</v>
      </c>
      <c r="E52">
        <v>20.48</v>
      </c>
      <c r="F52" s="1">
        <v>0.80686342592592597</v>
      </c>
      <c r="G52" s="8" t="str">
        <f>IF(Qn-E52-Ta&gt;2*ENT,"Fara E","Admis")</f>
        <v>Admis</v>
      </c>
      <c r="Q52" s="66">
        <f>POWER(P52,2)</f>
        <v>0</v>
      </c>
    </row>
    <row r="53" spans="4:17" x14ac:dyDescent="0.25">
      <c r="D53">
        <v>38</v>
      </c>
      <c r="E53">
        <v>20.6</v>
      </c>
      <c r="F53" s="1">
        <v>0.8068749999999999</v>
      </c>
      <c r="G53" s="8" t="str">
        <f>IF(Qn-E53-Ta&gt;2*ENT,"Fara E","Admis")</f>
        <v>Admis</v>
      </c>
      <c r="Q53" s="66">
        <f>POWER(P53,2)</f>
        <v>0</v>
      </c>
    </row>
    <row r="54" spans="4:17" x14ac:dyDescent="0.25">
      <c r="D54">
        <v>39</v>
      </c>
      <c r="E54">
        <v>20.6</v>
      </c>
      <c r="F54" s="1">
        <v>0.80688657407407405</v>
      </c>
      <c r="G54" s="8" t="str">
        <f>IF(Qn-E54-Ta&gt;2*ENT,"Fara E","Admis")</f>
        <v>Admis</v>
      </c>
      <c r="Q54" s="66">
        <f>POWER(P54,2)</f>
        <v>0</v>
      </c>
    </row>
    <row r="55" spans="4:17" x14ac:dyDescent="0.25">
      <c r="D55">
        <v>40</v>
      </c>
      <c r="E55">
        <v>20.6</v>
      </c>
      <c r="F55" s="1">
        <v>0.80696759259259254</v>
      </c>
      <c r="G55" s="8" t="str">
        <f>IF(Qn-E55-Ta&gt;2*ENT,"Fara E","Admis")</f>
        <v>Admis</v>
      </c>
      <c r="Q55" s="66">
        <f>POWER(P55,2)</f>
        <v>0</v>
      </c>
    </row>
    <row r="56" spans="4:17" x14ac:dyDescent="0.25">
      <c r="D56">
        <v>41</v>
      </c>
      <c r="E56">
        <v>20.48</v>
      </c>
      <c r="F56" s="1">
        <v>0.80684027777777778</v>
      </c>
      <c r="G56" s="8" t="str">
        <f>IF(Qn-E56-Ta&gt;2*ENT,"Fara E","Admis")</f>
        <v>Admis</v>
      </c>
      <c r="Q56" s="66">
        <f>POWER(P56,2)</f>
        <v>0</v>
      </c>
    </row>
    <row r="57" spans="4:17" x14ac:dyDescent="0.25">
      <c r="D57">
        <v>42</v>
      </c>
      <c r="E57">
        <v>20.48</v>
      </c>
      <c r="F57" s="1">
        <v>0.80686342592592597</v>
      </c>
      <c r="G57" s="8" t="str">
        <f>IF(Qn-E57-Ta&gt;2*ENT,"Fara E","Admis")</f>
        <v>Admis</v>
      </c>
      <c r="Q57" s="66">
        <f>POWER(P57,2)</f>
        <v>0</v>
      </c>
    </row>
    <row r="58" spans="4:17" x14ac:dyDescent="0.25">
      <c r="D58">
        <v>43</v>
      </c>
      <c r="E58">
        <v>20.6</v>
      </c>
      <c r="F58" s="1">
        <v>0.8068749999999999</v>
      </c>
      <c r="G58" s="8" t="str">
        <f>IF(Qn-E58-Ta&gt;2*ENT,"Fara E","Admis")</f>
        <v>Admis</v>
      </c>
      <c r="Q58" s="66">
        <f>POWER(P58,2)</f>
        <v>0</v>
      </c>
    </row>
    <row r="59" spans="4:17" x14ac:dyDescent="0.25">
      <c r="D59">
        <v>44</v>
      </c>
      <c r="E59">
        <v>20.6</v>
      </c>
      <c r="F59" s="1">
        <v>0.80688657407407405</v>
      </c>
      <c r="G59" s="8" t="str">
        <f>IF(Qn-E59-Ta&gt;2*ENT,"Fara E","Admis")</f>
        <v>Admis</v>
      </c>
      <c r="Q59" s="66">
        <f>POWER(P59,2)</f>
        <v>0</v>
      </c>
    </row>
    <row r="60" spans="4:17" x14ac:dyDescent="0.25">
      <c r="D60">
        <v>45</v>
      </c>
      <c r="E60">
        <v>20.6</v>
      </c>
      <c r="F60" s="1">
        <v>0.80696759259259254</v>
      </c>
      <c r="G60" s="8" t="str">
        <f>IF(Qn-E60-Ta&gt;2*ENT,"Fara E","Admis")</f>
        <v>Admis</v>
      </c>
      <c r="Q60" s="66">
        <f>POWER(P60,2)</f>
        <v>0</v>
      </c>
    </row>
    <row r="61" spans="4:17" x14ac:dyDescent="0.25">
      <c r="D61">
        <v>46</v>
      </c>
      <c r="E61">
        <v>20.48</v>
      </c>
      <c r="F61" s="1">
        <v>0.80684027777777778</v>
      </c>
      <c r="G61" s="8" t="str">
        <f>IF(Qn-E61-Ta&gt;2*ENT,"Fara E","Admis")</f>
        <v>Admis</v>
      </c>
      <c r="Q61" s="66">
        <f>POWER(P61,2)</f>
        <v>0</v>
      </c>
    </row>
    <row r="62" spans="4:17" x14ac:dyDescent="0.25">
      <c r="D62">
        <v>47</v>
      </c>
      <c r="E62">
        <v>20.48</v>
      </c>
      <c r="F62" s="1">
        <v>0.80686342592592597</v>
      </c>
      <c r="G62" s="8" t="str">
        <f>IF(Qn-E62-Ta&gt;2*ENT,"Fara E","Admis")</f>
        <v>Admis</v>
      </c>
      <c r="Q62" s="66">
        <f>POWER(P62,2)</f>
        <v>0</v>
      </c>
    </row>
    <row r="63" spans="4:17" x14ac:dyDescent="0.25">
      <c r="D63">
        <v>48</v>
      </c>
      <c r="E63">
        <v>20.6</v>
      </c>
      <c r="F63" s="1">
        <v>0.8068749999999999</v>
      </c>
      <c r="G63" s="8" t="str">
        <f>IF(Qn-E63-Ta&gt;2*ENT,"Fara E","Admis")</f>
        <v>Admis</v>
      </c>
      <c r="Q63" s="66">
        <f>POWER(P63,2)</f>
        <v>0</v>
      </c>
    </row>
    <row r="64" spans="4:17" x14ac:dyDescent="0.25">
      <c r="D64">
        <v>49</v>
      </c>
      <c r="E64">
        <v>20.6</v>
      </c>
      <c r="F64" s="1">
        <v>0.80688657407407405</v>
      </c>
      <c r="G64" s="8" t="str">
        <f>IF(Qn-E64-Ta&gt;2*ENT,"Fara E","Admis")</f>
        <v>Admis</v>
      </c>
      <c r="Q64" s="66">
        <f>POWER(P64,2)</f>
        <v>0</v>
      </c>
    </row>
    <row r="65" spans="4:17" x14ac:dyDescent="0.25">
      <c r="D65">
        <v>50</v>
      </c>
      <c r="E65">
        <v>20.6</v>
      </c>
      <c r="F65" s="1">
        <v>0.80696759259259254</v>
      </c>
      <c r="G65" s="8" t="str">
        <f>IF(Qn-E65-Ta&gt;2*ENT,"Fara E","Admis")</f>
        <v>Admis</v>
      </c>
      <c r="Q65" s="66">
        <f>POWER(P65,2)</f>
        <v>0</v>
      </c>
    </row>
    <row r="66" spans="4:17" x14ac:dyDescent="0.25">
      <c r="D66">
        <v>51</v>
      </c>
      <c r="E66">
        <v>10.48</v>
      </c>
      <c r="F66" s="1">
        <v>0.80684027777777778</v>
      </c>
      <c r="G66" s="8" t="str">
        <f>IF(Qn-E66-Ta&gt;2*ENT,"Fara E","Admis")</f>
        <v>Fara E</v>
      </c>
      <c r="Q66" s="66">
        <f>POWER(P66,2)</f>
        <v>0</v>
      </c>
    </row>
    <row r="67" spans="4:17" x14ac:dyDescent="0.25">
      <c r="D67">
        <v>52</v>
      </c>
      <c r="E67">
        <v>20.48</v>
      </c>
      <c r="F67" s="1">
        <v>0.80686342592592597</v>
      </c>
      <c r="G67" s="8" t="str">
        <f>IF(Qn-E67-Ta&gt;2*ENT,"Fara E","Admis")</f>
        <v>Admis</v>
      </c>
      <c r="Q67" s="66">
        <f>POWER(P67,2)</f>
        <v>0</v>
      </c>
    </row>
    <row r="68" spans="4:17" x14ac:dyDescent="0.25">
      <c r="D68">
        <v>53</v>
      </c>
      <c r="E68">
        <v>20.6</v>
      </c>
      <c r="F68" s="1">
        <v>0.8068749999999999</v>
      </c>
      <c r="G68" s="8" t="str">
        <f>IF(Qn-E68-Ta&gt;2*ENT,"Fara E","Admis")</f>
        <v>Admis</v>
      </c>
      <c r="Q68" s="66">
        <f>POWER(P68,2)</f>
        <v>0</v>
      </c>
    </row>
    <row r="69" spans="4:17" x14ac:dyDescent="0.25">
      <c r="D69">
        <v>54</v>
      </c>
      <c r="E69">
        <v>20.6</v>
      </c>
      <c r="F69" s="1">
        <v>0.80688657407407405</v>
      </c>
      <c r="G69" s="8" t="str">
        <f>IF(Qn-E69-Ta&gt;2*ENT,"Fara E","Admis")</f>
        <v>Admis</v>
      </c>
      <c r="Q69" s="66">
        <f>POWER(P69,2)</f>
        <v>0</v>
      </c>
    </row>
    <row r="70" spans="4:17" x14ac:dyDescent="0.25">
      <c r="D70">
        <v>55</v>
      </c>
      <c r="E70">
        <v>20.6</v>
      </c>
      <c r="F70" s="1">
        <v>0.80696759259259254</v>
      </c>
      <c r="G70" s="8" t="str">
        <f>IF(Qn-E70-Ta&gt;2*ENT,"Fara E","Admis")</f>
        <v>Admis</v>
      </c>
      <c r="Q70" s="66">
        <f>POWER(P70,2)</f>
        <v>0</v>
      </c>
    </row>
    <row r="71" spans="4:17" x14ac:dyDescent="0.25">
      <c r="D71">
        <v>56</v>
      </c>
      <c r="E71">
        <v>20.48</v>
      </c>
      <c r="F71" s="1">
        <v>0.80684027777777778</v>
      </c>
      <c r="G71" s="8" t="str">
        <f>IF(Qn-E71-Ta&gt;2*ENT,"Fara E","Admis")</f>
        <v>Admis</v>
      </c>
      <c r="Q71" s="66">
        <f>POWER(P71,2)</f>
        <v>0</v>
      </c>
    </row>
    <row r="72" spans="4:17" x14ac:dyDescent="0.25">
      <c r="D72">
        <v>57</v>
      </c>
      <c r="E72">
        <v>10.48</v>
      </c>
      <c r="F72" s="1">
        <v>0.80686342592592597</v>
      </c>
      <c r="G72" s="8" t="str">
        <f>IF(Qn-E72-Ta&gt;2*ENT,"Fara E","Admis")</f>
        <v>Fara E</v>
      </c>
      <c r="Q72" s="66">
        <f>POWER(P72,2)</f>
        <v>0</v>
      </c>
    </row>
    <row r="73" spans="4:17" x14ac:dyDescent="0.25">
      <c r="D73">
        <v>58</v>
      </c>
      <c r="E73">
        <v>20.6</v>
      </c>
      <c r="F73" s="1">
        <v>0.8068749999999999</v>
      </c>
      <c r="G73" s="8" t="str">
        <f>IF(Qn-E73-Ta&gt;2*ENT,"Fara E","Admis")</f>
        <v>Admis</v>
      </c>
      <c r="Q73" s="66">
        <f>POWER(P73,2)</f>
        <v>0</v>
      </c>
    </row>
    <row r="74" spans="4:17" x14ac:dyDescent="0.25">
      <c r="D74">
        <v>59</v>
      </c>
      <c r="E74">
        <v>20.6</v>
      </c>
      <c r="F74" s="1">
        <v>0.80688657407407405</v>
      </c>
      <c r="G74" s="8" t="str">
        <f>IF(Qn-E74-Ta&gt;2*ENT,"Fara E","Admis")</f>
        <v>Admis</v>
      </c>
      <c r="Q74" s="66">
        <f>POWER(P74,2)</f>
        <v>0</v>
      </c>
    </row>
    <row r="75" spans="4:17" x14ac:dyDescent="0.25">
      <c r="D75">
        <v>60</v>
      </c>
      <c r="E75">
        <v>20.6</v>
      </c>
      <c r="F75" s="1">
        <v>0.80696759259259254</v>
      </c>
      <c r="G75" s="8" t="str">
        <f>IF(Qn-E75-Ta&gt;2*ENT,"Fara E","Admis")</f>
        <v>Admis</v>
      </c>
      <c r="Q75" s="66">
        <f>POWER(P75,2)</f>
        <v>0</v>
      </c>
    </row>
    <row r="76" spans="4:17" x14ac:dyDescent="0.25">
      <c r="D76">
        <v>61</v>
      </c>
      <c r="E76">
        <v>10.48</v>
      </c>
      <c r="F76" s="1">
        <v>0.80684027777777778</v>
      </c>
      <c r="G76" s="8" t="str">
        <f>IF(Qn-E76-Ta&gt;2*ENT,"Fara E","Admis")</f>
        <v>Fara E</v>
      </c>
      <c r="Q76" s="66">
        <f>POWER(P76,2)</f>
        <v>0</v>
      </c>
    </row>
    <row r="77" spans="4:17" x14ac:dyDescent="0.25">
      <c r="D77">
        <v>62</v>
      </c>
      <c r="E77">
        <v>20.48</v>
      </c>
      <c r="F77" s="1">
        <v>0.80686342592592597</v>
      </c>
      <c r="G77" s="8" t="str">
        <f>IF(Qn-E77-Ta&gt;2*ENT,"Fara E","Admis")</f>
        <v>Admis</v>
      </c>
      <c r="Q77" s="66">
        <f>POWER(P77,2)</f>
        <v>0</v>
      </c>
    </row>
    <row r="78" spans="4:17" x14ac:dyDescent="0.25">
      <c r="D78">
        <v>63</v>
      </c>
      <c r="E78">
        <v>20.6</v>
      </c>
      <c r="F78" s="1">
        <v>0.8068749999999999</v>
      </c>
      <c r="G78" s="8" t="str">
        <f>IF(Qn-E78-Ta&gt;2*ENT,"Fara E","Admis")</f>
        <v>Admis</v>
      </c>
      <c r="Q78" s="66">
        <f>POWER(P78,2)</f>
        <v>0</v>
      </c>
    </row>
    <row r="79" spans="4:17" x14ac:dyDescent="0.25">
      <c r="D79">
        <v>64</v>
      </c>
      <c r="E79">
        <v>20.6</v>
      </c>
      <c r="F79" s="1">
        <v>0.80688657407407405</v>
      </c>
      <c r="G79" s="8" t="str">
        <f>IF(Qn-E79-Ta&gt;2*ENT,"Fara E","Admis")</f>
        <v>Admis</v>
      </c>
      <c r="Q79" s="66">
        <f>POWER(P79,2)</f>
        <v>0</v>
      </c>
    </row>
    <row r="80" spans="4:17" x14ac:dyDescent="0.25">
      <c r="D80">
        <v>65</v>
      </c>
      <c r="E80">
        <v>10.6</v>
      </c>
      <c r="F80" s="1">
        <v>0.80696759259259254</v>
      </c>
      <c r="G80" s="8" t="str">
        <f>IF(Qn-E80-Ta&gt;2*ENT,"Fara E","Admis")</f>
        <v>Fara E</v>
      </c>
      <c r="Q80" s="66">
        <f>POWER(P80,2)</f>
        <v>0</v>
      </c>
    </row>
    <row r="81" spans="4:17" x14ac:dyDescent="0.25">
      <c r="D81">
        <v>66</v>
      </c>
      <c r="E81">
        <v>20.48</v>
      </c>
      <c r="F81" s="1">
        <v>0.80684027777777778</v>
      </c>
      <c r="G81" s="8" t="str">
        <f>IF(Qn-E81-Ta&gt;2*ENT,"Fara E","Admis")</f>
        <v>Admis</v>
      </c>
      <c r="Q81" s="66">
        <f>POWER(P81,2)</f>
        <v>0</v>
      </c>
    </row>
    <row r="82" spans="4:17" x14ac:dyDescent="0.25">
      <c r="D82">
        <v>67</v>
      </c>
      <c r="E82">
        <v>20.48</v>
      </c>
      <c r="F82" s="1">
        <v>0.80686342592592597</v>
      </c>
      <c r="G82" s="8" t="str">
        <f>IF(Qn-E82-Ta&gt;2*ENT,"Fara E","Admis")</f>
        <v>Admis</v>
      </c>
      <c r="Q82" s="66">
        <f>POWER(P82,2)</f>
        <v>0</v>
      </c>
    </row>
    <row r="83" spans="4:17" x14ac:dyDescent="0.25">
      <c r="D83">
        <v>68</v>
      </c>
      <c r="E83">
        <v>20.6</v>
      </c>
      <c r="F83" s="1">
        <v>0.8068749999999999</v>
      </c>
      <c r="G83" s="8" t="str">
        <f>IF(Qn-E83-Ta&gt;2*ENT,"Fara E","Admis")</f>
        <v>Admis</v>
      </c>
      <c r="Q83" s="66">
        <f>POWER(P83,2)</f>
        <v>0</v>
      </c>
    </row>
    <row r="84" spans="4:17" x14ac:dyDescent="0.25">
      <c r="D84">
        <v>69</v>
      </c>
      <c r="E84">
        <v>20.6</v>
      </c>
      <c r="F84" s="1">
        <v>0.80688657407407405</v>
      </c>
      <c r="G84" s="8" t="str">
        <f>IF(Qn-E84-Ta&gt;2*ENT,"Fara E","Admis")</f>
        <v>Admis</v>
      </c>
      <c r="Q84" s="66">
        <f>POWER(P84,2)</f>
        <v>0</v>
      </c>
    </row>
    <row r="85" spans="4:17" x14ac:dyDescent="0.25">
      <c r="D85">
        <v>70</v>
      </c>
      <c r="E85">
        <v>30.6</v>
      </c>
      <c r="F85" s="1">
        <v>0.80696759259259254</v>
      </c>
      <c r="G85" s="8" t="str">
        <f>IF(Qn-E85-Ta&gt;2*ENT,"Fara E","Admis")</f>
        <v>Admis</v>
      </c>
      <c r="Q85" s="66">
        <f>POWER(P85,2)</f>
        <v>0</v>
      </c>
    </row>
    <row r="86" spans="4:17" x14ac:dyDescent="0.25">
      <c r="D86">
        <v>71</v>
      </c>
      <c r="E86">
        <v>20.48</v>
      </c>
      <c r="F86" s="1">
        <v>0.80684027777777778</v>
      </c>
      <c r="G86" s="8" t="str">
        <f>IF(Qn-E86-Ta&gt;2*ENT,"Fara E","Admis")</f>
        <v>Admis</v>
      </c>
      <c r="Q86" s="66">
        <f>POWER(P86,2)</f>
        <v>0</v>
      </c>
    </row>
    <row r="87" spans="4:17" x14ac:dyDescent="0.25">
      <c r="D87">
        <v>72</v>
      </c>
      <c r="E87">
        <v>20.48</v>
      </c>
      <c r="F87" s="1">
        <v>0.80686342592592597</v>
      </c>
      <c r="G87" s="8" t="str">
        <f>IF(Qn-E87-Ta&gt;2*ENT,"Fara E","Admis")</f>
        <v>Admis</v>
      </c>
      <c r="Q87" s="66">
        <f>POWER(P87,2)</f>
        <v>0</v>
      </c>
    </row>
    <row r="88" spans="4:17" x14ac:dyDescent="0.25">
      <c r="D88">
        <v>73</v>
      </c>
      <c r="E88">
        <v>20.6</v>
      </c>
      <c r="F88" s="1">
        <v>0.8068749999999999</v>
      </c>
      <c r="G88" s="8" t="str">
        <f>IF(Qn-E88-Ta&gt;2*ENT,"Fara E","Admis")</f>
        <v>Admis</v>
      </c>
      <c r="Q88" s="66">
        <f>POWER(P88,2)</f>
        <v>0</v>
      </c>
    </row>
    <row r="89" spans="4:17" x14ac:dyDescent="0.25">
      <c r="D89">
        <v>74</v>
      </c>
      <c r="E89">
        <v>40.6</v>
      </c>
      <c r="F89" s="1">
        <v>0.80688657407407405</v>
      </c>
      <c r="G89" s="8" t="str">
        <f>IF(Qn-E89-Ta&gt;2*ENT,"Fara E","Admis")</f>
        <v>Admis</v>
      </c>
      <c r="Q89" s="66">
        <f>POWER(P89,2)</f>
        <v>0</v>
      </c>
    </row>
    <row r="90" spans="4:17" x14ac:dyDescent="0.25">
      <c r="D90">
        <v>75</v>
      </c>
      <c r="E90">
        <v>20.6</v>
      </c>
      <c r="F90" s="1">
        <v>0.80696759259259254</v>
      </c>
      <c r="G90" s="8" t="str">
        <f>IF(Qn-E90-Ta&gt;2*ENT,"Fara E","Admis")</f>
        <v>Admis</v>
      </c>
      <c r="Q90" s="66">
        <f>POWER(P90,2)</f>
        <v>0</v>
      </c>
    </row>
    <row r="91" spans="4:17" x14ac:dyDescent="0.25">
      <c r="D91">
        <v>76</v>
      </c>
      <c r="E91">
        <v>20.48</v>
      </c>
      <c r="F91" s="1">
        <v>0.80684027777777778</v>
      </c>
      <c r="G91" s="8" t="str">
        <f>IF(Qn-E91-Ta&gt;2*ENT,"Fara E","Admis")</f>
        <v>Admis</v>
      </c>
      <c r="Q91" s="66">
        <f>POWER(P91,2)</f>
        <v>0</v>
      </c>
    </row>
    <row r="92" spans="4:17" x14ac:dyDescent="0.25">
      <c r="D92">
        <v>77</v>
      </c>
      <c r="E92">
        <v>10.48</v>
      </c>
      <c r="F92" s="1">
        <v>0.80686342592592597</v>
      </c>
      <c r="G92" s="8" t="str">
        <f>IF(Qn-E92-Ta&gt;2*ENT,"Fara E","Admis")</f>
        <v>Fara E</v>
      </c>
      <c r="Q92" s="66">
        <f>POWER(P92,2)</f>
        <v>0</v>
      </c>
    </row>
    <row r="93" spans="4:17" x14ac:dyDescent="0.25">
      <c r="D93">
        <v>78</v>
      </c>
      <c r="E93">
        <v>20.6</v>
      </c>
      <c r="F93" s="1">
        <v>0.8068749999999999</v>
      </c>
      <c r="G93" s="8" t="str">
        <f>IF(Qn-E93-Ta&gt;2*ENT,"Fara E","Admis")</f>
        <v>Admis</v>
      </c>
      <c r="Q93" s="66">
        <f>POWER(P93,2)</f>
        <v>0</v>
      </c>
    </row>
    <row r="94" spans="4:17" x14ac:dyDescent="0.25">
      <c r="D94">
        <v>79</v>
      </c>
      <c r="E94">
        <v>20.6</v>
      </c>
      <c r="F94" s="1">
        <v>0.80688657407407405</v>
      </c>
      <c r="G94" s="8" t="str">
        <f>IF(Qn-E94-Ta&gt;2*ENT,"Fara E","Admis")</f>
        <v>Admis</v>
      </c>
      <c r="Q94" s="66">
        <f>POWER(P94,2)</f>
        <v>0</v>
      </c>
    </row>
    <row r="95" spans="4:17" x14ac:dyDescent="0.25">
      <c r="D95">
        <v>80</v>
      </c>
      <c r="E95">
        <v>20.6</v>
      </c>
      <c r="F95" s="1">
        <v>0.80696759259259254</v>
      </c>
      <c r="G95" s="8" t="str">
        <f>IF(Qn-E95-Ta&gt;2*ENT,"Fara E","Admis")</f>
        <v>Admis</v>
      </c>
      <c r="Q95" s="66">
        <f>POWER(P95,2)</f>
        <v>0</v>
      </c>
    </row>
    <row r="96" spans="4:17" x14ac:dyDescent="0.25">
      <c r="D96">
        <v>81</v>
      </c>
      <c r="E96">
        <v>20.48</v>
      </c>
      <c r="F96" s="1">
        <v>0.80684027777777778</v>
      </c>
      <c r="G96" s="8" t="str">
        <f>IF(Qn-E96-Ta&gt;2*ENT,"Fara E","Admis")</f>
        <v>Admis</v>
      </c>
      <c r="Q96" s="66">
        <f>POWER(P96,2)</f>
        <v>0</v>
      </c>
    </row>
    <row r="97" spans="4:17" x14ac:dyDescent="0.25">
      <c r="D97">
        <v>82</v>
      </c>
      <c r="E97">
        <v>10.48</v>
      </c>
      <c r="F97" s="1">
        <v>0.80686342592592597</v>
      </c>
      <c r="G97" s="8" t="str">
        <f>IF(Qn-E97-Ta&gt;2*ENT,"Fara E","Admis")</f>
        <v>Fara E</v>
      </c>
      <c r="Q97" s="66">
        <f>POWER(P97,2)</f>
        <v>0</v>
      </c>
    </row>
    <row r="98" spans="4:17" x14ac:dyDescent="0.25">
      <c r="D98">
        <v>83</v>
      </c>
      <c r="E98">
        <v>20.6</v>
      </c>
      <c r="F98" s="1">
        <v>0.8068749999999999</v>
      </c>
      <c r="G98" s="8" t="str">
        <f>IF(Qn-E98-Ta&gt;2*ENT,"Fara E","Admis")</f>
        <v>Admis</v>
      </c>
      <c r="Q98" s="66">
        <f>POWER(P98,2)</f>
        <v>0</v>
      </c>
    </row>
    <row r="99" spans="4:17" x14ac:dyDescent="0.25">
      <c r="D99">
        <v>84</v>
      </c>
      <c r="E99">
        <v>20.6</v>
      </c>
      <c r="F99" s="1">
        <v>0.80688657407407405</v>
      </c>
      <c r="G99" s="8" t="str">
        <f>IF(Qn-E99-Ta&gt;2*ENT,"Fara E","Admis")</f>
        <v>Admis</v>
      </c>
      <c r="Q99" s="66">
        <f>POWER(P99,2)</f>
        <v>0</v>
      </c>
    </row>
    <row r="100" spans="4:17" x14ac:dyDescent="0.25">
      <c r="D100">
        <v>85</v>
      </c>
      <c r="E100">
        <v>20.6</v>
      </c>
      <c r="F100" s="1">
        <v>0.80696759259259254</v>
      </c>
      <c r="G100" s="8" t="str">
        <f>IF(Qn-E100-Ta&gt;2*ENT,"Fara E","Admis")</f>
        <v>Admis</v>
      </c>
      <c r="Q100" s="66">
        <f>POWER(P100,2)</f>
        <v>0</v>
      </c>
    </row>
    <row r="101" spans="4:17" x14ac:dyDescent="0.25">
      <c r="D101">
        <v>86</v>
      </c>
      <c r="E101">
        <v>10.48</v>
      </c>
      <c r="F101" s="1">
        <v>0.80684027777777778</v>
      </c>
      <c r="G101" s="8" t="str">
        <f>IF(Qn-E101-Ta&gt;2*ENT,"Fara E","Admis")</f>
        <v>Fara E</v>
      </c>
      <c r="Q101" s="66">
        <f>POWER(P101,2)</f>
        <v>0</v>
      </c>
    </row>
    <row r="102" spans="4:17" x14ac:dyDescent="0.25">
      <c r="D102">
        <v>87</v>
      </c>
      <c r="E102">
        <v>20.48</v>
      </c>
      <c r="F102" s="1">
        <v>0.80686342592592597</v>
      </c>
      <c r="G102" s="8" t="str">
        <f>IF(Qn-E102-Ta&gt;2*ENT,"Fara E","Admis")</f>
        <v>Admis</v>
      </c>
      <c r="Q102" s="66">
        <f>POWER(P102,2)</f>
        <v>0</v>
      </c>
    </row>
    <row r="103" spans="4:17" x14ac:dyDescent="0.25">
      <c r="D103">
        <v>88</v>
      </c>
      <c r="E103">
        <v>20.6</v>
      </c>
      <c r="F103" s="1">
        <v>0.8068749999999999</v>
      </c>
      <c r="G103" s="8" t="str">
        <f>IF(Qn-E103-Ta&gt;2*ENT,"Fara E","Admis")</f>
        <v>Admis</v>
      </c>
      <c r="Q103" s="66">
        <f>POWER(P103,2)</f>
        <v>0</v>
      </c>
    </row>
    <row r="104" spans="4:17" x14ac:dyDescent="0.25">
      <c r="D104">
        <v>89</v>
      </c>
      <c r="E104">
        <v>20.6</v>
      </c>
      <c r="F104" s="1">
        <v>0.80688657407407405</v>
      </c>
      <c r="G104" s="8" t="str">
        <f>IF(Qn-E104-Ta&gt;2*ENT,"Fara E","Admis")</f>
        <v>Admis</v>
      </c>
      <c r="Q104" s="66">
        <f>POWER(P104,2)</f>
        <v>0</v>
      </c>
    </row>
    <row r="105" spans="4:17" x14ac:dyDescent="0.25">
      <c r="D105">
        <v>90</v>
      </c>
      <c r="E105">
        <v>10.6</v>
      </c>
      <c r="F105" s="1">
        <v>0.80696759259259254</v>
      </c>
      <c r="G105" s="8" t="str">
        <f>IF(Qn-E105-Ta&gt;2*ENT,"Fara E","Admis")</f>
        <v>Fara E</v>
      </c>
      <c r="Q105" s="66">
        <f>POWER(P105,2)</f>
        <v>0</v>
      </c>
    </row>
    <row r="106" spans="4:17" x14ac:dyDescent="0.25">
      <c r="D106">
        <v>91</v>
      </c>
      <c r="E106">
        <v>20.48</v>
      </c>
      <c r="F106" s="1">
        <v>0.80684027777777778</v>
      </c>
      <c r="G106" s="8" t="str">
        <f>IF(Qn-E106-Ta&gt;2*ENT,"Fara E","Admis")</f>
        <v>Admis</v>
      </c>
      <c r="Q106" s="66">
        <f>POWER(P106,2)</f>
        <v>0</v>
      </c>
    </row>
    <row r="107" spans="4:17" x14ac:dyDescent="0.25">
      <c r="D107">
        <v>92</v>
      </c>
      <c r="E107">
        <v>20.48</v>
      </c>
      <c r="F107" s="1">
        <v>0.80686342592592597</v>
      </c>
      <c r="G107" s="8" t="str">
        <f>IF(Qn-E107-Ta&gt;2*ENT,"Fara E","Admis")</f>
        <v>Admis</v>
      </c>
      <c r="Q107" s="66">
        <f>POWER(P107,2)</f>
        <v>0</v>
      </c>
    </row>
    <row r="108" spans="4:17" x14ac:dyDescent="0.25">
      <c r="D108">
        <v>93</v>
      </c>
      <c r="E108">
        <v>20.6</v>
      </c>
      <c r="F108" s="1">
        <v>0.8068749999999999</v>
      </c>
      <c r="G108" s="8" t="str">
        <f>IF(Qn-E108-Ta&gt;2*ENT,"Fara E","Admis")</f>
        <v>Admis</v>
      </c>
      <c r="Q108" s="66">
        <f>POWER(P108,2)</f>
        <v>0</v>
      </c>
    </row>
    <row r="109" spans="4:17" x14ac:dyDescent="0.25">
      <c r="D109">
        <v>94</v>
      </c>
      <c r="E109">
        <v>10.6</v>
      </c>
      <c r="F109" s="1">
        <v>0.80688657407407405</v>
      </c>
      <c r="G109" s="8" t="str">
        <f>IF(Qn-E109-Ta&gt;2*ENT,"Fara E","Admis")</f>
        <v>Fara E</v>
      </c>
      <c r="Q109" s="66">
        <f>POWER(P109,2)</f>
        <v>0</v>
      </c>
    </row>
    <row r="110" spans="4:17" x14ac:dyDescent="0.25">
      <c r="D110">
        <v>95</v>
      </c>
      <c r="E110">
        <v>20.6</v>
      </c>
      <c r="F110" s="1">
        <v>0.80696759259259254</v>
      </c>
      <c r="G110" s="8" t="str">
        <f>IF(Qn-E110-Ta&gt;2*ENT,"Fara E","Admis")</f>
        <v>Admis</v>
      </c>
      <c r="Q110" s="66">
        <f>POWER(P110,2)</f>
        <v>0</v>
      </c>
    </row>
    <row r="111" spans="4:17" x14ac:dyDescent="0.25">
      <c r="D111">
        <v>96</v>
      </c>
      <c r="E111">
        <v>20.48</v>
      </c>
      <c r="F111" s="1">
        <v>0.80684027777777778</v>
      </c>
      <c r="G111" s="8" t="str">
        <f>IF(Qn-E111-Ta&gt;2*ENT,"Fara E","Admis")</f>
        <v>Admis</v>
      </c>
      <c r="Q111" s="66">
        <f>POWER(P111,2)</f>
        <v>0</v>
      </c>
    </row>
    <row r="112" spans="4:17" x14ac:dyDescent="0.25">
      <c r="D112">
        <v>97</v>
      </c>
      <c r="E112">
        <v>20.48</v>
      </c>
      <c r="F112" s="1">
        <v>0.80686342592592597</v>
      </c>
      <c r="G112" s="8" t="str">
        <f>IF(Qn-E112-Ta&gt;2*ENT,"Fara E","Admis")</f>
        <v>Admis</v>
      </c>
      <c r="Q112" s="66">
        <f>POWER(P112,2)</f>
        <v>0</v>
      </c>
    </row>
    <row r="113" spans="4:17" x14ac:dyDescent="0.25">
      <c r="D113">
        <v>98</v>
      </c>
      <c r="E113">
        <v>10.6</v>
      </c>
      <c r="F113" s="1">
        <v>0.8068749999999999</v>
      </c>
      <c r="G113" s="8" t="str">
        <f>IF(Qn-E113-Ta&gt;2*ENT,"Fara E","Admis")</f>
        <v>Fara E</v>
      </c>
      <c r="Q113" s="66">
        <f>POWER(P113,2)</f>
        <v>0</v>
      </c>
    </row>
    <row r="114" spans="4:17" x14ac:dyDescent="0.25">
      <c r="D114">
        <v>99</v>
      </c>
      <c r="E114">
        <v>20.6</v>
      </c>
      <c r="F114" s="1">
        <v>0.80688657407407405</v>
      </c>
      <c r="G114" s="8" t="str">
        <f>IF(Qn-E114-Ta&gt;2*ENT,"Fara E","Admis")</f>
        <v>Admis</v>
      </c>
      <c r="Q114" s="66">
        <f>POWER(P114,2)</f>
        <v>0</v>
      </c>
    </row>
    <row r="115" spans="4:17" x14ac:dyDescent="0.25">
      <c r="D115">
        <v>100</v>
      </c>
      <c r="E115">
        <v>20.6</v>
      </c>
      <c r="F115" s="1">
        <v>0.80696759259259254</v>
      </c>
      <c r="G115" s="8" t="str">
        <f>IF(Qn-E115-Ta&gt;2*ENT,"Fara E","Admis")</f>
        <v>Admis</v>
      </c>
      <c r="Q115" s="66">
        <f>POWER(P115,2)</f>
        <v>0</v>
      </c>
    </row>
    <row r="116" spans="4:17" x14ac:dyDescent="0.25">
      <c r="D116">
        <v>101</v>
      </c>
      <c r="E116">
        <v>10.48</v>
      </c>
      <c r="F116" s="1">
        <v>0.80684027777777778</v>
      </c>
      <c r="G116" s="8" t="str">
        <f>IF(Qn-E116-Ta&gt;2*ENT,"Fara E","Admis")</f>
        <v>Fara E</v>
      </c>
      <c r="Q116" s="66">
        <f>POWER(P116,2)</f>
        <v>0</v>
      </c>
    </row>
    <row r="117" spans="4:17" x14ac:dyDescent="0.25">
      <c r="D117">
        <v>102</v>
      </c>
      <c r="E117">
        <v>20.48</v>
      </c>
      <c r="F117" s="1">
        <v>0.80686342592592597</v>
      </c>
      <c r="G117" s="8" t="str">
        <f>IF(Qn-E117-Ta&gt;2*ENT,"Fara E","Admis")</f>
        <v>Admis</v>
      </c>
      <c r="Q117" s="66">
        <f>POWER(P117,2)</f>
        <v>0</v>
      </c>
    </row>
    <row r="118" spans="4:17" x14ac:dyDescent="0.25">
      <c r="D118">
        <v>103</v>
      </c>
      <c r="E118">
        <v>20.6</v>
      </c>
      <c r="F118" s="1">
        <v>0.8068749999999999</v>
      </c>
      <c r="G118" s="8" t="str">
        <f>IF(Qn-E118-Ta&gt;2*ENT,"Fara E","Admis")</f>
        <v>Admis</v>
      </c>
      <c r="Q118" s="66">
        <f>POWER(P118,2)</f>
        <v>0</v>
      </c>
    </row>
    <row r="119" spans="4:17" x14ac:dyDescent="0.25">
      <c r="D119">
        <v>104</v>
      </c>
      <c r="E119">
        <v>20.6</v>
      </c>
      <c r="F119" s="1">
        <v>0.80688657407407405</v>
      </c>
      <c r="G119" s="8" t="str">
        <f>IF(Qn-E119-Ta&gt;2*ENT,"Fara E","Admis")</f>
        <v>Admis</v>
      </c>
      <c r="Q119" s="66">
        <f>POWER(P119,2)</f>
        <v>0</v>
      </c>
    </row>
    <row r="120" spans="4:17" x14ac:dyDescent="0.25">
      <c r="D120">
        <v>105</v>
      </c>
      <c r="E120">
        <v>20.6</v>
      </c>
      <c r="F120" s="1">
        <v>0.80696759259259254</v>
      </c>
      <c r="G120" s="8" t="str">
        <f>IF(Qn-E120-Ta&gt;2*ENT,"Fara E","Admis")</f>
        <v>Admis</v>
      </c>
      <c r="Q120" s="66">
        <f>POWER(P120,2)</f>
        <v>0</v>
      </c>
    </row>
    <row r="121" spans="4:17" x14ac:dyDescent="0.25">
      <c r="D121">
        <v>106</v>
      </c>
      <c r="E121">
        <v>10.48</v>
      </c>
      <c r="F121" s="1">
        <v>0.80684027777777778</v>
      </c>
      <c r="G121" s="8" t="str">
        <f>IF(Qn-E121-Ta&gt;2*ENT,"Fara E","Admis")</f>
        <v>Fara E</v>
      </c>
      <c r="Q121" s="66">
        <f>POWER(P121,2)</f>
        <v>0</v>
      </c>
    </row>
    <row r="122" spans="4:17" x14ac:dyDescent="0.25">
      <c r="D122">
        <v>107</v>
      </c>
      <c r="E122">
        <v>20.48</v>
      </c>
      <c r="F122" s="1">
        <v>0.80686342592592597</v>
      </c>
      <c r="G122" s="8" t="str">
        <f>IF(Qn-E122-Ta&gt;2*ENT,"Fara E","Admis")</f>
        <v>Admis</v>
      </c>
      <c r="Q122" s="66">
        <f>POWER(P122,2)</f>
        <v>0</v>
      </c>
    </row>
    <row r="123" spans="4:17" x14ac:dyDescent="0.25">
      <c r="D123">
        <v>108</v>
      </c>
      <c r="E123">
        <v>20.6</v>
      </c>
      <c r="F123" s="1">
        <v>0.8068749999999999</v>
      </c>
      <c r="G123" s="8" t="str">
        <f>IF(Qn-E123-Ta&gt;2*ENT,"Fara E","Admis")</f>
        <v>Admis</v>
      </c>
      <c r="Q123" s="66">
        <f>POWER(P123,2)</f>
        <v>0</v>
      </c>
    </row>
    <row r="124" spans="4:17" x14ac:dyDescent="0.25">
      <c r="D124">
        <v>109</v>
      </c>
      <c r="E124">
        <v>20.6</v>
      </c>
      <c r="F124" s="1">
        <v>0.80688657407407405</v>
      </c>
      <c r="G124" s="8" t="str">
        <f>IF(Qn-E124-Ta&gt;2*ENT,"Fara E","Admis")</f>
        <v>Admis</v>
      </c>
      <c r="Q124" s="66">
        <f>POWER(P124,2)</f>
        <v>0</v>
      </c>
    </row>
    <row r="125" spans="4:17" x14ac:dyDescent="0.25">
      <c r="D125">
        <v>110</v>
      </c>
      <c r="E125">
        <v>20.6</v>
      </c>
      <c r="F125" s="1">
        <v>0.80696759259259254</v>
      </c>
      <c r="G125" s="8" t="str">
        <f>IF(Qn-E125-Ta&gt;2*ENT,"Fara E","Admis")</f>
        <v>Admis</v>
      </c>
      <c r="Q125" s="66">
        <f>POWER(P125,2)</f>
        <v>0</v>
      </c>
    </row>
    <row r="126" spans="4:17" x14ac:dyDescent="0.25">
      <c r="D126">
        <v>111</v>
      </c>
      <c r="E126">
        <v>20.48</v>
      </c>
      <c r="F126" s="1">
        <v>0.80684027777777778</v>
      </c>
      <c r="G126" s="8" t="str">
        <f>IF(Qn-E126-Ta&gt;2*ENT,"Fara E","Admis")</f>
        <v>Admis</v>
      </c>
      <c r="Q126" s="66">
        <f>POWER(P126,2)</f>
        <v>0</v>
      </c>
    </row>
    <row r="127" spans="4:17" x14ac:dyDescent="0.25">
      <c r="D127">
        <v>112</v>
      </c>
      <c r="E127">
        <v>20.48</v>
      </c>
      <c r="F127" s="1">
        <v>0.80686342592592597</v>
      </c>
      <c r="G127" s="8" t="str">
        <f>IF(Qn-E127-Ta&gt;2*ENT,"Fara E","Admis")</f>
        <v>Admis</v>
      </c>
      <c r="Q127" s="66">
        <f>POWER(P127,2)</f>
        <v>0</v>
      </c>
    </row>
    <row r="128" spans="4:17" x14ac:dyDescent="0.25">
      <c r="D128">
        <v>113</v>
      </c>
      <c r="E128">
        <v>20.6</v>
      </c>
      <c r="F128" s="1">
        <v>0.8068749999999999</v>
      </c>
      <c r="G128" s="8" t="str">
        <f>IF(Qn-E128-Ta&gt;2*ENT,"Fara E","Admis")</f>
        <v>Admis</v>
      </c>
      <c r="Q128" s="66">
        <f>POWER(P128,2)</f>
        <v>0</v>
      </c>
    </row>
    <row r="129" spans="4:17" x14ac:dyDescent="0.25">
      <c r="D129">
        <v>114</v>
      </c>
      <c r="E129">
        <v>20.6</v>
      </c>
      <c r="F129" s="1">
        <v>0.80688657407407405</v>
      </c>
      <c r="G129" s="8" t="str">
        <f>IF(Qn-E129-Ta&gt;2*ENT,"Fara E","Admis")</f>
        <v>Admis</v>
      </c>
      <c r="Q129" s="66">
        <f>POWER(P129,2)</f>
        <v>0</v>
      </c>
    </row>
    <row r="130" spans="4:17" x14ac:dyDescent="0.25">
      <c r="D130">
        <v>115</v>
      </c>
      <c r="E130">
        <v>20.6</v>
      </c>
      <c r="F130" s="1">
        <v>0.80696759259259254</v>
      </c>
      <c r="G130" s="8" t="str">
        <f>IF(Qn-E130-Ta&gt;2*ENT,"Fara E","Admis")</f>
        <v>Admis</v>
      </c>
      <c r="Q130" s="66">
        <f>POWER(P130,2)</f>
        <v>0</v>
      </c>
    </row>
    <row r="131" spans="4:17" x14ac:dyDescent="0.25">
      <c r="D131">
        <v>116</v>
      </c>
      <c r="E131">
        <v>20.48</v>
      </c>
      <c r="F131" s="1">
        <v>0.80684027777777778</v>
      </c>
      <c r="G131" s="8" t="str">
        <f>IF(Qn-E131-Ta&gt;2*ENT,"Fara E","Admis")</f>
        <v>Admis</v>
      </c>
      <c r="Q131" s="66">
        <f>POWER(P131,2)</f>
        <v>0</v>
      </c>
    </row>
    <row r="132" spans="4:17" x14ac:dyDescent="0.25">
      <c r="D132">
        <v>117</v>
      </c>
      <c r="E132">
        <v>20.48</v>
      </c>
      <c r="F132" s="1">
        <v>0.80686342592592597</v>
      </c>
      <c r="G132" s="8" t="str">
        <f>IF(Qn-E132-Ta&gt;2*ENT,"Fara E","Admis")</f>
        <v>Admis</v>
      </c>
      <c r="Q132" s="66">
        <f>POWER(P132,2)</f>
        <v>0</v>
      </c>
    </row>
    <row r="133" spans="4:17" x14ac:dyDescent="0.25">
      <c r="D133">
        <v>118</v>
      </c>
      <c r="E133">
        <v>20.6</v>
      </c>
      <c r="F133" s="1">
        <v>0.8068749999999999</v>
      </c>
      <c r="G133" s="8" t="str">
        <f>IF(Qn-E133-Ta&gt;2*ENT,"Fara E","Admis")</f>
        <v>Admis</v>
      </c>
      <c r="Q133" s="66">
        <f>POWER(P133,2)</f>
        <v>0</v>
      </c>
    </row>
    <row r="134" spans="4:17" x14ac:dyDescent="0.25">
      <c r="D134">
        <v>119</v>
      </c>
      <c r="E134">
        <v>20.6</v>
      </c>
      <c r="F134" s="1">
        <v>0.80688657407407405</v>
      </c>
      <c r="G134" s="8" t="str">
        <f>IF(Qn-E134-Ta&gt;2*ENT,"Fara E","Admis")</f>
        <v>Admis</v>
      </c>
      <c r="Q134" s="66">
        <f>POWER(P134,2)</f>
        <v>0</v>
      </c>
    </row>
    <row r="135" spans="4:17" x14ac:dyDescent="0.25">
      <c r="D135">
        <v>120</v>
      </c>
      <c r="E135">
        <v>20.6</v>
      </c>
      <c r="F135" s="1">
        <v>0.80696759259259254</v>
      </c>
      <c r="G135" s="8" t="str">
        <f>IF(Qn-E135-Ta&gt;2*ENT,"Fara E","Admis")</f>
        <v>Admis</v>
      </c>
      <c r="Q135" s="66">
        <f>POWER(P135,2)</f>
        <v>0</v>
      </c>
    </row>
    <row r="136" spans="4:17" x14ac:dyDescent="0.25">
      <c r="D136">
        <v>121</v>
      </c>
      <c r="E136">
        <v>20.48</v>
      </c>
      <c r="F136" s="1">
        <v>0.80684027777777778</v>
      </c>
      <c r="G136" s="8" t="str">
        <f>IF(Qn-E136-Ta&gt;2*ENT,"Fara E","Admis")</f>
        <v>Admis</v>
      </c>
      <c r="Q136" s="66">
        <f>POWER(P136,2)</f>
        <v>0</v>
      </c>
    </row>
    <row r="137" spans="4:17" x14ac:dyDescent="0.25">
      <c r="D137">
        <v>122</v>
      </c>
      <c r="E137">
        <v>20.48</v>
      </c>
      <c r="F137" s="1">
        <v>0.80686342592592597</v>
      </c>
      <c r="G137" s="8" t="str">
        <f>IF(Qn-E137-Ta&gt;2*ENT,"Fara E","Admis")</f>
        <v>Admis</v>
      </c>
      <c r="Q137" s="66">
        <f>POWER(P137,2)</f>
        <v>0</v>
      </c>
    </row>
    <row r="138" spans="4:17" x14ac:dyDescent="0.25">
      <c r="D138">
        <v>123</v>
      </c>
      <c r="E138">
        <v>20.6</v>
      </c>
      <c r="F138" s="1">
        <v>0.8068749999999999</v>
      </c>
      <c r="G138" s="8" t="str">
        <f>IF(Qn-E138-Ta&gt;2*ENT,"Fara E","Admis")</f>
        <v>Admis</v>
      </c>
      <c r="Q138" s="66">
        <f>POWER(P138,2)</f>
        <v>0</v>
      </c>
    </row>
    <row r="139" spans="4:17" x14ac:dyDescent="0.25">
      <c r="D139">
        <v>124</v>
      </c>
      <c r="E139">
        <v>20.6</v>
      </c>
      <c r="F139" s="1">
        <v>0.80688657407407405</v>
      </c>
      <c r="G139" s="8" t="str">
        <f>IF(Qn-E139-Ta&gt;2*ENT,"Fara E","Admis")</f>
        <v>Admis</v>
      </c>
      <c r="Q139" s="66">
        <f>POWER(P139,2)</f>
        <v>0</v>
      </c>
    </row>
    <row r="140" spans="4:17" x14ac:dyDescent="0.25">
      <c r="D140">
        <v>125</v>
      </c>
      <c r="E140">
        <v>20.6</v>
      </c>
      <c r="F140" s="1">
        <v>0.80696759259259254</v>
      </c>
      <c r="G140" s="8" t="str">
        <f>IF(Qn-E140-Ta&gt;2*ENT,"Fara E","Admis")</f>
        <v>Admis</v>
      </c>
      <c r="Q140" s="66">
        <f>POWER(P140,2)</f>
        <v>0</v>
      </c>
    </row>
    <row r="141" spans="4:17" x14ac:dyDescent="0.25">
      <c r="D141">
        <v>126</v>
      </c>
      <c r="E141">
        <v>20.48</v>
      </c>
      <c r="F141" s="1">
        <v>0.80684027777777778</v>
      </c>
      <c r="G141" s="8" t="str">
        <f>IF(Qn-E141-Ta&gt;2*ENT,"Fara E","Admis")</f>
        <v>Admis</v>
      </c>
      <c r="Q141" s="66">
        <f>POWER(P141,2)</f>
        <v>0</v>
      </c>
    </row>
    <row r="142" spans="4:17" x14ac:dyDescent="0.25">
      <c r="D142">
        <v>127</v>
      </c>
      <c r="E142">
        <v>20.48</v>
      </c>
      <c r="F142" s="1">
        <v>0.80686342592592597</v>
      </c>
      <c r="G142" s="8" t="str">
        <f>IF(Qn-E142-Ta&gt;2*ENT,"Fara E","Admis")</f>
        <v>Admis</v>
      </c>
      <c r="Q142" s="66">
        <f>POWER(P142,2)</f>
        <v>0</v>
      </c>
    </row>
    <row r="143" spans="4:17" x14ac:dyDescent="0.25">
      <c r="D143">
        <v>128</v>
      </c>
      <c r="E143">
        <v>20.6</v>
      </c>
      <c r="F143" s="1">
        <v>0.8068749999999999</v>
      </c>
      <c r="G143" s="8" t="str">
        <f>IF(Qn-E143-Ta&gt;2*ENT,"Fara E","Admis")</f>
        <v>Admis</v>
      </c>
      <c r="Q143" s="66">
        <f>POWER(P143,2)</f>
        <v>0</v>
      </c>
    </row>
    <row r="144" spans="4:17" x14ac:dyDescent="0.25">
      <c r="D144">
        <v>129</v>
      </c>
      <c r="E144">
        <v>20.6</v>
      </c>
      <c r="F144" s="1">
        <v>0.80688657407407405</v>
      </c>
      <c r="G144" s="8" t="str">
        <f>IF(Qn-E144-Ta&gt;2*ENT,"Fara E","Admis")</f>
        <v>Admis</v>
      </c>
      <c r="Q144" s="66">
        <f>POWER(P144,2)</f>
        <v>0</v>
      </c>
    </row>
    <row r="145" spans="4:17" x14ac:dyDescent="0.25">
      <c r="D145">
        <v>130</v>
      </c>
      <c r="E145">
        <v>20.6</v>
      </c>
      <c r="F145" s="1">
        <v>0.80696759259259254</v>
      </c>
      <c r="G145" s="8" t="str">
        <f>IF(Qn-E145-Ta&gt;2*ENT,"Fara E","Admis")</f>
        <v>Admis</v>
      </c>
      <c r="Q145" s="66">
        <f>POWER(P145,2)</f>
        <v>0</v>
      </c>
    </row>
    <row r="146" spans="4:17" x14ac:dyDescent="0.25">
      <c r="D146">
        <v>131</v>
      </c>
      <c r="E146">
        <v>20.48</v>
      </c>
      <c r="F146" s="1">
        <v>0.80684027777777778</v>
      </c>
      <c r="G146" s="8" t="str">
        <f>IF(Qn-E146-Ta&gt;2*ENT,"Fara E","Admis")</f>
        <v>Admis</v>
      </c>
      <c r="Q146" s="66">
        <f>POWER(P146,2)</f>
        <v>0</v>
      </c>
    </row>
    <row r="147" spans="4:17" x14ac:dyDescent="0.25">
      <c r="D147">
        <v>132</v>
      </c>
      <c r="E147">
        <v>20.48</v>
      </c>
      <c r="F147" s="1">
        <v>0.80686342592592597</v>
      </c>
      <c r="G147" s="8" t="str">
        <f>IF(Qn-E147-Ta&gt;2*ENT,"Fara E","Admis")</f>
        <v>Admis</v>
      </c>
      <c r="Q147" s="66">
        <f>POWER(P147,2)</f>
        <v>0</v>
      </c>
    </row>
    <row r="148" spans="4:17" x14ac:dyDescent="0.25">
      <c r="D148">
        <v>133</v>
      </c>
      <c r="E148">
        <v>20.6</v>
      </c>
      <c r="F148" s="1">
        <v>0.8068749999999999</v>
      </c>
      <c r="G148" s="8" t="str">
        <f>IF(Qn-E148-Ta&gt;2*ENT,"Fara E","Admis")</f>
        <v>Admis</v>
      </c>
      <c r="Q148" s="66">
        <f>POWER(P148,2)</f>
        <v>0</v>
      </c>
    </row>
    <row r="149" spans="4:17" x14ac:dyDescent="0.25">
      <c r="D149">
        <v>134</v>
      </c>
      <c r="E149">
        <v>20.6</v>
      </c>
      <c r="F149" s="1">
        <v>0.80688657407407405</v>
      </c>
      <c r="G149" s="8" t="str">
        <f>IF(Qn-E149-Ta&gt;2*ENT,"Fara E","Admis")</f>
        <v>Admis</v>
      </c>
      <c r="Q149" s="66">
        <f>POWER(P149,2)</f>
        <v>0</v>
      </c>
    </row>
    <row r="150" spans="4:17" x14ac:dyDescent="0.25">
      <c r="D150">
        <v>135</v>
      </c>
      <c r="E150">
        <v>20.6</v>
      </c>
      <c r="F150" s="1">
        <v>0.80696759259259254</v>
      </c>
      <c r="G150" s="8" t="str">
        <f>IF(Qn-E150-Ta&gt;2*ENT,"Fara E","Admis")</f>
        <v>Admis</v>
      </c>
      <c r="Q150" s="66">
        <f>POWER(P150,2)</f>
        <v>0</v>
      </c>
    </row>
    <row r="151" spans="4:17" x14ac:dyDescent="0.25">
      <c r="D151">
        <v>136</v>
      </c>
      <c r="E151">
        <v>20.48</v>
      </c>
      <c r="F151" s="1">
        <v>0.80684027777777778</v>
      </c>
      <c r="G151" s="8" t="str">
        <f>IF(Qn-E151-Ta&gt;2*ENT,"Fara E","Admis")</f>
        <v>Admis</v>
      </c>
      <c r="Q151" s="66">
        <f>POWER(P151,2)</f>
        <v>0</v>
      </c>
    </row>
    <row r="152" spans="4:17" x14ac:dyDescent="0.25">
      <c r="D152">
        <v>137</v>
      </c>
      <c r="E152">
        <v>20.48</v>
      </c>
      <c r="F152" s="1">
        <v>0.80686342592592597</v>
      </c>
      <c r="G152" s="8" t="str">
        <f>IF(Qn-E152-Ta&gt;2*ENT,"Fara E","Admis")</f>
        <v>Admis</v>
      </c>
      <c r="Q152" s="66">
        <f>POWER(P152,2)</f>
        <v>0</v>
      </c>
    </row>
    <row r="153" spans="4:17" x14ac:dyDescent="0.25">
      <c r="D153">
        <v>138</v>
      </c>
      <c r="E153">
        <v>20.6</v>
      </c>
      <c r="F153" s="1">
        <v>0.8068749999999999</v>
      </c>
      <c r="G153" s="8" t="str">
        <f>IF(Qn-E153-Ta&gt;2*ENT,"Fara E","Admis")</f>
        <v>Admis</v>
      </c>
      <c r="Q153" s="66">
        <f>POWER(P153,2)</f>
        <v>0</v>
      </c>
    </row>
    <row r="154" spans="4:17" x14ac:dyDescent="0.25">
      <c r="D154">
        <v>139</v>
      </c>
      <c r="E154">
        <v>20.6</v>
      </c>
      <c r="F154" s="1">
        <v>0.80688657407407405</v>
      </c>
      <c r="G154" s="8" t="str">
        <f>IF(Qn-E154-Ta&gt;2*ENT,"Fara E","Admis")</f>
        <v>Admis</v>
      </c>
      <c r="Q154" s="66">
        <f>POWER(P154,2)</f>
        <v>0</v>
      </c>
    </row>
    <row r="155" spans="4:17" x14ac:dyDescent="0.25">
      <c r="D155">
        <v>140</v>
      </c>
      <c r="E155">
        <v>20.6</v>
      </c>
      <c r="F155" s="1">
        <v>0.80696759259259254</v>
      </c>
      <c r="G155" s="8" t="str">
        <f>IF(Qn-E155-Ta&gt;2*ENT,"Fara E","Admis")</f>
        <v>Admis</v>
      </c>
      <c r="Q155" s="66">
        <f>POWER(P155,2)</f>
        <v>0</v>
      </c>
    </row>
    <row r="156" spans="4:17" x14ac:dyDescent="0.25">
      <c r="D156">
        <v>141</v>
      </c>
      <c r="E156">
        <v>20.48</v>
      </c>
      <c r="F156" s="1">
        <v>0.80684027777777778</v>
      </c>
      <c r="G156" s="8" t="str">
        <f>IF(Qn-E156-Ta&gt;2*ENT,"Fara E","Admis")</f>
        <v>Admis</v>
      </c>
      <c r="Q156" s="66">
        <f>POWER(P156,2)</f>
        <v>0</v>
      </c>
    </row>
    <row r="157" spans="4:17" x14ac:dyDescent="0.25">
      <c r="D157">
        <v>142</v>
      </c>
      <c r="E157">
        <v>20.48</v>
      </c>
      <c r="F157" s="1">
        <v>0.80686342592592597</v>
      </c>
      <c r="G157" s="8" t="str">
        <f>IF(Qn-E157-Ta&gt;2*ENT,"Fara E","Admis")</f>
        <v>Admis</v>
      </c>
      <c r="Q157" s="66">
        <f>POWER(P157,2)</f>
        <v>0</v>
      </c>
    </row>
    <row r="158" spans="4:17" x14ac:dyDescent="0.25">
      <c r="D158">
        <v>143</v>
      </c>
      <c r="E158">
        <v>20.6</v>
      </c>
      <c r="F158" s="1">
        <v>0.8068749999999999</v>
      </c>
      <c r="G158" s="8" t="str">
        <f>IF(Qn-E158-Ta&gt;2*ENT,"Fara E","Admis")</f>
        <v>Admis</v>
      </c>
      <c r="Q158" s="66">
        <f>POWER(P158,2)</f>
        <v>0</v>
      </c>
    </row>
    <row r="159" spans="4:17" x14ac:dyDescent="0.25">
      <c r="D159">
        <v>144</v>
      </c>
      <c r="E159">
        <v>20.6</v>
      </c>
      <c r="F159" s="1">
        <v>0.80688657407407405</v>
      </c>
      <c r="G159" s="8" t="str">
        <f>IF(Qn-E159-Ta&gt;2*ENT,"Fara E","Admis")</f>
        <v>Admis</v>
      </c>
      <c r="Q159" s="66">
        <f>POWER(P159,2)</f>
        <v>0</v>
      </c>
    </row>
    <row r="160" spans="4:17" x14ac:dyDescent="0.25">
      <c r="D160">
        <v>145</v>
      </c>
      <c r="E160">
        <v>20.6</v>
      </c>
      <c r="F160" s="1">
        <v>0.80696759259259254</v>
      </c>
      <c r="G160" s="8" t="str">
        <f>IF(Qn-E160-Ta&gt;2*ENT,"Fara E","Admis")</f>
        <v>Admis</v>
      </c>
      <c r="Q160" s="66">
        <f>POWER(P160,2)</f>
        <v>0</v>
      </c>
    </row>
    <row r="161" spans="4:17" x14ac:dyDescent="0.25">
      <c r="D161">
        <v>146</v>
      </c>
      <c r="E161">
        <v>20.48</v>
      </c>
      <c r="F161" s="1">
        <v>0.80684027777777778</v>
      </c>
      <c r="G161" s="8" t="str">
        <f>IF(Qn-E161-Ta&gt;2*ENT,"Fara E","Admis")</f>
        <v>Admis</v>
      </c>
      <c r="Q161" s="66">
        <f>POWER(P161,2)</f>
        <v>0</v>
      </c>
    </row>
    <row r="162" spans="4:17" x14ac:dyDescent="0.25">
      <c r="D162">
        <v>147</v>
      </c>
      <c r="E162">
        <v>20.48</v>
      </c>
      <c r="F162" s="1">
        <v>0.80686342592592597</v>
      </c>
      <c r="G162" s="8" t="str">
        <f>IF(Qn-E162-Ta&gt;2*ENT,"Fara E","Admis")</f>
        <v>Admis</v>
      </c>
      <c r="Q162" s="66">
        <f>POWER(P162,2)</f>
        <v>0</v>
      </c>
    </row>
    <row r="163" spans="4:17" x14ac:dyDescent="0.25">
      <c r="D163">
        <v>148</v>
      </c>
      <c r="E163">
        <v>20.6</v>
      </c>
      <c r="F163" s="1">
        <v>0.8068749999999999</v>
      </c>
      <c r="G163" s="8" t="str">
        <f>IF(Qn-E163-Ta&gt;2*ENT,"Fara E","Admis")</f>
        <v>Admis</v>
      </c>
      <c r="Q163" s="66">
        <f>POWER(P163,2)</f>
        <v>0</v>
      </c>
    </row>
    <row r="164" spans="4:17" x14ac:dyDescent="0.25">
      <c r="D164">
        <v>149</v>
      </c>
      <c r="E164">
        <v>20.6</v>
      </c>
      <c r="F164" s="1">
        <v>0.80688657407407405</v>
      </c>
      <c r="G164" s="8" t="str">
        <f>IF(Qn-E164-Ta&gt;2*ENT,"Fara E","Admis")</f>
        <v>Admis</v>
      </c>
      <c r="Q164" s="66">
        <f>POWER(P164,2)</f>
        <v>0</v>
      </c>
    </row>
    <row r="165" spans="4:17" x14ac:dyDescent="0.25">
      <c r="D165">
        <v>150</v>
      </c>
      <c r="E165">
        <v>20.6</v>
      </c>
      <c r="F165" s="1">
        <v>0.80696759259259254</v>
      </c>
      <c r="G165" s="8" t="str">
        <f>IF(Qn-E165-Ta&gt;2*ENT,"Fara E","Admis")</f>
        <v>Admis</v>
      </c>
      <c r="Q165" s="66">
        <f>POWER(P165,2)</f>
        <v>0</v>
      </c>
    </row>
    <row r="166" spans="4:17" x14ac:dyDescent="0.25">
      <c r="D166">
        <v>151</v>
      </c>
      <c r="E166">
        <v>20.48</v>
      </c>
      <c r="F166" s="1">
        <v>0.80684027777777778</v>
      </c>
      <c r="G166" s="8" t="str">
        <f>IF(Qn-E166-Ta&gt;2*ENT,"Fara E","Admis")</f>
        <v>Admis</v>
      </c>
      <c r="Q166" s="66">
        <f>POWER(P166,2)</f>
        <v>0</v>
      </c>
    </row>
    <row r="167" spans="4:17" x14ac:dyDescent="0.25">
      <c r="D167">
        <v>152</v>
      </c>
      <c r="E167">
        <v>20.48</v>
      </c>
      <c r="F167" s="1">
        <v>0.80686342592592597</v>
      </c>
      <c r="G167" s="8" t="str">
        <f>IF(Qn-E167-Ta&gt;2*ENT,"Fara E","Admis")</f>
        <v>Admis</v>
      </c>
      <c r="Q167" s="66">
        <f>POWER(P167,2)</f>
        <v>0</v>
      </c>
    </row>
    <row r="168" spans="4:17" x14ac:dyDescent="0.25">
      <c r="D168">
        <v>153</v>
      </c>
      <c r="E168">
        <v>20.6</v>
      </c>
      <c r="F168" s="1">
        <v>0.8068749999999999</v>
      </c>
      <c r="G168" s="8" t="str">
        <f>IF(Qn-E168-Ta&gt;2*ENT,"Fara E","Admis")</f>
        <v>Admis</v>
      </c>
      <c r="Q168" s="66">
        <f>POWER(P168,2)</f>
        <v>0</v>
      </c>
    </row>
    <row r="169" spans="4:17" x14ac:dyDescent="0.25">
      <c r="D169">
        <v>154</v>
      </c>
      <c r="E169">
        <v>20.6</v>
      </c>
      <c r="F169" s="1">
        <v>0.80688657407407405</v>
      </c>
      <c r="G169" s="8" t="str">
        <f>IF(Qn-E169-Ta&gt;2*ENT,"Fara E","Admis")</f>
        <v>Admis</v>
      </c>
      <c r="Q169" s="66">
        <f>POWER(P169,2)</f>
        <v>0</v>
      </c>
    </row>
    <row r="170" spans="4:17" x14ac:dyDescent="0.25">
      <c r="D170">
        <v>155</v>
      </c>
      <c r="E170">
        <v>20.6</v>
      </c>
      <c r="F170" s="1">
        <v>0.80696759259259254</v>
      </c>
      <c r="G170" s="8" t="str">
        <f>IF(Qn-E170-Ta&gt;2*ENT,"Fara E","Admis")</f>
        <v>Admis</v>
      </c>
      <c r="Q170" s="66">
        <f>POWER(P170,2)</f>
        <v>0</v>
      </c>
    </row>
    <row r="171" spans="4:17" x14ac:dyDescent="0.25">
      <c r="D171">
        <v>156</v>
      </c>
      <c r="E171">
        <v>20.48</v>
      </c>
      <c r="F171" s="1">
        <v>0.80684027777777778</v>
      </c>
      <c r="G171" s="8" t="str">
        <f>IF(Qn-E171-Ta&gt;2*ENT,"Fara E","Admis")</f>
        <v>Admis</v>
      </c>
      <c r="Q171" s="66">
        <f>POWER(P171,2)</f>
        <v>0</v>
      </c>
    </row>
    <row r="172" spans="4:17" x14ac:dyDescent="0.25">
      <c r="D172">
        <v>157</v>
      </c>
      <c r="E172">
        <v>20.48</v>
      </c>
      <c r="F172" s="1">
        <v>0.80686342592592597</v>
      </c>
      <c r="G172" s="8" t="str">
        <f>IF(Qn-E172-Ta&gt;2*ENT,"Fara E","Admis")</f>
        <v>Admis</v>
      </c>
      <c r="Q172" s="66">
        <f>POWER(P172,2)</f>
        <v>0</v>
      </c>
    </row>
    <row r="173" spans="4:17" x14ac:dyDescent="0.25">
      <c r="D173">
        <v>158</v>
      </c>
      <c r="E173">
        <v>20.6</v>
      </c>
      <c r="F173" s="1">
        <v>0.8068749999999999</v>
      </c>
      <c r="G173" s="8" t="str">
        <f>IF(Qn-E173-Ta&gt;2*ENT,"Fara E","Admis")</f>
        <v>Admis</v>
      </c>
      <c r="Q173" s="66">
        <f>POWER(P173,2)</f>
        <v>0</v>
      </c>
    </row>
    <row r="174" spans="4:17" x14ac:dyDescent="0.25">
      <c r="D174">
        <v>159</v>
      </c>
      <c r="E174">
        <v>20.6</v>
      </c>
      <c r="F174" s="1">
        <v>0.80688657407407405</v>
      </c>
      <c r="G174" s="8" t="str">
        <f>IF(Qn-E174-Ta&gt;2*ENT,"Fara E","Admis")</f>
        <v>Admis</v>
      </c>
      <c r="Q174" s="66">
        <f>POWER(P174,2)</f>
        <v>0</v>
      </c>
    </row>
    <row r="175" spans="4:17" x14ac:dyDescent="0.25">
      <c r="D175">
        <v>160</v>
      </c>
      <c r="E175">
        <v>20.6</v>
      </c>
      <c r="F175" s="1">
        <v>0.80696759259259254</v>
      </c>
      <c r="G175" s="8" t="str">
        <f>IF(Qn-E175-Ta&gt;2*ENT,"Fara E","Admis")</f>
        <v>Admis</v>
      </c>
      <c r="Q175" s="66">
        <f>POWER(P175,2)</f>
        <v>0</v>
      </c>
    </row>
    <row r="176" spans="4:17" x14ac:dyDescent="0.25">
      <c r="D176">
        <v>161</v>
      </c>
      <c r="E176">
        <v>20.48</v>
      </c>
      <c r="F176" s="1">
        <v>0.80684027777777778</v>
      </c>
      <c r="G176" s="8" t="str">
        <f>IF(Qn-E176-Ta&gt;2*ENT,"Fara E","Admis")</f>
        <v>Admis</v>
      </c>
      <c r="Q176" s="66">
        <f>POWER(P176,2)</f>
        <v>0</v>
      </c>
    </row>
    <row r="177" spans="4:17" x14ac:dyDescent="0.25">
      <c r="D177">
        <v>162</v>
      </c>
      <c r="E177">
        <v>20.48</v>
      </c>
      <c r="F177" s="1">
        <v>0.80686342592592597</v>
      </c>
      <c r="G177" s="8" t="str">
        <f>IF(Qn-E177-Ta&gt;2*ENT,"Fara E","Admis")</f>
        <v>Admis</v>
      </c>
      <c r="Q177" s="66">
        <f>POWER(P177,2)</f>
        <v>0</v>
      </c>
    </row>
    <row r="178" spans="4:17" x14ac:dyDescent="0.25">
      <c r="D178">
        <v>163</v>
      </c>
      <c r="E178">
        <v>20.6</v>
      </c>
      <c r="F178" s="1">
        <v>0.8068749999999999</v>
      </c>
      <c r="G178" s="8" t="str">
        <f>IF(Qn-E178-Ta&gt;2*ENT,"Fara E","Admis")</f>
        <v>Admis</v>
      </c>
      <c r="Q178" s="66">
        <f>POWER(P178,2)</f>
        <v>0</v>
      </c>
    </row>
    <row r="179" spans="4:17" x14ac:dyDescent="0.25">
      <c r="D179">
        <v>164</v>
      </c>
      <c r="E179">
        <v>20.6</v>
      </c>
      <c r="F179" s="1">
        <v>0.80688657407407405</v>
      </c>
      <c r="G179" s="8" t="str">
        <f>IF(Qn-E179-Ta&gt;2*ENT,"Fara E","Admis")</f>
        <v>Admis</v>
      </c>
      <c r="Q179" s="66">
        <f>POWER(P179,2)</f>
        <v>0</v>
      </c>
    </row>
    <row r="180" spans="4:17" x14ac:dyDescent="0.25">
      <c r="D180">
        <v>165</v>
      </c>
      <c r="E180">
        <v>20.6</v>
      </c>
      <c r="F180" s="1">
        <v>0.80696759259259254</v>
      </c>
      <c r="G180" s="8" t="str">
        <f>IF(Qn-E180-Ta&gt;2*ENT,"Fara E","Admis")</f>
        <v>Admis</v>
      </c>
      <c r="Q180" s="66">
        <f>POWER(P180,2)</f>
        <v>0</v>
      </c>
    </row>
    <row r="181" spans="4:17" x14ac:dyDescent="0.25">
      <c r="D181">
        <v>166</v>
      </c>
      <c r="E181">
        <v>20.48</v>
      </c>
      <c r="F181" s="1">
        <v>0.80684027777777778</v>
      </c>
      <c r="G181" s="8" t="str">
        <f>IF(Qn-E181-Ta&gt;2*ENT,"Fara E","Admis")</f>
        <v>Admis</v>
      </c>
      <c r="Q181" s="66">
        <f>POWER(P181,2)</f>
        <v>0</v>
      </c>
    </row>
    <row r="182" spans="4:17" x14ac:dyDescent="0.25">
      <c r="D182">
        <v>167</v>
      </c>
      <c r="E182">
        <v>20.48</v>
      </c>
      <c r="F182" s="1">
        <v>0.80686342592592597</v>
      </c>
      <c r="G182" s="8" t="str">
        <f>IF(Qn-E182-Ta&gt;2*ENT,"Fara E","Admis")</f>
        <v>Admis</v>
      </c>
      <c r="Q182" s="66">
        <f>POWER(P182,2)</f>
        <v>0</v>
      </c>
    </row>
    <row r="183" spans="4:17" x14ac:dyDescent="0.25">
      <c r="D183">
        <v>168</v>
      </c>
      <c r="E183">
        <v>20.6</v>
      </c>
      <c r="F183" s="1">
        <v>0.8068749999999999</v>
      </c>
      <c r="G183" s="8" t="str">
        <f>IF(Qn-E183-Ta&gt;2*ENT,"Fara E","Admis")</f>
        <v>Admis</v>
      </c>
      <c r="Q183" s="66">
        <f>POWER(P183,2)</f>
        <v>0</v>
      </c>
    </row>
    <row r="184" spans="4:17" x14ac:dyDescent="0.25">
      <c r="D184">
        <v>169</v>
      </c>
      <c r="E184">
        <v>20.6</v>
      </c>
      <c r="F184" s="1">
        <v>0.80688657407407405</v>
      </c>
      <c r="G184" s="8" t="str">
        <f>IF(Qn-E184-Ta&gt;2*ENT,"Fara E","Admis")</f>
        <v>Admis</v>
      </c>
      <c r="Q184" s="66">
        <f>POWER(P184,2)</f>
        <v>0</v>
      </c>
    </row>
    <row r="185" spans="4:17" x14ac:dyDescent="0.25">
      <c r="D185">
        <v>170</v>
      </c>
      <c r="E185">
        <v>20.6</v>
      </c>
      <c r="F185" s="1">
        <v>0.80696759259259254</v>
      </c>
      <c r="G185" s="8" t="str">
        <f>IF(Qn-E185-Ta&gt;2*ENT,"Fara E","Admis")</f>
        <v>Admis</v>
      </c>
      <c r="Q185" s="66">
        <f>POWER(P185,2)</f>
        <v>0</v>
      </c>
    </row>
    <row r="186" spans="4:17" x14ac:dyDescent="0.25">
      <c r="D186">
        <v>171</v>
      </c>
      <c r="E186">
        <v>20.48</v>
      </c>
      <c r="F186" s="1">
        <v>0.80684027777777778</v>
      </c>
      <c r="G186" s="8" t="str">
        <f>IF(Qn-E186-Ta&gt;2*ENT,"Fara E","Admis")</f>
        <v>Admis</v>
      </c>
      <c r="Q186" s="66">
        <f>POWER(P186,2)</f>
        <v>0</v>
      </c>
    </row>
    <row r="187" spans="4:17" x14ac:dyDescent="0.25">
      <c r="D187">
        <v>172</v>
      </c>
      <c r="E187">
        <v>20.48</v>
      </c>
      <c r="F187" s="1">
        <v>0.80686342592592597</v>
      </c>
      <c r="G187" s="8" t="str">
        <f>IF(Qn-E187-Ta&gt;2*ENT,"Fara E","Admis")</f>
        <v>Admis</v>
      </c>
      <c r="Q187" s="66">
        <f>POWER(P187,2)</f>
        <v>0</v>
      </c>
    </row>
    <row r="188" spans="4:17" x14ac:dyDescent="0.25">
      <c r="D188">
        <v>173</v>
      </c>
      <c r="E188">
        <v>20.6</v>
      </c>
      <c r="F188" s="1">
        <v>0.8068749999999999</v>
      </c>
      <c r="G188" s="8" t="str">
        <f>IF(Qn-E188-Ta&gt;2*ENT,"Fara E","Admis")</f>
        <v>Admis</v>
      </c>
      <c r="Q188" s="66">
        <f>POWER(P188,2)</f>
        <v>0</v>
      </c>
    </row>
    <row r="189" spans="4:17" x14ac:dyDescent="0.25">
      <c r="D189">
        <v>174</v>
      </c>
      <c r="E189">
        <v>20.6</v>
      </c>
      <c r="F189" s="1">
        <v>0.80688657407407405</v>
      </c>
      <c r="G189" s="8" t="str">
        <f>IF(Qn-E189-Ta&gt;2*ENT,"Fara E","Admis")</f>
        <v>Admis</v>
      </c>
      <c r="Q189" s="66">
        <f>POWER(P189,2)</f>
        <v>0</v>
      </c>
    </row>
    <row r="190" spans="4:17" x14ac:dyDescent="0.25">
      <c r="D190">
        <v>175</v>
      </c>
      <c r="E190">
        <v>20.6</v>
      </c>
      <c r="F190" s="1">
        <v>0.80696759259259254</v>
      </c>
      <c r="G190" s="8" t="str">
        <f>IF(Qn-E190-Ta&gt;2*ENT,"Fara E","Admis")</f>
        <v>Admis</v>
      </c>
      <c r="Q190" s="66">
        <f>POWER(P190,2)</f>
        <v>0</v>
      </c>
    </row>
    <row r="191" spans="4:17" x14ac:dyDescent="0.25">
      <c r="D191">
        <v>176</v>
      </c>
      <c r="E191">
        <v>20.48</v>
      </c>
      <c r="F191" s="1">
        <v>0.80684027777777778</v>
      </c>
      <c r="G191" s="8" t="str">
        <f>IF(Qn-E191-Ta&gt;2*ENT,"Fara E","Admis")</f>
        <v>Admis</v>
      </c>
      <c r="Q191" s="66">
        <f>POWER(P191,2)</f>
        <v>0</v>
      </c>
    </row>
    <row r="192" spans="4:17" x14ac:dyDescent="0.25">
      <c r="D192">
        <v>177</v>
      </c>
      <c r="E192">
        <v>20.48</v>
      </c>
      <c r="F192" s="1">
        <v>0.80686342592592597</v>
      </c>
      <c r="G192" s="8" t="str">
        <f>IF(Qn-E192-Ta&gt;2*ENT,"Fara E","Admis")</f>
        <v>Admis</v>
      </c>
      <c r="Q192" s="66">
        <f>POWER(P192,2)</f>
        <v>0</v>
      </c>
    </row>
    <row r="193" spans="4:17" x14ac:dyDescent="0.25">
      <c r="D193">
        <v>178</v>
      </c>
      <c r="E193">
        <v>20.6</v>
      </c>
      <c r="F193" s="1">
        <v>0.8068749999999999</v>
      </c>
      <c r="G193" s="8" t="str">
        <f>IF(Qn-E193-Ta&gt;2*ENT,"Fara E","Admis")</f>
        <v>Admis</v>
      </c>
      <c r="Q193" s="66">
        <f>POWER(P193,2)</f>
        <v>0</v>
      </c>
    </row>
    <row r="194" spans="4:17" x14ac:dyDescent="0.25">
      <c r="D194">
        <v>179</v>
      </c>
      <c r="E194">
        <v>20.6</v>
      </c>
      <c r="F194" s="1">
        <v>0.80688657407407405</v>
      </c>
      <c r="G194" s="8" t="str">
        <f>IF(Qn-E194-Ta&gt;2*ENT,"Fara E","Admis")</f>
        <v>Admis</v>
      </c>
      <c r="Q194" s="66">
        <f>POWER(P194,2)</f>
        <v>0</v>
      </c>
    </row>
    <row r="195" spans="4:17" x14ac:dyDescent="0.25">
      <c r="D195">
        <v>180</v>
      </c>
      <c r="E195">
        <v>20.6</v>
      </c>
      <c r="F195" s="1">
        <v>0.80696759259259254</v>
      </c>
      <c r="G195" s="8" t="str">
        <f>IF(Qn-E195-Ta&gt;2*ENT,"Fara E","Admis")</f>
        <v>Admis</v>
      </c>
      <c r="Q195" s="66">
        <f>POWER(P195,2)</f>
        <v>0</v>
      </c>
    </row>
    <row r="196" spans="4:17" x14ac:dyDescent="0.25">
      <c r="D196">
        <v>181</v>
      </c>
      <c r="E196">
        <v>20.48</v>
      </c>
      <c r="F196" s="1">
        <v>0.80684027777777778</v>
      </c>
      <c r="G196" s="8" t="str">
        <f>IF(Qn-E196-Ta&gt;2*ENT,"Fara E","Admis")</f>
        <v>Admis</v>
      </c>
      <c r="Q196" s="66">
        <f>POWER(P196,2)</f>
        <v>0</v>
      </c>
    </row>
    <row r="197" spans="4:17" x14ac:dyDescent="0.25">
      <c r="D197">
        <v>182</v>
      </c>
      <c r="E197">
        <v>20.48</v>
      </c>
      <c r="F197" s="1">
        <v>0.80686342592592597</v>
      </c>
      <c r="G197" s="8" t="str">
        <f>IF(Qn-E197-Ta&gt;2*ENT,"Fara E","Admis")</f>
        <v>Admis</v>
      </c>
      <c r="Q197" s="66">
        <f>POWER(P197,2)</f>
        <v>0</v>
      </c>
    </row>
    <row r="198" spans="4:17" x14ac:dyDescent="0.25">
      <c r="D198">
        <v>183</v>
      </c>
      <c r="E198">
        <v>20.6</v>
      </c>
      <c r="F198" s="1">
        <v>0.8068749999999999</v>
      </c>
      <c r="G198" s="8" t="str">
        <f>IF(Qn-E198-Ta&gt;2*ENT,"Fara E","Admis")</f>
        <v>Admis</v>
      </c>
      <c r="Q198" s="66">
        <f>POWER(P198,2)</f>
        <v>0</v>
      </c>
    </row>
    <row r="199" spans="4:17" x14ac:dyDescent="0.25">
      <c r="D199">
        <v>184</v>
      </c>
      <c r="E199">
        <v>20.6</v>
      </c>
      <c r="F199" s="1">
        <v>0.80688657407407405</v>
      </c>
      <c r="G199" s="8" t="str">
        <f>IF(Qn-E199-Ta&gt;2*ENT,"Fara E","Admis")</f>
        <v>Admis</v>
      </c>
      <c r="Q199" s="66">
        <f>POWER(P199,2)</f>
        <v>0</v>
      </c>
    </row>
    <row r="200" spans="4:17" x14ac:dyDescent="0.25">
      <c r="D200">
        <v>185</v>
      </c>
      <c r="E200">
        <v>20.6</v>
      </c>
      <c r="F200" s="1">
        <v>0.80696759259259254</v>
      </c>
      <c r="G200" s="8" t="str">
        <f>IF(Qn-E200-Ta&gt;2*ENT,"Fara E","Admis")</f>
        <v>Admis</v>
      </c>
      <c r="Q200" s="66">
        <f>POWER(P200,2)</f>
        <v>0</v>
      </c>
    </row>
    <row r="201" spans="4:17" x14ac:dyDescent="0.25">
      <c r="D201">
        <v>186</v>
      </c>
      <c r="E201">
        <v>20.48</v>
      </c>
      <c r="F201" s="1">
        <v>0.80684027777777778</v>
      </c>
      <c r="G201" s="8" t="str">
        <f>IF(Qn-E201-Ta&gt;2*ENT,"Fara E","Admis")</f>
        <v>Admis</v>
      </c>
      <c r="Q201" s="66">
        <f>POWER(P201,2)</f>
        <v>0</v>
      </c>
    </row>
    <row r="202" spans="4:17" x14ac:dyDescent="0.25">
      <c r="D202">
        <v>187</v>
      </c>
      <c r="E202">
        <v>20.48</v>
      </c>
      <c r="F202" s="1">
        <v>0.80686342592592597</v>
      </c>
      <c r="G202" s="8" t="str">
        <f>IF(Qn-E202-Ta&gt;2*ENT,"Fara E","Admis")</f>
        <v>Admis</v>
      </c>
      <c r="Q202" s="66">
        <f>POWER(P202,2)</f>
        <v>0</v>
      </c>
    </row>
    <row r="203" spans="4:17" x14ac:dyDescent="0.25">
      <c r="D203">
        <v>188</v>
      </c>
      <c r="E203">
        <v>20.6</v>
      </c>
      <c r="F203" s="1">
        <v>0.8068749999999999</v>
      </c>
      <c r="G203" s="8" t="str">
        <f>IF(Qn-E203-Ta&gt;2*ENT,"Fara E","Admis")</f>
        <v>Admis</v>
      </c>
      <c r="Q203" s="66">
        <f>POWER(P203,2)</f>
        <v>0</v>
      </c>
    </row>
    <row r="204" spans="4:17" x14ac:dyDescent="0.25">
      <c r="D204">
        <v>189</v>
      </c>
      <c r="E204">
        <v>20.6</v>
      </c>
      <c r="F204" s="1">
        <v>0.80688657407407405</v>
      </c>
      <c r="G204" s="8" t="str">
        <f>IF(Qn-E204-Ta&gt;2*ENT,"Fara E","Admis")</f>
        <v>Admis</v>
      </c>
      <c r="Q204" s="66">
        <f>POWER(P204,2)</f>
        <v>0</v>
      </c>
    </row>
    <row r="205" spans="4:17" x14ac:dyDescent="0.25">
      <c r="D205">
        <v>190</v>
      </c>
      <c r="E205">
        <v>20.6</v>
      </c>
      <c r="F205" s="1">
        <v>0.80696759259259254</v>
      </c>
      <c r="G205" s="8" t="str">
        <f>IF(Qn-E205-Ta&gt;2*ENT,"Fara E","Admis")</f>
        <v>Admis</v>
      </c>
      <c r="Q205" s="66">
        <f>POWER(P205,2)</f>
        <v>0</v>
      </c>
    </row>
    <row r="206" spans="4:17" x14ac:dyDescent="0.25">
      <c r="D206">
        <v>191</v>
      </c>
      <c r="E206">
        <v>20.48</v>
      </c>
      <c r="F206" s="1">
        <v>0.80684027777777778</v>
      </c>
      <c r="G206" s="8" t="str">
        <f>IF(Qn-E206-Ta&gt;2*ENT,"Fara E","Admis")</f>
        <v>Admis</v>
      </c>
      <c r="Q206" s="66">
        <f>POWER(P206,2)</f>
        <v>0</v>
      </c>
    </row>
    <row r="207" spans="4:17" x14ac:dyDescent="0.25">
      <c r="D207">
        <v>192</v>
      </c>
      <c r="E207">
        <v>20.48</v>
      </c>
      <c r="F207" s="1">
        <v>0.80686342592592597</v>
      </c>
      <c r="G207" s="8" t="str">
        <f>IF(Qn-E207-Ta&gt;2*ENT,"Fara E","Admis")</f>
        <v>Admis</v>
      </c>
      <c r="Q207" s="66">
        <f>POWER(P207,2)</f>
        <v>0</v>
      </c>
    </row>
    <row r="208" spans="4:17" x14ac:dyDescent="0.25">
      <c r="D208">
        <v>193</v>
      </c>
      <c r="E208">
        <v>20.6</v>
      </c>
      <c r="F208" s="1">
        <v>0.8068749999999999</v>
      </c>
      <c r="G208" s="8" t="str">
        <f>IF(Qn-E208-Ta&gt;2*ENT,"Fara E","Admis")</f>
        <v>Admis</v>
      </c>
      <c r="Q208" s="66">
        <f>POWER(P208,2)</f>
        <v>0</v>
      </c>
    </row>
    <row r="209" spans="4:17" x14ac:dyDescent="0.25">
      <c r="D209">
        <v>194</v>
      </c>
      <c r="E209">
        <v>20.6</v>
      </c>
      <c r="F209" s="1">
        <v>0.80688657407407405</v>
      </c>
      <c r="G209" s="8" t="str">
        <f>IF(Qn-E209-Ta&gt;2*ENT,"Fara E","Admis")</f>
        <v>Admis</v>
      </c>
      <c r="Q209" s="66">
        <f>POWER(P209,2)</f>
        <v>0</v>
      </c>
    </row>
    <row r="210" spans="4:17" x14ac:dyDescent="0.25">
      <c r="D210">
        <v>195</v>
      </c>
      <c r="E210">
        <v>20.6</v>
      </c>
      <c r="F210" s="1">
        <v>0.80696759259259254</v>
      </c>
      <c r="G210" s="8" t="str">
        <f>IF(Qn-E210-Ta&gt;2*ENT,"Fara E","Admis")</f>
        <v>Admis</v>
      </c>
      <c r="Q210" s="66">
        <f>POWER(P210,2)</f>
        <v>0</v>
      </c>
    </row>
    <row r="211" spans="4:17" x14ac:dyDescent="0.25">
      <c r="D211">
        <v>196</v>
      </c>
      <c r="E211">
        <v>20.48</v>
      </c>
      <c r="F211" s="1">
        <v>0.80684027777777778</v>
      </c>
      <c r="G211" s="8" t="str">
        <f>IF(Qn-E211-Ta&gt;2*ENT,"Fara E","Admis")</f>
        <v>Admis</v>
      </c>
      <c r="Q211" s="66">
        <f>POWER(P211,2)</f>
        <v>0</v>
      </c>
    </row>
    <row r="212" spans="4:17" x14ac:dyDescent="0.25">
      <c r="D212">
        <v>197</v>
      </c>
      <c r="E212">
        <v>20.48</v>
      </c>
      <c r="F212" s="1">
        <v>0.80686342592592597</v>
      </c>
      <c r="G212" s="8" t="str">
        <f>IF(Qn-E212-Ta&gt;2*ENT,"Fara E","Admis")</f>
        <v>Admis</v>
      </c>
      <c r="Q212" s="66">
        <f>POWER(P212,2)</f>
        <v>0</v>
      </c>
    </row>
    <row r="213" spans="4:17" x14ac:dyDescent="0.25">
      <c r="D213">
        <v>198</v>
      </c>
      <c r="E213">
        <v>20.6</v>
      </c>
      <c r="F213" s="1">
        <v>0.8068749999999999</v>
      </c>
      <c r="G213" s="8" t="str">
        <f>IF(Qn-E213-Ta&gt;2*ENT,"Fara E","Admis")</f>
        <v>Admis</v>
      </c>
      <c r="Q213" s="66">
        <f>POWER(P213,2)</f>
        <v>0</v>
      </c>
    </row>
    <row r="214" spans="4:17" x14ac:dyDescent="0.25">
      <c r="D214">
        <v>199</v>
      </c>
      <c r="E214">
        <v>20.6</v>
      </c>
      <c r="F214" s="1">
        <v>0.80688657407407405</v>
      </c>
      <c r="G214" s="8" t="str">
        <f>IF(Qn-E214-Ta&gt;2*ENT,"Fara E","Admis")</f>
        <v>Admis</v>
      </c>
      <c r="Q214" s="66">
        <f>POWER(P214,2)</f>
        <v>0</v>
      </c>
    </row>
    <row r="215" spans="4:17" x14ac:dyDescent="0.25">
      <c r="D215">
        <v>200</v>
      </c>
      <c r="E215">
        <v>20.6</v>
      </c>
      <c r="F215" s="1">
        <v>0.80696759259259254</v>
      </c>
      <c r="G215" s="8" t="str">
        <f>IF(Qn-E215-Ta&gt;2*ENT,"Fara E","Admis")</f>
        <v>Admis</v>
      </c>
      <c r="Q215" s="66">
        <f>POWER(P215,2)</f>
        <v>0</v>
      </c>
    </row>
    <row r="216" spans="4:17" x14ac:dyDescent="0.25">
      <c r="D216">
        <v>201</v>
      </c>
      <c r="E216">
        <v>20.48</v>
      </c>
      <c r="F216" s="1">
        <v>0.80684027777777778</v>
      </c>
      <c r="G216" s="8" t="str">
        <f>IF(Qn-E216-Ta&gt;2*ENT,"Fara E","Admis")</f>
        <v>Admis</v>
      </c>
      <c r="Q216" s="66">
        <f>POWER(P216,2)</f>
        <v>0</v>
      </c>
    </row>
    <row r="217" spans="4:17" x14ac:dyDescent="0.25">
      <c r="D217">
        <v>202</v>
      </c>
      <c r="E217">
        <v>20.48</v>
      </c>
      <c r="F217" s="1">
        <v>0.80686342592592597</v>
      </c>
      <c r="G217" s="8" t="str">
        <f>IF(Qn-E217-Ta&gt;2*ENT,"Fara E","Admis")</f>
        <v>Admis</v>
      </c>
      <c r="Q217" s="66">
        <f>POWER(P217,2)</f>
        <v>0</v>
      </c>
    </row>
    <row r="218" spans="4:17" x14ac:dyDescent="0.25">
      <c r="D218">
        <v>203</v>
      </c>
      <c r="E218">
        <v>20.6</v>
      </c>
      <c r="F218" s="1">
        <v>0.8068749999999999</v>
      </c>
      <c r="G218" s="8" t="str">
        <f>IF(Qn-E218-Ta&gt;2*ENT,"Fara E","Admis")</f>
        <v>Admis</v>
      </c>
      <c r="Q218" s="66">
        <f>POWER(P218,2)</f>
        <v>0</v>
      </c>
    </row>
    <row r="219" spans="4:17" x14ac:dyDescent="0.25">
      <c r="D219">
        <v>204</v>
      </c>
      <c r="E219">
        <v>20.6</v>
      </c>
      <c r="F219" s="1">
        <v>0.80688657407407405</v>
      </c>
      <c r="G219" s="8" t="str">
        <f>IF(Qn-E219-Ta&gt;2*ENT,"Fara E","Admis")</f>
        <v>Admis</v>
      </c>
      <c r="Q219" s="66">
        <f>POWER(P219,2)</f>
        <v>0</v>
      </c>
    </row>
    <row r="220" spans="4:17" x14ac:dyDescent="0.25">
      <c r="D220">
        <v>205</v>
      </c>
      <c r="E220">
        <v>20.6</v>
      </c>
      <c r="F220" s="1">
        <v>0.80696759259259254</v>
      </c>
      <c r="G220" s="8" t="str">
        <f>IF(Qn-E220-Ta&gt;2*ENT,"Fara E","Admis")</f>
        <v>Admis</v>
      </c>
      <c r="Q220" s="66">
        <f>POWER(P220,2)</f>
        <v>0</v>
      </c>
    </row>
    <row r="221" spans="4:17" x14ac:dyDescent="0.25">
      <c r="D221">
        <v>206</v>
      </c>
      <c r="E221">
        <v>20.48</v>
      </c>
      <c r="F221" s="1">
        <v>0.80684027777777778</v>
      </c>
      <c r="G221" s="8" t="str">
        <f>IF(Qn-E221-Ta&gt;2*ENT,"Fara E","Admis")</f>
        <v>Admis</v>
      </c>
      <c r="Q221" s="66">
        <f>POWER(P221,2)</f>
        <v>0</v>
      </c>
    </row>
    <row r="222" spans="4:17" x14ac:dyDescent="0.25">
      <c r="D222">
        <v>207</v>
      </c>
      <c r="E222">
        <v>20.48</v>
      </c>
      <c r="F222" s="1">
        <v>0.80686342592592597</v>
      </c>
      <c r="G222" s="8" t="str">
        <f>IF(Qn-E222-Ta&gt;2*ENT,"Fara E","Admis")</f>
        <v>Admis</v>
      </c>
      <c r="Q222" s="66">
        <f>POWER(P222,2)</f>
        <v>0</v>
      </c>
    </row>
    <row r="223" spans="4:17" x14ac:dyDescent="0.25">
      <c r="D223">
        <v>208</v>
      </c>
      <c r="E223">
        <v>20.6</v>
      </c>
      <c r="F223" s="1">
        <v>0.8068749999999999</v>
      </c>
      <c r="G223" s="8" t="str">
        <f>IF(Qn-E223-Ta&gt;2*ENT,"Fara E","Admis")</f>
        <v>Admis</v>
      </c>
      <c r="Q223" s="66">
        <f>POWER(P223,2)</f>
        <v>0</v>
      </c>
    </row>
    <row r="224" spans="4:17" x14ac:dyDescent="0.25">
      <c r="D224">
        <v>209</v>
      </c>
      <c r="E224">
        <v>20.6</v>
      </c>
      <c r="F224" s="1">
        <v>0.80688657407407405</v>
      </c>
      <c r="G224" s="8" t="str">
        <f>IF(Qn-E224-Ta&gt;2*ENT,"Fara E","Admis")</f>
        <v>Admis</v>
      </c>
      <c r="Q224" s="66">
        <f>POWER(P224,2)</f>
        <v>0</v>
      </c>
    </row>
    <row r="225" spans="4:17" x14ac:dyDescent="0.25">
      <c r="D225">
        <v>210</v>
      </c>
      <c r="E225">
        <v>20.6</v>
      </c>
      <c r="F225" s="1">
        <v>0.80696759259259254</v>
      </c>
      <c r="G225" s="8" t="str">
        <f>IF(Qn-E225-Ta&gt;2*ENT,"Fara E","Admis")</f>
        <v>Admis</v>
      </c>
      <c r="Q225" s="66">
        <f>POWER(P225,2)</f>
        <v>0</v>
      </c>
    </row>
    <row r="226" spans="4:17" x14ac:dyDescent="0.25">
      <c r="F226" s="29"/>
    </row>
    <row r="227" spans="4:17" x14ac:dyDescent="0.25">
      <c r="F227" s="29"/>
    </row>
    <row r="228" spans="4:17" x14ac:dyDescent="0.25">
      <c r="F228" s="29"/>
    </row>
    <row r="229" spans="4:17" x14ac:dyDescent="0.25">
      <c r="F229" s="29"/>
    </row>
    <row r="230" spans="4:17" x14ac:dyDescent="0.25">
      <c r="F230" s="29"/>
    </row>
    <row r="231" spans="4:17" x14ac:dyDescent="0.25">
      <c r="F231" s="29"/>
    </row>
    <row r="232" spans="4:17" x14ac:dyDescent="0.25">
      <c r="F232" s="29"/>
    </row>
    <row r="233" spans="4:17" x14ac:dyDescent="0.25">
      <c r="F233" s="29"/>
    </row>
    <row r="234" spans="4:17" x14ac:dyDescent="0.25">
      <c r="F234" s="29"/>
    </row>
    <row r="235" spans="4:17" x14ac:dyDescent="0.25">
      <c r="F235" s="29"/>
    </row>
    <row r="236" spans="4:17" x14ac:dyDescent="0.25">
      <c r="F236" s="29"/>
    </row>
    <row r="237" spans="4:17" x14ac:dyDescent="0.25">
      <c r="F237" s="29"/>
    </row>
    <row r="238" spans="4:17" x14ac:dyDescent="0.25">
      <c r="F238" s="29"/>
    </row>
    <row r="239" spans="4:17" x14ac:dyDescent="0.25">
      <c r="F239" s="29"/>
    </row>
    <row r="240" spans="4:17" x14ac:dyDescent="0.25">
      <c r="F240" s="29"/>
    </row>
    <row r="241" spans="6:6" x14ac:dyDescent="0.25">
      <c r="F241" s="29"/>
    </row>
    <row r="242" spans="6:6" x14ac:dyDescent="0.25">
      <c r="F242" s="29"/>
    </row>
    <row r="243" spans="6:6" x14ac:dyDescent="0.25">
      <c r="F243" s="29"/>
    </row>
    <row r="244" spans="6:6" x14ac:dyDescent="0.25">
      <c r="F244" s="29"/>
    </row>
    <row r="245" spans="6:6" x14ac:dyDescent="0.25">
      <c r="F245" s="29"/>
    </row>
    <row r="246" spans="6:6" x14ac:dyDescent="0.25">
      <c r="F246" s="29"/>
    </row>
    <row r="247" spans="6:6" x14ac:dyDescent="0.25">
      <c r="F247" s="29"/>
    </row>
    <row r="248" spans="6:6" x14ac:dyDescent="0.25">
      <c r="F248" s="29"/>
    </row>
    <row r="249" spans="6:6" x14ac:dyDescent="0.25">
      <c r="F249" s="29"/>
    </row>
    <row r="250" spans="6:6" x14ac:dyDescent="0.25">
      <c r="F250" s="29"/>
    </row>
    <row r="251" spans="6:6" x14ac:dyDescent="0.25">
      <c r="F251" s="29"/>
    </row>
    <row r="252" spans="6:6" x14ac:dyDescent="0.25">
      <c r="F252" s="29"/>
    </row>
    <row r="253" spans="6:6" x14ac:dyDescent="0.25">
      <c r="F253" s="29"/>
    </row>
    <row r="254" spans="6:6" x14ac:dyDescent="0.25">
      <c r="F254" s="29"/>
    </row>
    <row r="255" spans="6:6" x14ac:dyDescent="0.25">
      <c r="F255" s="29"/>
    </row>
    <row r="256" spans="6:6" x14ac:dyDescent="0.25">
      <c r="F256" s="29"/>
    </row>
    <row r="257" spans="6:6" x14ac:dyDescent="0.25">
      <c r="F257" s="29"/>
    </row>
    <row r="258" spans="6:6" x14ac:dyDescent="0.25">
      <c r="F258" s="29"/>
    </row>
    <row r="259" spans="6:6" x14ac:dyDescent="0.25">
      <c r="F259" s="29"/>
    </row>
    <row r="260" spans="6:6" x14ac:dyDescent="0.25">
      <c r="F260" s="29"/>
    </row>
    <row r="261" spans="6:6" x14ac:dyDescent="0.25">
      <c r="F261" s="29"/>
    </row>
    <row r="262" spans="6:6" x14ac:dyDescent="0.25">
      <c r="F262" s="29"/>
    </row>
    <row r="263" spans="6:6" x14ac:dyDescent="0.25">
      <c r="F263" s="29"/>
    </row>
    <row r="264" spans="6:6" x14ac:dyDescent="0.25">
      <c r="F264" s="29"/>
    </row>
    <row r="265" spans="6:6" x14ac:dyDescent="0.25">
      <c r="F265" s="29"/>
    </row>
    <row r="266" spans="6:6" x14ac:dyDescent="0.25">
      <c r="F266" s="29"/>
    </row>
    <row r="267" spans="6:6" x14ac:dyDescent="0.25">
      <c r="F267" s="29"/>
    </row>
    <row r="268" spans="6:6" x14ac:dyDescent="0.25">
      <c r="F268" s="29"/>
    </row>
    <row r="269" spans="6:6" x14ac:dyDescent="0.25">
      <c r="F269" s="29"/>
    </row>
    <row r="270" spans="6:6" x14ac:dyDescent="0.25">
      <c r="F270" s="29"/>
    </row>
    <row r="271" spans="6:6" x14ac:dyDescent="0.25">
      <c r="F271" s="29"/>
    </row>
    <row r="272" spans="6:6" x14ac:dyDescent="0.25">
      <c r="F272" s="29"/>
    </row>
    <row r="273" spans="6:6" x14ac:dyDescent="0.25">
      <c r="F273" s="29"/>
    </row>
    <row r="274" spans="6:6" x14ac:dyDescent="0.25">
      <c r="F274" s="29"/>
    </row>
    <row r="275" spans="6:6" x14ac:dyDescent="0.25">
      <c r="F275" s="29"/>
    </row>
    <row r="276" spans="6:6" x14ac:dyDescent="0.25">
      <c r="F276" s="29"/>
    </row>
    <row r="277" spans="6:6" x14ac:dyDescent="0.25">
      <c r="F277" s="29"/>
    </row>
    <row r="278" spans="6:6" x14ac:dyDescent="0.25">
      <c r="F278" s="29"/>
    </row>
    <row r="279" spans="6:6" x14ac:dyDescent="0.25">
      <c r="F279" s="29"/>
    </row>
    <row r="280" spans="6:6" x14ac:dyDescent="0.25">
      <c r="F280" s="29"/>
    </row>
    <row r="281" spans="6:6" x14ac:dyDescent="0.25">
      <c r="F281" s="29"/>
    </row>
    <row r="282" spans="6:6" x14ac:dyDescent="0.25">
      <c r="F282" s="29"/>
    </row>
    <row r="283" spans="6:6" x14ac:dyDescent="0.25">
      <c r="F283" s="29"/>
    </row>
    <row r="284" spans="6:6" x14ac:dyDescent="0.25">
      <c r="F284" s="29"/>
    </row>
    <row r="285" spans="6:6" x14ac:dyDescent="0.25">
      <c r="F285" s="29"/>
    </row>
    <row r="286" spans="6:6" x14ac:dyDescent="0.25">
      <c r="F286" s="29"/>
    </row>
    <row r="287" spans="6:6" x14ac:dyDescent="0.25">
      <c r="F287" s="29"/>
    </row>
    <row r="288" spans="6:6" x14ac:dyDescent="0.25">
      <c r="F288" s="29"/>
    </row>
    <row r="289" spans="6:6" x14ac:dyDescent="0.25">
      <c r="F289" s="29"/>
    </row>
    <row r="290" spans="6:6" x14ac:dyDescent="0.25">
      <c r="F290" s="29"/>
    </row>
    <row r="291" spans="6:6" x14ac:dyDescent="0.25">
      <c r="F291" s="29"/>
    </row>
    <row r="292" spans="6:6" x14ac:dyDescent="0.25">
      <c r="F292" s="29"/>
    </row>
    <row r="293" spans="6:6" x14ac:dyDescent="0.25">
      <c r="F293" s="29"/>
    </row>
    <row r="294" spans="6:6" x14ac:dyDescent="0.25">
      <c r="F294" s="29"/>
    </row>
    <row r="295" spans="6:6" x14ac:dyDescent="0.25">
      <c r="F295" s="29"/>
    </row>
    <row r="296" spans="6:6" x14ac:dyDescent="0.25">
      <c r="F296" s="29"/>
    </row>
    <row r="297" spans="6:6" x14ac:dyDescent="0.25">
      <c r="F297" s="29"/>
    </row>
    <row r="298" spans="6:6" x14ac:dyDescent="0.25">
      <c r="F298" s="29"/>
    </row>
    <row r="299" spans="6:6" x14ac:dyDescent="0.25">
      <c r="F299" s="29"/>
    </row>
    <row r="300" spans="6:6" x14ac:dyDescent="0.25">
      <c r="F300" s="29"/>
    </row>
    <row r="301" spans="6:6" x14ac:dyDescent="0.25">
      <c r="F301" s="29"/>
    </row>
    <row r="302" spans="6:6" x14ac:dyDescent="0.25">
      <c r="F302" s="29"/>
    </row>
    <row r="303" spans="6:6" x14ac:dyDescent="0.25">
      <c r="F303" s="29"/>
    </row>
    <row r="304" spans="6:6" x14ac:dyDescent="0.25">
      <c r="F304" s="29"/>
    </row>
    <row r="305" spans="6:6" x14ac:dyDescent="0.25">
      <c r="F305" s="29"/>
    </row>
    <row r="306" spans="6:6" x14ac:dyDescent="0.25">
      <c r="F306" s="29"/>
    </row>
    <row r="307" spans="6:6" x14ac:dyDescent="0.25">
      <c r="F307" s="29"/>
    </row>
    <row r="308" spans="6:6" x14ac:dyDescent="0.25">
      <c r="F308" s="29"/>
    </row>
    <row r="309" spans="6:6" x14ac:dyDescent="0.25">
      <c r="F309" s="29"/>
    </row>
    <row r="310" spans="6:6" x14ac:dyDescent="0.25">
      <c r="F310" s="29"/>
    </row>
    <row r="311" spans="6:6" x14ac:dyDescent="0.25">
      <c r="F311" s="29"/>
    </row>
    <row r="312" spans="6:6" x14ac:dyDescent="0.25">
      <c r="F312" s="29"/>
    </row>
    <row r="313" spans="6:6" x14ac:dyDescent="0.25">
      <c r="F313" s="29"/>
    </row>
    <row r="314" spans="6:6" x14ac:dyDescent="0.25">
      <c r="F314" s="29"/>
    </row>
    <row r="315" spans="6:6" x14ac:dyDescent="0.25">
      <c r="F315" s="29"/>
    </row>
    <row r="316" spans="6:6" x14ac:dyDescent="0.25">
      <c r="F316" s="29"/>
    </row>
    <row r="317" spans="6:6" x14ac:dyDescent="0.25">
      <c r="F317" s="29"/>
    </row>
    <row r="318" spans="6:6" x14ac:dyDescent="0.25">
      <c r="F318" s="29"/>
    </row>
    <row r="319" spans="6:6" x14ac:dyDescent="0.25">
      <c r="F319" s="29"/>
    </row>
    <row r="320" spans="6:6" x14ac:dyDescent="0.25">
      <c r="F320" s="29"/>
    </row>
    <row r="321" spans="6:6" x14ac:dyDescent="0.25">
      <c r="F321" s="29"/>
    </row>
    <row r="322" spans="6:6" x14ac:dyDescent="0.25">
      <c r="F322" s="29"/>
    </row>
    <row r="323" spans="6:6" x14ac:dyDescent="0.25">
      <c r="F323" s="29"/>
    </row>
    <row r="324" spans="6:6" x14ac:dyDescent="0.25">
      <c r="F324" s="29"/>
    </row>
    <row r="325" spans="6:6" x14ac:dyDescent="0.25">
      <c r="F325" s="29"/>
    </row>
    <row r="326" spans="6:6" x14ac:dyDescent="0.25">
      <c r="F326" s="29"/>
    </row>
    <row r="327" spans="6:6" x14ac:dyDescent="0.25">
      <c r="F327" s="29"/>
    </row>
    <row r="328" spans="6:6" x14ac:dyDescent="0.25">
      <c r="F328" s="29"/>
    </row>
    <row r="329" spans="6:6" x14ac:dyDescent="0.25">
      <c r="F329" s="29"/>
    </row>
    <row r="330" spans="6:6" x14ac:dyDescent="0.25">
      <c r="F330" s="29"/>
    </row>
    <row r="331" spans="6:6" x14ac:dyDescent="0.25">
      <c r="F331" s="29"/>
    </row>
    <row r="332" spans="6:6" x14ac:dyDescent="0.25">
      <c r="F332" s="29"/>
    </row>
    <row r="333" spans="6:6" x14ac:dyDescent="0.25">
      <c r="F333" s="29"/>
    </row>
    <row r="334" spans="6:6" x14ac:dyDescent="0.25">
      <c r="F334" s="29"/>
    </row>
    <row r="335" spans="6:6" x14ac:dyDescent="0.25">
      <c r="F335" s="29"/>
    </row>
    <row r="336" spans="6:6" x14ac:dyDescent="0.25">
      <c r="F336" s="29"/>
    </row>
    <row r="337" spans="6:6" x14ac:dyDescent="0.25">
      <c r="F337" s="29"/>
    </row>
    <row r="338" spans="6:6" x14ac:dyDescent="0.25">
      <c r="F338" s="29"/>
    </row>
    <row r="339" spans="6:6" x14ac:dyDescent="0.25">
      <c r="F339" s="29"/>
    </row>
    <row r="340" spans="6:6" x14ac:dyDescent="0.25">
      <c r="F340" s="29"/>
    </row>
    <row r="341" spans="6:6" x14ac:dyDescent="0.25">
      <c r="F341" s="29"/>
    </row>
    <row r="342" spans="6:6" x14ac:dyDescent="0.25">
      <c r="F342" s="29"/>
    </row>
    <row r="343" spans="6:6" x14ac:dyDescent="0.25">
      <c r="F343" s="29"/>
    </row>
    <row r="344" spans="6:6" x14ac:dyDescent="0.25">
      <c r="F344" s="29"/>
    </row>
    <row r="345" spans="6:6" x14ac:dyDescent="0.25">
      <c r="F345" s="29"/>
    </row>
    <row r="346" spans="6:6" x14ac:dyDescent="0.25">
      <c r="F346" s="29"/>
    </row>
    <row r="347" spans="6:6" x14ac:dyDescent="0.25">
      <c r="F347" s="29"/>
    </row>
    <row r="348" spans="6:6" x14ac:dyDescent="0.25">
      <c r="F348" s="29"/>
    </row>
    <row r="349" spans="6:6" x14ac:dyDescent="0.25">
      <c r="F349" s="29"/>
    </row>
    <row r="350" spans="6:6" x14ac:dyDescent="0.25">
      <c r="F350" s="29"/>
    </row>
    <row r="351" spans="6:6" x14ac:dyDescent="0.25">
      <c r="F351" s="29"/>
    </row>
    <row r="352" spans="6:6" x14ac:dyDescent="0.25">
      <c r="F352" s="29"/>
    </row>
    <row r="353" spans="6:6" x14ac:dyDescent="0.25">
      <c r="F353" s="29"/>
    </row>
    <row r="354" spans="6:6" x14ac:dyDescent="0.25">
      <c r="F354" s="29"/>
    </row>
    <row r="355" spans="6:6" x14ac:dyDescent="0.25">
      <c r="F355" s="29"/>
    </row>
    <row r="356" spans="6:6" x14ac:dyDescent="0.25">
      <c r="F356" s="29"/>
    </row>
    <row r="357" spans="6:6" x14ac:dyDescent="0.25">
      <c r="F357" s="29"/>
    </row>
    <row r="358" spans="6:6" x14ac:dyDescent="0.25">
      <c r="F358" s="29"/>
    </row>
    <row r="359" spans="6:6" x14ac:dyDescent="0.25">
      <c r="F359" s="29"/>
    </row>
    <row r="360" spans="6:6" x14ac:dyDescent="0.25">
      <c r="F360" s="29"/>
    </row>
    <row r="361" spans="6:6" x14ac:dyDescent="0.25">
      <c r="F361" s="29"/>
    </row>
    <row r="362" spans="6:6" x14ac:dyDescent="0.25">
      <c r="F362" s="29"/>
    </row>
    <row r="363" spans="6:6" x14ac:dyDescent="0.25">
      <c r="F363" s="29"/>
    </row>
    <row r="364" spans="6:6" x14ac:dyDescent="0.25">
      <c r="F364" s="29"/>
    </row>
    <row r="365" spans="6:6" x14ac:dyDescent="0.25">
      <c r="F365" s="29"/>
    </row>
    <row r="366" spans="6:6" x14ac:dyDescent="0.25">
      <c r="F366" s="29"/>
    </row>
    <row r="367" spans="6:6" x14ac:dyDescent="0.25">
      <c r="F367" s="29"/>
    </row>
    <row r="368" spans="6:6" x14ac:dyDescent="0.25">
      <c r="F368" s="29"/>
    </row>
    <row r="369" spans="6:6" x14ac:dyDescent="0.25">
      <c r="F369" s="29"/>
    </row>
    <row r="370" spans="6:6" x14ac:dyDescent="0.25">
      <c r="F370" s="29"/>
    </row>
    <row r="371" spans="6:6" x14ac:dyDescent="0.25">
      <c r="F371" s="29"/>
    </row>
    <row r="372" spans="6:6" x14ac:dyDescent="0.25">
      <c r="F372" s="29"/>
    </row>
    <row r="373" spans="6:6" x14ac:dyDescent="0.25">
      <c r="F373" s="29"/>
    </row>
    <row r="374" spans="6:6" x14ac:dyDescent="0.25">
      <c r="F374" s="29"/>
    </row>
    <row r="375" spans="6:6" x14ac:dyDescent="0.25">
      <c r="F375" s="29"/>
    </row>
    <row r="376" spans="6:6" x14ac:dyDescent="0.25">
      <c r="F376" s="29"/>
    </row>
    <row r="377" spans="6:6" x14ac:dyDescent="0.25">
      <c r="F377" s="29"/>
    </row>
    <row r="378" spans="6:6" x14ac:dyDescent="0.25">
      <c r="F378" s="29"/>
    </row>
    <row r="379" spans="6:6" x14ac:dyDescent="0.25">
      <c r="F379" s="29"/>
    </row>
    <row r="380" spans="6:6" x14ac:dyDescent="0.25">
      <c r="F380" s="29"/>
    </row>
    <row r="381" spans="6:6" x14ac:dyDescent="0.25">
      <c r="F381" s="29"/>
    </row>
    <row r="382" spans="6:6" x14ac:dyDescent="0.25">
      <c r="F382" s="29"/>
    </row>
    <row r="383" spans="6:6" x14ac:dyDescent="0.25">
      <c r="F383" s="29"/>
    </row>
    <row r="384" spans="6:6" x14ac:dyDescent="0.25">
      <c r="F384" s="29"/>
    </row>
    <row r="385" spans="6:6" x14ac:dyDescent="0.25">
      <c r="F385" s="29"/>
    </row>
    <row r="386" spans="6:6" x14ac:dyDescent="0.25">
      <c r="F386" s="29"/>
    </row>
    <row r="387" spans="6:6" x14ac:dyDescent="0.25">
      <c r="F387" s="29"/>
    </row>
    <row r="388" spans="6:6" x14ac:dyDescent="0.25">
      <c r="F388" s="29"/>
    </row>
    <row r="389" spans="6:6" x14ac:dyDescent="0.25">
      <c r="F389" s="29"/>
    </row>
    <row r="390" spans="6:6" x14ac:dyDescent="0.25">
      <c r="F390" s="29"/>
    </row>
    <row r="391" spans="6:6" x14ac:dyDescent="0.25">
      <c r="F391" s="29"/>
    </row>
    <row r="392" spans="6:6" x14ac:dyDescent="0.25">
      <c r="F392" s="29"/>
    </row>
    <row r="393" spans="6:6" x14ac:dyDescent="0.25">
      <c r="F393" s="29"/>
    </row>
    <row r="394" spans="6:6" x14ac:dyDescent="0.25">
      <c r="F394" s="29"/>
    </row>
    <row r="395" spans="6:6" x14ac:dyDescent="0.25">
      <c r="F395" s="29"/>
    </row>
    <row r="396" spans="6:6" x14ac:dyDescent="0.25">
      <c r="F396" s="29"/>
    </row>
    <row r="397" spans="6:6" x14ac:dyDescent="0.25">
      <c r="F397" s="29"/>
    </row>
    <row r="398" spans="6:6" x14ac:dyDescent="0.25">
      <c r="F398" s="29"/>
    </row>
    <row r="399" spans="6:6" x14ac:dyDescent="0.25">
      <c r="F399" s="29"/>
    </row>
    <row r="400" spans="6:6" x14ac:dyDescent="0.25">
      <c r="F400" s="29"/>
    </row>
    <row r="401" spans="6:6" x14ac:dyDescent="0.25">
      <c r="F401" s="29"/>
    </row>
    <row r="402" spans="6:6" x14ac:dyDescent="0.25">
      <c r="F402" s="29"/>
    </row>
    <row r="403" spans="6:6" x14ac:dyDescent="0.25">
      <c r="F403" s="29"/>
    </row>
    <row r="404" spans="6:6" x14ac:dyDescent="0.25">
      <c r="F404" s="29"/>
    </row>
    <row r="405" spans="6:6" x14ac:dyDescent="0.25">
      <c r="F405" s="29"/>
    </row>
    <row r="406" spans="6:6" x14ac:dyDescent="0.25">
      <c r="F406" s="29"/>
    </row>
    <row r="407" spans="6:6" x14ac:dyDescent="0.25">
      <c r="F407" s="29"/>
    </row>
    <row r="408" spans="6:6" x14ac:dyDescent="0.25">
      <c r="F408" s="29"/>
    </row>
    <row r="409" spans="6:6" x14ac:dyDescent="0.25">
      <c r="F409" s="29"/>
    </row>
    <row r="410" spans="6:6" x14ac:dyDescent="0.25">
      <c r="F410" s="29"/>
    </row>
    <row r="411" spans="6:6" x14ac:dyDescent="0.25">
      <c r="F411" s="29"/>
    </row>
    <row r="412" spans="6:6" x14ac:dyDescent="0.25">
      <c r="F412" s="29"/>
    </row>
    <row r="413" spans="6:6" x14ac:dyDescent="0.25">
      <c r="F413" s="29"/>
    </row>
    <row r="414" spans="6:6" x14ac:dyDescent="0.25">
      <c r="F414" s="29"/>
    </row>
    <row r="415" spans="6:6" x14ac:dyDescent="0.25">
      <c r="F415" s="29"/>
    </row>
    <row r="416" spans="6:6" x14ac:dyDescent="0.25">
      <c r="F416" s="29"/>
    </row>
    <row r="417" spans="6:6" x14ac:dyDescent="0.25">
      <c r="F417" s="29"/>
    </row>
    <row r="418" spans="6:6" x14ac:dyDescent="0.25">
      <c r="F418" s="29"/>
    </row>
    <row r="419" spans="6:6" x14ac:dyDescent="0.25">
      <c r="F419" s="29"/>
    </row>
    <row r="420" spans="6:6" x14ac:dyDescent="0.25">
      <c r="F420" s="29"/>
    </row>
    <row r="421" spans="6:6" x14ac:dyDescent="0.25">
      <c r="F421" s="29"/>
    </row>
    <row r="422" spans="6:6" x14ac:dyDescent="0.25">
      <c r="F422" s="29"/>
    </row>
    <row r="423" spans="6:6" x14ac:dyDescent="0.25">
      <c r="F423" s="29"/>
    </row>
    <row r="424" spans="6:6" x14ac:dyDescent="0.25">
      <c r="F424" s="29"/>
    </row>
    <row r="425" spans="6:6" x14ac:dyDescent="0.25">
      <c r="F425" s="29"/>
    </row>
    <row r="426" spans="6:6" x14ac:dyDescent="0.25">
      <c r="F426" s="29"/>
    </row>
    <row r="427" spans="6:6" x14ac:dyDescent="0.25">
      <c r="F427" s="29"/>
    </row>
    <row r="428" spans="6:6" x14ac:dyDescent="0.25">
      <c r="F428" s="29"/>
    </row>
    <row r="429" spans="6:6" x14ac:dyDescent="0.25">
      <c r="F429" s="29"/>
    </row>
    <row r="430" spans="6:6" x14ac:dyDescent="0.25">
      <c r="F430" s="29"/>
    </row>
    <row r="431" spans="6:6" x14ac:dyDescent="0.25">
      <c r="F431" s="29"/>
    </row>
    <row r="432" spans="6:6" x14ac:dyDescent="0.25">
      <c r="F432" s="29"/>
    </row>
    <row r="433" spans="6:6" x14ac:dyDescent="0.25">
      <c r="F433" s="29"/>
    </row>
    <row r="434" spans="6:6" x14ac:dyDescent="0.25">
      <c r="F434" s="29"/>
    </row>
    <row r="435" spans="6:6" x14ac:dyDescent="0.25">
      <c r="F435" s="29"/>
    </row>
    <row r="436" spans="6:6" x14ac:dyDescent="0.25">
      <c r="F436" s="29"/>
    </row>
    <row r="437" spans="6:6" x14ac:dyDescent="0.25">
      <c r="F437" s="29"/>
    </row>
    <row r="438" spans="6:6" x14ac:dyDescent="0.25">
      <c r="F438" s="29"/>
    </row>
    <row r="439" spans="6:6" x14ac:dyDescent="0.25">
      <c r="F439" s="29"/>
    </row>
    <row r="440" spans="6:6" x14ac:dyDescent="0.25">
      <c r="F440" s="29"/>
    </row>
    <row r="441" spans="6:6" x14ac:dyDescent="0.25">
      <c r="F441" s="29"/>
    </row>
    <row r="442" spans="6:6" x14ac:dyDescent="0.25">
      <c r="F442" s="29"/>
    </row>
    <row r="443" spans="6:6" x14ac:dyDescent="0.25">
      <c r="F443" s="29"/>
    </row>
    <row r="444" spans="6:6" x14ac:dyDescent="0.25">
      <c r="F444" s="29"/>
    </row>
    <row r="445" spans="6:6" x14ac:dyDescent="0.25">
      <c r="F445" s="29"/>
    </row>
    <row r="446" spans="6:6" x14ac:dyDescent="0.25">
      <c r="F446" s="29"/>
    </row>
    <row r="447" spans="6:6" x14ac:dyDescent="0.25">
      <c r="F447" s="29"/>
    </row>
    <row r="448" spans="6:6" x14ac:dyDescent="0.25">
      <c r="F448" s="29"/>
    </row>
    <row r="449" spans="6:6" x14ac:dyDescent="0.25">
      <c r="F449" s="29"/>
    </row>
    <row r="450" spans="6:6" x14ac:dyDescent="0.25">
      <c r="F450" s="29"/>
    </row>
    <row r="451" spans="6:6" x14ac:dyDescent="0.25">
      <c r="F451" s="29"/>
    </row>
    <row r="452" spans="6:6" x14ac:dyDescent="0.25">
      <c r="F452" s="29"/>
    </row>
    <row r="453" spans="6:6" x14ac:dyDescent="0.25">
      <c r="F453" s="29"/>
    </row>
    <row r="454" spans="6:6" x14ac:dyDescent="0.25">
      <c r="F454" s="29"/>
    </row>
    <row r="455" spans="6:6" x14ac:dyDescent="0.25">
      <c r="F455" s="29"/>
    </row>
    <row r="456" spans="6:6" x14ac:dyDescent="0.25">
      <c r="F456" s="29"/>
    </row>
    <row r="457" spans="6:6" x14ac:dyDescent="0.25">
      <c r="F457" s="29"/>
    </row>
    <row r="458" spans="6:6" x14ac:dyDescent="0.25">
      <c r="F458" s="29"/>
    </row>
    <row r="459" spans="6:6" x14ac:dyDescent="0.25">
      <c r="F459" s="29"/>
    </row>
    <row r="460" spans="6:6" x14ac:dyDescent="0.25">
      <c r="F460" s="29"/>
    </row>
    <row r="461" spans="6:6" x14ac:dyDescent="0.25">
      <c r="F461" s="29"/>
    </row>
    <row r="462" spans="6:6" x14ac:dyDescent="0.25">
      <c r="F462" s="29"/>
    </row>
    <row r="463" spans="6:6" x14ac:dyDescent="0.25">
      <c r="F463" s="29"/>
    </row>
    <row r="464" spans="6:6" x14ac:dyDescent="0.25">
      <c r="F464" s="29"/>
    </row>
    <row r="465" spans="6:6" x14ac:dyDescent="0.25">
      <c r="F465" s="29"/>
    </row>
    <row r="466" spans="6:6" x14ac:dyDescent="0.25">
      <c r="F466" s="29"/>
    </row>
    <row r="467" spans="6:6" x14ac:dyDescent="0.25">
      <c r="F467" s="29"/>
    </row>
    <row r="468" spans="6:6" x14ac:dyDescent="0.25">
      <c r="F468" s="29"/>
    </row>
    <row r="469" spans="6:6" x14ac:dyDescent="0.25">
      <c r="F469" s="29"/>
    </row>
    <row r="470" spans="6:6" x14ac:dyDescent="0.25">
      <c r="F470" s="29"/>
    </row>
    <row r="471" spans="6:6" x14ac:dyDescent="0.25">
      <c r="F471" s="29"/>
    </row>
    <row r="472" spans="6:6" x14ac:dyDescent="0.25">
      <c r="F472" s="29"/>
    </row>
    <row r="473" spans="6:6" x14ac:dyDescent="0.25">
      <c r="F473" s="29"/>
    </row>
    <row r="474" spans="6:6" x14ac:dyDescent="0.25">
      <c r="F474" s="29"/>
    </row>
    <row r="475" spans="6:6" x14ac:dyDescent="0.25">
      <c r="F475" s="29"/>
    </row>
    <row r="476" spans="6:6" x14ac:dyDescent="0.25">
      <c r="F476" s="29"/>
    </row>
    <row r="477" spans="6:6" x14ac:dyDescent="0.25">
      <c r="F477" s="29"/>
    </row>
    <row r="478" spans="6:6" x14ac:dyDescent="0.25">
      <c r="F478" s="29"/>
    </row>
    <row r="479" spans="6:6" x14ac:dyDescent="0.25">
      <c r="F479" s="29"/>
    </row>
    <row r="480" spans="6:6" x14ac:dyDescent="0.25">
      <c r="F480" s="29"/>
    </row>
    <row r="481" spans="6:6" x14ac:dyDescent="0.25">
      <c r="F481" s="29"/>
    </row>
    <row r="482" spans="6:6" x14ac:dyDescent="0.25">
      <c r="F482" s="29"/>
    </row>
    <row r="483" spans="6:6" x14ac:dyDescent="0.25">
      <c r="F483" s="29"/>
    </row>
    <row r="484" spans="6:6" x14ac:dyDescent="0.25">
      <c r="F484" s="29"/>
    </row>
    <row r="485" spans="6:6" x14ac:dyDescent="0.25">
      <c r="F485" s="29"/>
    </row>
    <row r="486" spans="6:6" x14ac:dyDescent="0.25">
      <c r="F486" s="29"/>
    </row>
    <row r="487" spans="6:6" x14ac:dyDescent="0.25">
      <c r="F487" s="29"/>
    </row>
    <row r="488" spans="6:6" x14ac:dyDescent="0.25">
      <c r="F488" s="29"/>
    </row>
    <row r="489" spans="6:6" x14ac:dyDescent="0.25">
      <c r="F489" s="29"/>
    </row>
    <row r="490" spans="6:6" x14ac:dyDescent="0.25">
      <c r="F490" s="29"/>
    </row>
    <row r="491" spans="6:6" x14ac:dyDescent="0.25">
      <c r="F491" s="29"/>
    </row>
    <row r="492" spans="6:6" x14ac:dyDescent="0.25">
      <c r="F492" s="29"/>
    </row>
    <row r="493" spans="6:6" x14ac:dyDescent="0.25">
      <c r="F493" s="29"/>
    </row>
    <row r="494" spans="6:6" x14ac:dyDescent="0.25">
      <c r="F494" s="29"/>
    </row>
    <row r="495" spans="6:6" x14ac:dyDescent="0.25">
      <c r="F495" s="29"/>
    </row>
    <row r="496" spans="6:6" x14ac:dyDescent="0.25">
      <c r="F496" s="29"/>
    </row>
    <row r="497" spans="6:6" x14ac:dyDescent="0.25">
      <c r="F497" s="29"/>
    </row>
    <row r="498" spans="6:6" x14ac:dyDescent="0.25">
      <c r="F498" s="29"/>
    </row>
    <row r="499" spans="6:6" x14ac:dyDescent="0.25">
      <c r="F499" s="29"/>
    </row>
    <row r="500" spans="6:6" x14ac:dyDescent="0.25">
      <c r="F500" s="29"/>
    </row>
    <row r="501" spans="6:6" x14ac:dyDescent="0.25">
      <c r="F501" s="29"/>
    </row>
    <row r="502" spans="6:6" x14ac:dyDescent="0.25">
      <c r="F502" s="29"/>
    </row>
    <row r="503" spans="6:6" x14ac:dyDescent="0.25">
      <c r="F503" s="29"/>
    </row>
    <row r="504" spans="6:6" x14ac:dyDescent="0.25">
      <c r="F504" s="29"/>
    </row>
    <row r="505" spans="6:6" x14ac:dyDescent="0.25">
      <c r="F505" s="29"/>
    </row>
    <row r="506" spans="6:6" x14ac:dyDescent="0.25">
      <c r="F506" s="29"/>
    </row>
    <row r="507" spans="6:6" x14ac:dyDescent="0.25">
      <c r="F507" s="29"/>
    </row>
    <row r="508" spans="6:6" x14ac:dyDescent="0.25">
      <c r="F508" s="29"/>
    </row>
    <row r="509" spans="6:6" x14ac:dyDescent="0.25">
      <c r="F509" s="29"/>
    </row>
    <row r="510" spans="6:6" x14ac:dyDescent="0.25">
      <c r="F510" s="29"/>
    </row>
    <row r="511" spans="6:6" x14ac:dyDescent="0.25">
      <c r="F511" s="29"/>
    </row>
    <row r="512" spans="6:6" x14ac:dyDescent="0.25">
      <c r="F512" s="29"/>
    </row>
    <row r="513" spans="6:6" x14ac:dyDescent="0.25">
      <c r="F513" s="29"/>
    </row>
    <row r="514" spans="6:6" x14ac:dyDescent="0.25">
      <c r="F514" s="29"/>
    </row>
    <row r="515" spans="6:6" x14ac:dyDescent="0.25">
      <c r="F515" s="29"/>
    </row>
    <row r="516" spans="6:6" x14ac:dyDescent="0.25">
      <c r="F516" s="29"/>
    </row>
    <row r="517" spans="6:6" x14ac:dyDescent="0.25">
      <c r="F517" s="29"/>
    </row>
    <row r="518" spans="6:6" x14ac:dyDescent="0.25">
      <c r="F518" s="29"/>
    </row>
    <row r="519" spans="6:6" x14ac:dyDescent="0.25">
      <c r="F519" s="29"/>
    </row>
    <row r="520" spans="6:6" x14ac:dyDescent="0.25">
      <c r="F520" s="29"/>
    </row>
    <row r="521" spans="6:6" x14ac:dyDescent="0.25">
      <c r="F521" s="29"/>
    </row>
    <row r="522" spans="6:6" x14ac:dyDescent="0.25">
      <c r="F522" s="29"/>
    </row>
    <row r="523" spans="6:6" x14ac:dyDescent="0.25">
      <c r="F523" s="29"/>
    </row>
    <row r="524" spans="6:6" x14ac:dyDescent="0.25">
      <c r="F524" s="29"/>
    </row>
    <row r="525" spans="6:6" x14ac:dyDescent="0.25">
      <c r="F525" s="29"/>
    </row>
    <row r="526" spans="6:6" x14ac:dyDescent="0.25">
      <c r="F526" s="29"/>
    </row>
    <row r="527" spans="6:6" x14ac:dyDescent="0.25">
      <c r="F527" s="29"/>
    </row>
    <row r="528" spans="6:6" x14ac:dyDescent="0.25">
      <c r="F528" s="29"/>
    </row>
    <row r="529" spans="6:6" x14ac:dyDescent="0.25">
      <c r="F529" s="29"/>
    </row>
    <row r="530" spans="6:6" x14ac:dyDescent="0.25">
      <c r="F530" s="29"/>
    </row>
    <row r="531" spans="6:6" x14ac:dyDescent="0.25">
      <c r="F531" s="29"/>
    </row>
    <row r="532" spans="6:6" x14ac:dyDescent="0.25">
      <c r="F532" s="29"/>
    </row>
    <row r="533" spans="6:6" x14ac:dyDescent="0.25">
      <c r="F533" s="29"/>
    </row>
    <row r="534" spans="6:6" x14ac:dyDescent="0.25">
      <c r="F534" s="29"/>
    </row>
    <row r="535" spans="6:6" x14ac:dyDescent="0.25">
      <c r="F535" s="29"/>
    </row>
    <row r="536" spans="6:6" x14ac:dyDescent="0.25">
      <c r="F536" s="29"/>
    </row>
    <row r="537" spans="6:6" x14ac:dyDescent="0.25">
      <c r="F537" s="29"/>
    </row>
    <row r="538" spans="6:6" x14ac:dyDescent="0.25">
      <c r="F538" s="29"/>
    </row>
    <row r="539" spans="6:6" x14ac:dyDescent="0.25">
      <c r="F539" s="29"/>
    </row>
    <row r="540" spans="6:6" x14ac:dyDescent="0.25">
      <c r="F540" s="29"/>
    </row>
    <row r="541" spans="6:6" x14ac:dyDescent="0.25">
      <c r="F541" s="29"/>
    </row>
    <row r="542" spans="6:6" x14ac:dyDescent="0.25">
      <c r="F542" s="29"/>
    </row>
    <row r="543" spans="6:6" x14ac:dyDescent="0.25">
      <c r="F543" s="29"/>
    </row>
    <row r="544" spans="6:6" x14ac:dyDescent="0.25">
      <c r="F544" s="29"/>
    </row>
    <row r="545" spans="6:6" x14ac:dyDescent="0.25">
      <c r="F545" s="29"/>
    </row>
    <row r="546" spans="6:6" x14ac:dyDescent="0.25">
      <c r="F546" s="29"/>
    </row>
    <row r="547" spans="6:6" x14ac:dyDescent="0.25">
      <c r="F547" s="29"/>
    </row>
    <row r="548" spans="6:6" x14ac:dyDescent="0.25">
      <c r="F548" s="29"/>
    </row>
    <row r="549" spans="6:6" x14ac:dyDescent="0.25">
      <c r="F549" s="29"/>
    </row>
    <row r="550" spans="6:6" x14ac:dyDescent="0.25">
      <c r="F550" s="29"/>
    </row>
    <row r="551" spans="6:6" x14ac:dyDescent="0.25">
      <c r="F551" s="29"/>
    </row>
    <row r="552" spans="6:6" x14ac:dyDescent="0.25">
      <c r="F552" s="29"/>
    </row>
    <row r="553" spans="6:6" x14ac:dyDescent="0.25">
      <c r="F553" s="29"/>
    </row>
    <row r="554" spans="6:6" x14ac:dyDescent="0.25">
      <c r="F554" s="29"/>
    </row>
    <row r="555" spans="6:6" x14ac:dyDescent="0.25">
      <c r="F555" s="29"/>
    </row>
    <row r="556" spans="6:6" x14ac:dyDescent="0.25">
      <c r="F556" s="29"/>
    </row>
    <row r="557" spans="6:6" x14ac:dyDescent="0.25">
      <c r="F557" s="29"/>
    </row>
    <row r="558" spans="6:6" x14ac:dyDescent="0.25">
      <c r="F558" s="29"/>
    </row>
    <row r="559" spans="6:6" x14ac:dyDescent="0.25">
      <c r="F559" s="29"/>
    </row>
    <row r="560" spans="6:6" x14ac:dyDescent="0.25">
      <c r="F560" s="29"/>
    </row>
    <row r="561" spans="6:6" x14ac:dyDescent="0.25">
      <c r="F561" s="29"/>
    </row>
    <row r="562" spans="6:6" x14ac:dyDescent="0.25">
      <c r="F562" s="29"/>
    </row>
    <row r="563" spans="6:6" x14ac:dyDescent="0.25">
      <c r="F563" s="29"/>
    </row>
    <row r="564" spans="6:6" x14ac:dyDescent="0.25">
      <c r="F564" s="29"/>
    </row>
    <row r="565" spans="6:6" x14ac:dyDescent="0.25">
      <c r="F565" s="29"/>
    </row>
    <row r="566" spans="6:6" x14ac:dyDescent="0.25">
      <c r="F566" s="29"/>
    </row>
    <row r="567" spans="6:6" x14ac:dyDescent="0.25">
      <c r="F567" s="29"/>
    </row>
    <row r="568" spans="6:6" x14ac:dyDescent="0.25">
      <c r="F568" s="29"/>
    </row>
    <row r="569" spans="6:6" x14ac:dyDescent="0.25">
      <c r="F569" s="29"/>
    </row>
    <row r="570" spans="6:6" x14ac:dyDescent="0.25">
      <c r="F570" s="29"/>
    </row>
    <row r="571" spans="6:6" x14ac:dyDescent="0.25">
      <c r="F571" s="29"/>
    </row>
    <row r="572" spans="6:6" x14ac:dyDescent="0.25">
      <c r="F572" s="29"/>
    </row>
    <row r="573" spans="6:6" x14ac:dyDescent="0.25">
      <c r="F573" s="29"/>
    </row>
    <row r="574" spans="6:6" x14ac:dyDescent="0.25">
      <c r="F574" s="29"/>
    </row>
    <row r="575" spans="6:6" x14ac:dyDescent="0.25">
      <c r="F575" s="29"/>
    </row>
    <row r="576" spans="6:6" x14ac:dyDescent="0.25">
      <c r="F576" s="29"/>
    </row>
    <row r="577" spans="6:6" x14ac:dyDescent="0.25">
      <c r="F577" s="29"/>
    </row>
    <row r="578" spans="6:6" x14ac:dyDescent="0.25">
      <c r="F578" s="29"/>
    </row>
    <row r="579" spans="6:6" x14ac:dyDescent="0.25">
      <c r="F579" s="29"/>
    </row>
    <row r="580" spans="6:6" x14ac:dyDescent="0.25">
      <c r="F580" s="29"/>
    </row>
    <row r="581" spans="6:6" x14ac:dyDescent="0.25">
      <c r="F581" s="29"/>
    </row>
    <row r="582" spans="6:6" x14ac:dyDescent="0.25">
      <c r="F582" s="29"/>
    </row>
    <row r="583" spans="6:6" x14ac:dyDescent="0.25">
      <c r="F583" s="29"/>
    </row>
    <row r="584" spans="6:6" x14ac:dyDescent="0.25">
      <c r="F584" s="29"/>
    </row>
    <row r="585" spans="6:6" x14ac:dyDescent="0.25">
      <c r="F585" s="29"/>
    </row>
    <row r="586" spans="6:6" x14ac:dyDescent="0.25">
      <c r="F586" s="29"/>
    </row>
    <row r="587" spans="6:6" x14ac:dyDescent="0.25">
      <c r="F587" s="29"/>
    </row>
    <row r="588" spans="6:6" x14ac:dyDescent="0.25">
      <c r="F588" s="29"/>
    </row>
    <row r="589" spans="6:6" x14ac:dyDescent="0.25">
      <c r="F589" s="29"/>
    </row>
    <row r="590" spans="6:6" x14ac:dyDescent="0.25">
      <c r="F590" s="29"/>
    </row>
    <row r="591" spans="6:6" x14ac:dyDescent="0.25">
      <c r="F591" s="29"/>
    </row>
    <row r="592" spans="6:6" x14ac:dyDescent="0.25">
      <c r="F592" s="29"/>
    </row>
    <row r="593" spans="6:6" x14ac:dyDescent="0.25">
      <c r="F593" s="29"/>
    </row>
    <row r="594" spans="6:6" x14ac:dyDescent="0.25">
      <c r="F594" s="29"/>
    </row>
    <row r="595" spans="6:6" x14ac:dyDescent="0.25">
      <c r="F595" s="29"/>
    </row>
    <row r="596" spans="6:6" x14ac:dyDescent="0.25">
      <c r="F596" s="29"/>
    </row>
    <row r="597" spans="6:6" x14ac:dyDescent="0.25">
      <c r="F597" s="29"/>
    </row>
    <row r="598" spans="6:6" x14ac:dyDescent="0.25">
      <c r="F598" s="29"/>
    </row>
    <row r="599" spans="6:6" x14ac:dyDescent="0.25">
      <c r="F599" s="29"/>
    </row>
    <row r="600" spans="6:6" x14ac:dyDescent="0.25">
      <c r="F600" s="29"/>
    </row>
    <row r="601" spans="6:6" x14ac:dyDescent="0.25">
      <c r="F601" s="29"/>
    </row>
    <row r="602" spans="6:6" x14ac:dyDescent="0.25">
      <c r="F602" s="29"/>
    </row>
    <row r="603" spans="6:6" x14ac:dyDescent="0.25">
      <c r="F603" s="29"/>
    </row>
    <row r="604" spans="6:6" x14ac:dyDescent="0.25">
      <c r="F604" s="29"/>
    </row>
    <row r="605" spans="6:6" x14ac:dyDescent="0.25">
      <c r="F605" s="29"/>
    </row>
    <row r="606" spans="6:6" x14ac:dyDescent="0.25">
      <c r="F606" s="29"/>
    </row>
    <row r="607" spans="6:6" x14ac:dyDescent="0.25">
      <c r="F607" s="29"/>
    </row>
    <row r="608" spans="6:6" x14ac:dyDescent="0.25">
      <c r="F608" s="29"/>
    </row>
    <row r="609" spans="6:6" x14ac:dyDescent="0.25">
      <c r="F609" s="29"/>
    </row>
    <row r="610" spans="6:6" x14ac:dyDescent="0.25">
      <c r="F610" s="29"/>
    </row>
    <row r="611" spans="6:6" x14ac:dyDescent="0.25">
      <c r="F611" s="29"/>
    </row>
    <row r="612" spans="6:6" x14ac:dyDescent="0.25">
      <c r="F612" s="29"/>
    </row>
    <row r="613" spans="6:6" x14ac:dyDescent="0.25">
      <c r="F613" s="29"/>
    </row>
    <row r="614" spans="6:6" x14ac:dyDescent="0.25">
      <c r="F614" s="29"/>
    </row>
    <row r="615" spans="6:6" x14ac:dyDescent="0.25">
      <c r="F615" s="29"/>
    </row>
    <row r="616" spans="6:6" x14ac:dyDescent="0.25">
      <c r="F616" s="29"/>
    </row>
    <row r="617" spans="6:6" x14ac:dyDescent="0.25">
      <c r="F617" s="29"/>
    </row>
    <row r="618" spans="6:6" x14ac:dyDescent="0.25">
      <c r="F618" s="29"/>
    </row>
    <row r="619" spans="6:6" x14ac:dyDescent="0.25">
      <c r="F619" s="29"/>
    </row>
    <row r="620" spans="6:6" x14ac:dyDescent="0.25">
      <c r="F620" s="29"/>
    </row>
    <row r="621" spans="6:6" x14ac:dyDescent="0.25">
      <c r="F621" s="29"/>
    </row>
    <row r="622" spans="6:6" x14ac:dyDescent="0.25">
      <c r="F622" s="29"/>
    </row>
    <row r="623" spans="6:6" x14ac:dyDescent="0.25">
      <c r="F623" s="29"/>
    </row>
    <row r="624" spans="6:6" x14ac:dyDescent="0.25">
      <c r="F624" s="29"/>
    </row>
    <row r="625" spans="6:6" x14ac:dyDescent="0.25">
      <c r="F625" s="29"/>
    </row>
    <row r="626" spans="6:6" x14ac:dyDescent="0.25">
      <c r="F626" s="29"/>
    </row>
    <row r="627" spans="6:6" x14ac:dyDescent="0.25">
      <c r="F627" s="29"/>
    </row>
    <row r="628" spans="6:6" x14ac:dyDescent="0.25">
      <c r="F628" s="29"/>
    </row>
    <row r="629" spans="6:6" x14ac:dyDescent="0.25">
      <c r="F629" s="29"/>
    </row>
    <row r="630" spans="6:6" x14ac:dyDescent="0.25">
      <c r="F630" s="29"/>
    </row>
    <row r="631" spans="6:6" x14ac:dyDescent="0.25">
      <c r="F631" s="29"/>
    </row>
    <row r="632" spans="6:6" x14ac:dyDescent="0.25">
      <c r="F632" s="29"/>
    </row>
    <row r="633" spans="6:6" x14ac:dyDescent="0.25">
      <c r="F633" s="29"/>
    </row>
    <row r="634" spans="6:6" x14ac:dyDescent="0.25">
      <c r="F634" s="29"/>
    </row>
    <row r="635" spans="6:6" x14ac:dyDescent="0.25">
      <c r="F635" s="29"/>
    </row>
    <row r="636" spans="6:6" x14ac:dyDescent="0.25">
      <c r="F636" s="29"/>
    </row>
    <row r="637" spans="6:6" x14ac:dyDescent="0.25">
      <c r="F637" s="29"/>
    </row>
    <row r="638" spans="6:6" x14ac:dyDescent="0.25">
      <c r="F638" s="29"/>
    </row>
    <row r="639" spans="6:6" x14ac:dyDescent="0.25">
      <c r="F639" s="29"/>
    </row>
    <row r="640" spans="6:6" x14ac:dyDescent="0.25">
      <c r="F640" s="29"/>
    </row>
    <row r="641" spans="6:6" x14ac:dyDescent="0.25">
      <c r="F641" s="29"/>
    </row>
    <row r="642" spans="6:6" x14ac:dyDescent="0.25">
      <c r="F642" s="29"/>
    </row>
    <row r="643" spans="6:6" x14ac:dyDescent="0.25">
      <c r="F643" s="29"/>
    </row>
    <row r="644" spans="6:6" x14ac:dyDescent="0.25">
      <c r="F644" s="29"/>
    </row>
    <row r="645" spans="6:6" x14ac:dyDescent="0.25">
      <c r="F645" s="29"/>
    </row>
    <row r="646" spans="6:6" x14ac:dyDescent="0.25">
      <c r="F646" s="29"/>
    </row>
    <row r="647" spans="6:6" x14ac:dyDescent="0.25">
      <c r="F647" s="29"/>
    </row>
    <row r="648" spans="6:6" x14ac:dyDescent="0.25">
      <c r="F648" s="29"/>
    </row>
    <row r="649" spans="6:6" x14ac:dyDescent="0.25">
      <c r="F649" s="29"/>
    </row>
    <row r="650" spans="6:6" x14ac:dyDescent="0.25">
      <c r="F650" s="29"/>
    </row>
    <row r="651" spans="6:6" x14ac:dyDescent="0.25">
      <c r="F651" s="29"/>
    </row>
    <row r="652" spans="6:6" x14ac:dyDescent="0.25">
      <c r="F652" s="29"/>
    </row>
    <row r="653" spans="6:6" x14ac:dyDescent="0.25">
      <c r="F653" s="29"/>
    </row>
    <row r="654" spans="6:6" x14ac:dyDescent="0.25">
      <c r="F654" s="29"/>
    </row>
    <row r="655" spans="6:6" x14ac:dyDescent="0.25">
      <c r="F655" s="29"/>
    </row>
    <row r="656" spans="6:6" x14ac:dyDescent="0.25">
      <c r="F656" s="29"/>
    </row>
    <row r="657" spans="6:6" x14ac:dyDescent="0.25">
      <c r="F657" s="29"/>
    </row>
    <row r="658" spans="6:6" x14ac:dyDescent="0.25">
      <c r="F658" s="29"/>
    </row>
    <row r="659" spans="6:6" x14ac:dyDescent="0.25">
      <c r="F659" s="29"/>
    </row>
    <row r="660" spans="6:6" x14ac:dyDescent="0.25">
      <c r="F660" s="29"/>
    </row>
    <row r="661" spans="6:6" x14ac:dyDescent="0.25">
      <c r="F661" s="29"/>
    </row>
    <row r="662" spans="6:6" x14ac:dyDescent="0.25">
      <c r="F662" s="29"/>
    </row>
    <row r="663" spans="6:6" x14ac:dyDescent="0.25">
      <c r="F663" s="29"/>
    </row>
    <row r="664" spans="6:6" x14ac:dyDescent="0.25">
      <c r="F664" s="29"/>
    </row>
    <row r="665" spans="6:6" x14ac:dyDescent="0.25">
      <c r="F665" s="29"/>
    </row>
    <row r="666" spans="6:6" x14ac:dyDescent="0.25">
      <c r="F666" s="29"/>
    </row>
    <row r="667" spans="6:6" x14ac:dyDescent="0.25">
      <c r="F667" s="29"/>
    </row>
    <row r="668" spans="6:6" x14ac:dyDescent="0.25">
      <c r="F668" s="29"/>
    </row>
    <row r="669" spans="6:6" x14ac:dyDescent="0.25">
      <c r="F669" s="29"/>
    </row>
    <row r="670" spans="6:6" x14ac:dyDescent="0.25">
      <c r="F670" s="29"/>
    </row>
    <row r="671" spans="6:6" x14ac:dyDescent="0.25">
      <c r="F671" s="29"/>
    </row>
    <row r="672" spans="6:6" x14ac:dyDescent="0.25">
      <c r="F672" s="29"/>
    </row>
    <row r="673" spans="6:6" x14ac:dyDescent="0.25">
      <c r="F673" s="29"/>
    </row>
    <row r="674" spans="6:6" x14ac:dyDescent="0.25">
      <c r="F674" s="29"/>
    </row>
    <row r="675" spans="6:6" x14ac:dyDescent="0.25">
      <c r="F675" s="29"/>
    </row>
    <row r="676" spans="6:6" x14ac:dyDescent="0.25">
      <c r="F676" s="29"/>
    </row>
    <row r="677" spans="6:6" x14ac:dyDescent="0.25">
      <c r="F677" s="29"/>
    </row>
    <row r="678" spans="6:6" x14ac:dyDescent="0.25">
      <c r="F678" s="29"/>
    </row>
    <row r="679" spans="6:6" x14ac:dyDescent="0.25">
      <c r="F679" s="29"/>
    </row>
    <row r="680" spans="6:6" x14ac:dyDescent="0.25">
      <c r="F680" s="29"/>
    </row>
    <row r="681" spans="6:6" x14ac:dyDescent="0.25">
      <c r="F681" s="29"/>
    </row>
    <row r="682" spans="6:6" x14ac:dyDescent="0.25">
      <c r="F682" s="29"/>
    </row>
    <row r="683" spans="6:6" x14ac:dyDescent="0.25">
      <c r="F683" s="29"/>
    </row>
    <row r="684" spans="6:6" x14ac:dyDescent="0.25">
      <c r="F684" s="29"/>
    </row>
    <row r="685" spans="6:6" x14ac:dyDescent="0.25">
      <c r="F685" s="29"/>
    </row>
    <row r="686" spans="6:6" x14ac:dyDescent="0.25">
      <c r="F686" s="29"/>
    </row>
    <row r="687" spans="6:6" x14ac:dyDescent="0.25">
      <c r="F687" s="29"/>
    </row>
    <row r="688" spans="6:6" x14ac:dyDescent="0.25">
      <c r="F688" s="29"/>
    </row>
    <row r="689" spans="6:6" x14ac:dyDescent="0.25">
      <c r="F689" s="29"/>
    </row>
    <row r="690" spans="6:6" x14ac:dyDescent="0.25">
      <c r="F690" s="29"/>
    </row>
    <row r="691" spans="6:6" x14ac:dyDescent="0.25">
      <c r="F691" s="29"/>
    </row>
    <row r="692" spans="6:6" x14ac:dyDescent="0.25">
      <c r="F692" s="29"/>
    </row>
    <row r="693" spans="6:6" x14ac:dyDescent="0.25">
      <c r="F693" s="29"/>
    </row>
    <row r="694" spans="6:6" x14ac:dyDescent="0.25">
      <c r="F694" s="29"/>
    </row>
    <row r="695" spans="6:6" x14ac:dyDescent="0.25">
      <c r="F695" s="29"/>
    </row>
    <row r="696" spans="6:6" x14ac:dyDescent="0.25">
      <c r="F696" s="29"/>
    </row>
    <row r="697" spans="6:6" x14ac:dyDescent="0.25">
      <c r="F697" s="29"/>
    </row>
    <row r="698" spans="6:6" x14ac:dyDescent="0.25">
      <c r="F698" s="29"/>
    </row>
    <row r="699" spans="6:6" x14ac:dyDescent="0.25">
      <c r="F699" s="29"/>
    </row>
    <row r="700" spans="6:6" x14ac:dyDescent="0.25">
      <c r="F700" s="29"/>
    </row>
    <row r="701" spans="6:6" x14ac:dyDescent="0.25">
      <c r="F701" s="29"/>
    </row>
    <row r="702" spans="6:6" x14ac:dyDescent="0.25">
      <c r="F702" s="29"/>
    </row>
    <row r="703" spans="6:6" x14ac:dyDescent="0.25">
      <c r="F703" s="29"/>
    </row>
    <row r="704" spans="6:6" x14ac:dyDescent="0.25">
      <c r="F704" s="29"/>
    </row>
    <row r="705" spans="6:6" x14ac:dyDescent="0.25">
      <c r="F705" s="29"/>
    </row>
    <row r="706" spans="6:6" x14ac:dyDescent="0.25">
      <c r="F706" s="29"/>
    </row>
    <row r="707" spans="6:6" x14ac:dyDescent="0.25">
      <c r="F707" s="29"/>
    </row>
    <row r="708" spans="6:6" x14ac:dyDescent="0.25">
      <c r="F708" s="29"/>
    </row>
    <row r="709" spans="6:6" x14ac:dyDescent="0.25">
      <c r="F709" s="29"/>
    </row>
    <row r="710" spans="6:6" x14ac:dyDescent="0.25">
      <c r="F710" s="29"/>
    </row>
    <row r="711" spans="6:6" x14ac:dyDescent="0.25">
      <c r="F711" s="29"/>
    </row>
    <row r="712" spans="6:6" x14ac:dyDescent="0.25">
      <c r="F712" s="29"/>
    </row>
    <row r="713" spans="6:6" x14ac:dyDescent="0.25">
      <c r="F713" s="29"/>
    </row>
    <row r="714" spans="6:6" x14ac:dyDescent="0.25">
      <c r="F714" s="29"/>
    </row>
    <row r="715" spans="6:6" x14ac:dyDescent="0.25">
      <c r="F715" s="29"/>
    </row>
    <row r="716" spans="6:6" x14ac:dyDescent="0.25">
      <c r="F716" s="29"/>
    </row>
    <row r="717" spans="6:6" x14ac:dyDescent="0.25">
      <c r="F717" s="29"/>
    </row>
    <row r="718" spans="6:6" x14ac:dyDescent="0.25">
      <c r="F718" s="29"/>
    </row>
    <row r="719" spans="6:6" x14ac:dyDescent="0.25">
      <c r="F719" s="29"/>
    </row>
    <row r="720" spans="6:6" x14ac:dyDescent="0.25">
      <c r="F720" s="29"/>
    </row>
    <row r="721" spans="6:6" x14ac:dyDescent="0.25">
      <c r="F721" s="29"/>
    </row>
    <row r="722" spans="6:6" x14ac:dyDescent="0.25">
      <c r="F722" s="29"/>
    </row>
    <row r="723" spans="6:6" x14ac:dyDescent="0.25">
      <c r="F723" s="29"/>
    </row>
    <row r="724" spans="6:6" x14ac:dyDescent="0.25">
      <c r="F724" s="29"/>
    </row>
    <row r="725" spans="6:6" x14ac:dyDescent="0.25">
      <c r="F725" s="29"/>
    </row>
    <row r="726" spans="6:6" x14ac:dyDescent="0.25">
      <c r="F726" s="29"/>
    </row>
    <row r="727" spans="6:6" x14ac:dyDescent="0.25">
      <c r="F727" s="29"/>
    </row>
    <row r="728" spans="6:6" x14ac:dyDescent="0.25">
      <c r="F728" s="29"/>
    </row>
    <row r="729" spans="6:6" x14ac:dyDescent="0.25">
      <c r="F729" s="29"/>
    </row>
    <row r="730" spans="6:6" x14ac:dyDescent="0.25">
      <c r="F730" s="29"/>
    </row>
    <row r="731" spans="6:6" x14ac:dyDescent="0.25">
      <c r="F731" s="29"/>
    </row>
    <row r="732" spans="6:6" x14ac:dyDescent="0.25">
      <c r="F732" s="29"/>
    </row>
    <row r="733" spans="6:6" x14ac:dyDescent="0.25">
      <c r="F733" s="29"/>
    </row>
    <row r="734" spans="6:6" x14ac:dyDescent="0.25">
      <c r="F734" s="29"/>
    </row>
    <row r="735" spans="6:6" x14ac:dyDescent="0.25">
      <c r="F735" s="29"/>
    </row>
    <row r="736" spans="6:6" x14ac:dyDescent="0.25">
      <c r="F736" s="29"/>
    </row>
    <row r="737" spans="6:6" x14ac:dyDescent="0.25">
      <c r="F737" s="29"/>
    </row>
    <row r="738" spans="6:6" x14ac:dyDescent="0.25">
      <c r="F738" s="29"/>
    </row>
    <row r="739" spans="6:6" x14ac:dyDescent="0.25">
      <c r="F739" s="29"/>
    </row>
    <row r="740" spans="6:6" x14ac:dyDescent="0.25">
      <c r="F740" s="29"/>
    </row>
    <row r="741" spans="6:6" x14ac:dyDescent="0.25">
      <c r="F741" s="29"/>
    </row>
    <row r="742" spans="6:6" x14ac:dyDescent="0.25">
      <c r="F742" s="29"/>
    </row>
    <row r="743" spans="6:6" x14ac:dyDescent="0.25">
      <c r="F743" s="29"/>
    </row>
    <row r="744" spans="6:6" x14ac:dyDescent="0.25">
      <c r="F744" s="29"/>
    </row>
    <row r="745" spans="6:6" x14ac:dyDescent="0.25">
      <c r="F745" s="29"/>
    </row>
    <row r="746" spans="6:6" x14ac:dyDescent="0.25">
      <c r="F746" s="29"/>
    </row>
    <row r="747" spans="6:6" x14ac:dyDescent="0.25">
      <c r="F747" s="29"/>
    </row>
    <row r="748" spans="6:6" x14ac:dyDescent="0.25">
      <c r="F748" s="29"/>
    </row>
    <row r="749" spans="6:6" x14ac:dyDescent="0.25">
      <c r="F749" s="29"/>
    </row>
    <row r="750" spans="6:6" x14ac:dyDescent="0.25">
      <c r="F750" s="29"/>
    </row>
    <row r="751" spans="6:6" x14ac:dyDescent="0.25">
      <c r="F751" s="29"/>
    </row>
    <row r="752" spans="6:6" x14ac:dyDescent="0.25">
      <c r="F752" s="29"/>
    </row>
    <row r="753" spans="6:6" x14ac:dyDescent="0.25">
      <c r="F753" s="29"/>
    </row>
    <row r="754" spans="6:6" x14ac:dyDescent="0.25">
      <c r="F754" s="29"/>
    </row>
    <row r="755" spans="6:6" x14ac:dyDescent="0.25">
      <c r="F755" s="29"/>
    </row>
    <row r="756" spans="6:6" x14ac:dyDescent="0.25">
      <c r="F756" s="29"/>
    </row>
    <row r="757" spans="6:6" x14ac:dyDescent="0.25">
      <c r="F757" s="29"/>
    </row>
    <row r="758" spans="6:6" x14ac:dyDescent="0.25">
      <c r="F758" s="29"/>
    </row>
    <row r="759" spans="6:6" x14ac:dyDescent="0.25">
      <c r="F759" s="29"/>
    </row>
    <row r="760" spans="6:6" x14ac:dyDescent="0.25">
      <c r="F760" s="29"/>
    </row>
    <row r="761" spans="6:6" x14ac:dyDescent="0.25">
      <c r="F761" s="29"/>
    </row>
    <row r="762" spans="6:6" x14ac:dyDescent="0.25">
      <c r="F762" s="29"/>
    </row>
    <row r="763" spans="6:6" x14ac:dyDescent="0.25">
      <c r="F763" s="29"/>
    </row>
    <row r="764" spans="6:6" x14ac:dyDescent="0.25">
      <c r="F764" s="29"/>
    </row>
    <row r="765" spans="6:6" x14ac:dyDescent="0.25">
      <c r="F765" s="29"/>
    </row>
    <row r="766" spans="6:6" x14ac:dyDescent="0.25">
      <c r="F766" s="29"/>
    </row>
    <row r="767" spans="6:6" x14ac:dyDescent="0.25">
      <c r="F767" s="29"/>
    </row>
    <row r="768" spans="6:6" x14ac:dyDescent="0.25">
      <c r="F768" s="29"/>
    </row>
    <row r="769" spans="6:6" x14ac:dyDescent="0.25">
      <c r="F769" s="29"/>
    </row>
    <row r="770" spans="6:6" x14ac:dyDescent="0.25">
      <c r="F770" s="29"/>
    </row>
    <row r="771" spans="6:6" x14ac:dyDescent="0.25">
      <c r="F771" s="29"/>
    </row>
    <row r="772" spans="6:6" x14ac:dyDescent="0.25">
      <c r="F772" s="29"/>
    </row>
    <row r="773" spans="6:6" x14ac:dyDescent="0.25">
      <c r="F773" s="29"/>
    </row>
    <row r="774" spans="6:6" x14ac:dyDescent="0.25">
      <c r="F774" s="29"/>
    </row>
    <row r="775" spans="6:6" x14ac:dyDescent="0.25">
      <c r="F775" s="29"/>
    </row>
    <row r="776" spans="6:6" x14ac:dyDescent="0.25">
      <c r="F776" s="29"/>
    </row>
    <row r="777" spans="6:6" x14ac:dyDescent="0.25">
      <c r="F777" s="29"/>
    </row>
    <row r="778" spans="6:6" x14ac:dyDescent="0.25">
      <c r="F778" s="29"/>
    </row>
    <row r="779" spans="6:6" x14ac:dyDescent="0.25">
      <c r="F779" s="29"/>
    </row>
    <row r="780" spans="6:6" x14ac:dyDescent="0.25">
      <c r="F780" s="29"/>
    </row>
    <row r="781" spans="6:6" x14ac:dyDescent="0.25">
      <c r="F781" s="29"/>
    </row>
    <row r="782" spans="6:6" x14ac:dyDescent="0.25">
      <c r="F782" s="29"/>
    </row>
    <row r="783" spans="6:6" x14ac:dyDescent="0.25">
      <c r="F783" s="29"/>
    </row>
    <row r="784" spans="6:6" x14ac:dyDescent="0.25">
      <c r="F784" s="29"/>
    </row>
    <row r="785" spans="6:6" x14ac:dyDescent="0.25">
      <c r="F785" s="29"/>
    </row>
    <row r="786" spans="6:6" x14ac:dyDescent="0.25">
      <c r="F786" s="29"/>
    </row>
    <row r="787" spans="6:6" x14ac:dyDescent="0.25">
      <c r="F787" s="29"/>
    </row>
    <row r="788" spans="6:6" x14ac:dyDescent="0.25">
      <c r="F788" s="29"/>
    </row>
    <row r="789" spans="6:6" x14ac:dyDescent="0.25">
      <c r="F789" s="29"/>
    </row>
    <row r="790" spans="6:6" x14ac:dyDescent="0.25">
      <c r="F790" s="29"/>
    </row>
    <row r="791" spans="6:6" x14ac:dyDescent="0.25">
      <c r="F791" s="29"/>
    </row>
    <row r="792" spans="6:6" x14ac:dyDescent="0.25">
      <c r="F792" s="29"/>
    </row>
    <row r="793" spans="6:6" x14ac:dyDescent="0.25">
      <c r="F793" s="29"/>
    </row>
    <row r="794" spans="6:6" x14ac:dyDescent="0.25">
      <c r="F794" s="29"/>
    </row>
    <row r="795" spans="6:6" x14ac:dyDescent="0.25">
      <c r="F795" s="29"/>
    </row>
    <row r="796" spans="6:6" x14ac:dyDescent="0.25">
      <c r="F796" s="29"/>
    </row>
    <row r="797" spans="6:6" x14ac:dyDescent="0.25">
      <c r="F797" s="29"/>
    </row>
    <row r="798" spans="6:6" x14ac:dyDescent="0.25">
      <c r="F798" s="29"/>
    </row>
    <row r="799" spans="6:6" x14ac:dyDescent="0.25">
      <c r="F799" s="29"/>
    </row>
    <row r="800" spans="6:6" x14ac:dyDescent="0.25">
      <c r="F800" s="29"/>
    </row>
    <row r="801" spans="6:6" x14ac:dyDescent="0.25">
      <c r="F801" s="29"/>
    </row>
    <row r="802" spans="6:6" x14ac:dyDescent="0.25">
      <c r="F802" s="29"/>
    </row>
    <row r="803" spans="6:6" x14ac:dyDescent="0.25">
      <c r="F803" s="29"/>
    </row>
    <row r="804" spans="6:6" x14ac:dyDescent="0.25">
      <c r="F804" s="29"/>
    </row>
    <row r="805" spans="6:6" x14ac:dyDescent="0.25">
      <c r="F805" s="29"/>
    </row>
    <row r="806" spans="6:6" x14ac:dyDescent="0.25">
      <c r="F806" s="29"/>
    </row>
    <row r="807" spans="6:6" x14ac:dyDescent="0.25">
      <c r="F807" s="29"/>
    </row>
    <row r="808" spans="6:6" x14ac:dyDescent="0.25">
      <c r="F808" s="29"/>
    </row>
    <row r="809" spans="6:6" x14ac:dyDescent="0.25">
      <c r="F809" s="29"/>
    </row>
    <row r="810" spans="6:6" x14ac:dyDescent="0.25">
      <c r="F810" s="29"/>
    </row>
    <row r="811" spans="6:6" x14ac:dyDescent="0.25">
      <c r="F811" s="29"/>
    </row>
    <row r="812" spans="6:6" x14ac:dyDescent="0.25">
      <c r="F812" s="29"/>
    </row>
    <row r="813" spans="6:6" x14ac:dyDescent="0.25">
      <c r="F813" s="29"/>
    </row>
    <row r="814" spans="6:6" x14ac:dyDescent="0.25">
      <c r="F814" s="29"/>
    </row>
    <row r="815" spans="6:6" x14ac:dyDescent="0.25">
      <c r="F815" s="29"/>
    </row>
    <row r="816" spans="6:6" x14ac:dyDescent="0.25">
      <c r="F816" s="29"/>
    </row>
    <row r="817" spans="6:6" x14ac:dyDescent="0.25">
      <c r="F817" s="29"/>
    </row>
    <row r="818" spans="6:6" x14ac:dyDescent="0.25">
      <c r="F818" s="29"/>
    </row>
    <row r="819" spans="6:6" x14ac:dyDescent="0.25">
      <c r="F819" s="29"/>
    </row>
    <row r="820" spans="6:6" x14ac:dyDescent="0.25">
      <c r="F820" s="29"/>
    </row>
    <row r="821" spans="6:6" x14ac:dyDescent="0.25">
      <c r="F821" s="29"/>
    </row>
    <row r="822" spans="6:6" x14ac:dyDescent="0.25">
      <c r="F822" s="29"/>
    </row>
    <row r="823" spans="6:6" x14ac:dyDescent="0.25">
      <c r="F823" s="29"/>
    </row>
    <row r="824" spans="6:6" x14ac:dyDescent="0.25">
      <c r="F824" s="29"/>
    </row>
    <row r="825" spans="6:6" x14ac:dyDescent="0.25">
      <c r="F825" s="29"/>
    </row>
    <row r="826" spans="6:6" x14ac:dyDescent="0.25">
      <c r="F826" s="29"/>
    </row>
    <row r="827" spans="6:6" x14ac:dyDescent="0.25">
      <c r="F827" s="29"/>
    </row>
    <row r="828" spans="6:6" x14ac:dyDescent="0.25">
      <c r="F828" s="29"/>
    </row>
    <row r="829" spans="6:6" x14ac:dyDescent="0.25">
      <c r="F829" s="29"/>
    </row>
    <row r="830" spans="6:6" x14ac:dyDescent="0.25">
      <c r="F830" s="29"/>
    </row>
    <row r="831" spans="6:6" x14ac:dyDescent="0.25">
      <c r="F831" s="29"/>
    </row>
    <row r="832" spans="6:6" x14ac:dyDescent="0.25">
      <c r="F832" s="29"/>
    </row>
    <row r="833" spans="6:6" x14ac:dyDescent="0.25">
      <c r="F833" s="29"/>
    </row>
    <row r="834" spans="6:6" x14ac:dyDescent="0.25">
      <c r="F834" s="29"/>
    </row>
    <row r="835" spans="6:6" x14ac:dyDescent="0.25">
      <c r="F835" s="29"/>
    </row>
    <row r="836" spans="6:6" x14ac:dyDescent="0.25">
      <c r="F836" s="29"/>
    </row>
    <row r="837" spans="6:6" x14ac:dyDescent="0.25">
      <c r="F837" s="29"/>
    </row>
    <row r="838" spans="6:6" x14ac:dyDescent="0.25">
      <c r="F838" s="29"/>
    </row>
    <row r="839" spans="6:6" x14ac:dyDescent="0.25">
      <c r="F839" s="29"/>
    </row>
    <row r="840" spans="6:6" x14ac:dyDescent="0.25">
      <c r="F840" s="29"/>
    </row>
    <row r="841" spans="6:6" x14ac:dyDescent="0.25">
      <c r="F841" s="29"/>
    </row>
    <row r="842" spans="6:6" x14ac:dyDescent="0.25">
      <c r="F842" s="29"/>
    </row>
    <row r="843" spans="6:6" x14ac:dyDescent="0.25">
      <c r="F843" s="29"/>
    </row>
    <row r="844" spans="6:6" x14ac:dyDescent="0.25">
      <c r="F844" s="29"/>
    </row>
    <row r="845" spans="6:6" x14ac:dyDescent="0.25">
      <c r="F845" s="29"/>
    </row>
    <row r="846" spans="6:6" x14ac:dyDescent="0.25">
      <c r="F846" s="29"/>
    </row>
    <row r="847" spans="6:6" x14ac:dyDescent="0.25">
      <c r="F847" s="29"/>
    </row>
    <row r="848" spans="6:6" x14ac:dyDescent="0.25">
      <c r="F848" s="29"/>
    </row>
    <row r="849" spans="6:6" x14ac:dyDescent="0.25">
      <c r="F849" s="29"/>
    </row>
    <row r="850" spans="6:6" x14ac:dyDescent="0.25">
      <c r="F850" s="29"/>
    </row>
    <row r="851" spans="6:6" x14ac:dyDescent="0.25">
      <c r="F851" s="29"/>
    </row>
    <row r="852" spans="6:6" x14ac:dyDescent="0.25">
      <c r="F852" s="29"/>
    </row>
    <row r="853" spans="6:6" x14ac:dyDescent="0.25">
      <c r="F853" s="29"/>
    </row>
    <row r="854" spans="6:6" x14ac:dyDescent="0.25">
      <c r="F854" s="29"/>
    </row>
    <row r="855" spans="6:6" x14ac:dyDescent="0.25">
      <c r="F855" s="29"/>
    </row>
    <row r="856" spans="6:6" x14ac:dyDescent="0.25">
      <c r="F856" s="29"/>
    </row>
    <row r="857" spans="6:6" x14ac:dyDescent="0.25">
      <c r="F857" s="29"/>
    </row>
    <row r="858" spans="6:6" x14ac:dyDescent="0.25">
      <c r="F858" s="29"/>
    </row>
    <row r="859" spans="6:6" x14ac:dyDescent="0.25">
      <c r="F859" s="29"/>
    </row>
    <row r="860" spans="6:6" x14ac:dyDescent="0.25">
      <c r="F860" s="29"/>
    </row>
    <row r="861" spans="6:6" x14ac:dyDescent="0.25">
      <c r="F861" s="29"/>
    </row>
    <row r="862" spans="6:6" x14ac:dyDescent="0.25">
      <c r="F862" s="29"/>
    </row>
    <row r="863" spans="6:6" x14ac:dyDescent="0.25">
      <c r="F863" s="29"/>
    </row>
    <row r="864" spans="6:6" x14ac:dyDescent="0.25">
      <c r="F864" s="29"/>
    </row>
    <row r="865" spans="6:6" x14ac:dyDescent="0.25">
      <c r="F865" s="29"/>
    </row>
    <row r="866" spans="6:6" x14ac:dyDescent="0.25">
      <c r="F866" s="29"/>
    </row>
    <row r="867" spans="6:6" x14ac:dyDescent="0.25">
      <c r="F867" s="29"/>
    </row>
    <row r="868" spans="6:6" x14ac:dyDescent="0.25">
      <c r="F868" s="29"/>
    </row>
    <row r="869" spans="6:6" x14ac:dyDescent="0.25">
      <c r="F869" s="29"/>
    </row>
    <row r="870" spans="6:6" x14ac:dyDescent="0.25">
      <c r="F870" s="29"/>
    </row>
    <row r="871" spans="6:6" x14ac:dyDescent="0.25">
      <c r="F871" s="29"/>
    </row>
    <row r="872" spans="6:6" x14ac:dyDescent="0.25">
      <c r="F872" s="29"/>
    </row>
    <row r="873" spans="6:6" x14ac:dyDescent="0.25">
      <c r="F873" s="29"/>
    </row>
    <row r="874" spans="6:6" x14ac:dyDescent="0.25">
      <c r="F874" s="29"/>
    </row>
    <row r="875" spans="6:6" x14ac:dyDescent="0.25">
      <c r="F875" s="29"/>
    </row>
    <row r="876" spans="6:6" x14ac:dyDescent="0.25">
      <c r="F876" s="29"/>
    </row>
    <row r="877" spans="6:6" x14ac:dyDescent="0.25">
      <c r="F877" s="29"/>
    </row>
    <row r="878" spans="6:6" x14ac:dyDescent="0.25">
      <c r="F878" s="29"/>
    </row>
    <row r="879" spans="6:6" x14ac:dyDescent="0.25">
      <c r="F879" s="29"/>
    </row>
    <row r="880" spans="6:6" x14ac:dyDescent="0.25">
      <c r="F880" s="29"/>
    </row>
    <row r="881" spans="6:6" x14ac:dyDescent="0.25">
      <c r="F881" s="29"/>
    </row>
    <row r="882" spans="6:6" x14ac:dyDescent="0.25">
      <c r="F882" s="29"/>
    </row>
    <row r="883" spans="6:6" x14ac:dyDescent="0.25">
      <c r="F883" s="29"/>
    </row>
    <row r="884" spans="6:6" x14ac:dyDescent="0.25">
      <c r="F884" s="29"/>
    </row>
    <row r="885" spans="6:6" x14ac:dyDescent="0.25">
      <c r="F885" s="29"/>
    </row>
    <row r="886" spans="6:6" x14ac:dyDescent="0.25">
      <c r="F886" s="29"/>
    </row>
    <row r="887" spans="6:6" x14ac:dyDescent="0.25">
      <c r="F887" s="29"/>
    </row>
    <row r="888" spans="6:6" x14ac:dyDescent="0.25">
      <c r="F888" s="29"/>
    </row>
    <row r="889" spans="6:6" x14ac:dyDescent="0.25">
      <c r="F889" s="29"/>
    </row>
    <row r="890" spans="6:6" x14ac:dyDescent="0.25">
      <c r="F890" s="29"/>
    </row>
    <row r="891" spans="6:6" x14ac:dyDescent="0.25">
      <c r="F891" s="29"/>
    </row>
    <row r="892" spans="6:6" x14ac:dyDescent="0.25">
      <c r="F892" s="29"/>
    </row>
    <row r="893" spans="6:6" x14ac:dyDescent="0.25">
      <c r="F893" s="29"/>
    </row>
    <row r="894" spans="6:6" x14ac:dyDescent="0.25">
      <c r="F894" s="29"/>
    </row>
    <row r="895" spans="6:6" x14ac:dyDescent="0.25">
      <c r="F895" s="29"/>
    </row>
    <row r="896" spans="6:6" x14ac:dyDescent="0.25">
      <c r="F896" s="29"/>
    </row>
    <row r="897" spans="6:6" x14ac:dyDescent="0.25">
      <c r="F897" s="29"/>
    </row>
    <row r="898" spans="6:6" x14ac:dyDescent="0.25">
      <c r="F898" s="29"/>
    </row>
    <row r="899" spans="6:6" x14ac:dyDescent="0.25">
      <c r="F899" s="29"/>
    </row>
    <row r="900" spans="6:6" x14ac:dyDescent="0.25">
      <c r="F900" s="29"/>
    </row>
    <row r="901" spans="6:6" x14ac:dyDescent="0.25">
      <c r="F901" s="29"/>
    </row>
    <row r="902" spans="6:6" x14ac:dyDescent="0.25">
      <c r="F902" s="29"/>
    </row>
    <row r="903" spans="6:6" x14ac:dyDescent="0.25">
      <c r="F903" s="29"/>
    </row>
    <row r="904" spans="6:6" x14ac:dyDescent="0.25">
      <c r="F904" s="29"/>
    </row>
    <row r="905" spans="6:6" x14ac:dyDescent="0.25">
      <c r="F905" s="29"/>
    </row>
    <row r="906" spans="6:6" x14ac:dyDescent="0.25">
      <c r="F906" s="29"/>
    </row>
    <row r="907" spans="6:6" x14ac:dyDescent="0.25">
      <c r="F907" s="29"/>
    </row>
    <row r="908" spans="6:6" x14ac:dyDescent="0.25">
      <c r="F908" s="29"/>
    </row>
    <row r="909" spans="6:6" x14ac:dyDescent="0.25">
      <c r="F909" s="29"/>
    </row>
    <row r="910" spans="6:6" x14ac:dyDescent="0.25">
      <c r="F910" s="29"/>
    </row>
    <row r="911" spans="6:6" x14ac:dyDescent="0.25">
      <c r="F911" s="29"/>
    </row>
    <row r="912" spans="6:6" x14ac:dyDescent="0.25">
      <c r="F912" s="29"/>
    </row>
    <row r="913" spans="6:6" x14ac:dyDescent="0.25">
      <c r="F913" s="29"/>
    </row>
    <row r="914" spans="6:6" x14ac:dyDescent="0.25">
      <c r="F914" s="29"/>
    </row>
    <row r="915" spans="6:6" x14ac:dyDescent="0.25">
      <c r="F915" s="29"/>
    </row>
    <row r="916" spans="6:6" x14ac:dyDescent="0.25">
      <c r="F916" s="29"/>
    </row>
    <row r="917" spans="6:6" x14ac:dyDescent="0.25">
      <c r="F917" s="29"/>
    </row>
    <row r="918" spans="6:6" x14ac:dyDescent="0.25">
      <c r="F918" s="29"/>
    </row>
    <row r="919" spans="6:6" x14ac:dyDescent="0.25">
      <c r="F919" s="29"/>
    </row>
    <row r="920" spans="6:6" x14ac:dyDescent="0.25">
      <c r="F920" s="29"/>
    </row>
    <row r="921" spans="6:6" x14ac:dyDescent="0.25">
      <c r="F921" s="29"/>
    </row>
    <row r="922" spans="6:6" x14ac:dyDescent="0.25">
      <c r="F922" s="29"/>
    </row>
    <row r="923" spans="6:6" x14ac:dyDescent="0.25">
      <c r="F923" s="29"/>
    </row>
    <row r="924" spans="6:6" x14ac:dyDescent="0.25">
      <c r="F924" s="29"/>
    </row>
    <row r="925" spans="6:6" x14ac:dyDescent="0.25">
      <c r="F925" s="29"/>
    </row>
    <row r="926" spans="6:6" x14ac:dyDescent="0.25">
      <c r="F926" s="29"/>
    </row>
    <row r="927" spans="6:6" x14ac:dyDescent="0.25">
      <c r="F927" s="29"/>
    </row>
    <row r="928" spans="6:6" x14ac:dyDescent="0.25">
      <c r="F928" s="29"/>
    </row>
    <row r="929" spans="6:6" x14ac:dyDescent="0.25">
      <c r="F929" s="29"/>
    </row>
    <row r="930" spans="6:6" x14ac:dyDescent="0.25">
      <c r="F930" s="29"/>
    </row>
    <row r="931" spans="6:6" x14ac:dyDescent="0.25">
      <c r="F931" s="29"/>
    </row>
    <row r="932" spans="6:6" x14ac:dyDescent="0.25">
      <c r="F932" s="29"/>
    </row>
    <row r="933" spans="6:6" x14ac:dyDescent="0.25">
      <c r="F933" s="29"/>
    </row>
    <row r="934" spans="6:6" x14ac:dyDescent="0.25">
      <c r="F934" s="29"/>
    </row>
    <row r="935" spans="6:6" x14ac:dyDescent="0.25">
      <c r="F935" s="29"/>
    </row>
    <row r="936" spans="6:6" x14ac:dyDescent="0.25">
      <c r="F936" s="29"/>
    </row>
    <row r="937" spans="6:6" x14ac:dyDescent="0.25">
      <c r="F937" s="29"/>
    </row>
    <row r="938" spans="6:6" x14ac:dyDescent="0.25">
      <c r="F938" s="29"/>
    </row>
    <row r="939" spans="6:6" x14ac:dyDescent="0.25">
      <c r="F939" s="29"/>
    </row>
    <row r="940" spans="6:6" x14ac:dyDescent="0.25">
      <c r="F940" s="29"/>
    </row>
    <row r="941" spans="6:6" x14ac:dyDescent="0.25">
      <c r="F941" s="29"/>
    </row>
    <row r="942" spans="6:6" x14ac:dyDescent="0.25">
      <c r="F942" s="29"/>
    </row>
    <row r="943" spans="6:6" x14ac:dyDescent="0.25">
      <c r="F943" s="29"/>
    </row>
    <row r="944" spans="6:6" x14ac:dyDescent="0.25">
      <c r="F944" s="29"/>
    </row>
    <row r="945" spans="6:6" x14ac:dyDescent="0.25">
      <c r="F945" s="29"/>
    </row>
    <row r="946" spans="6:6" x14ac:dyDescent="0.25">
      <c r="F946" s="29"/>
    </row>
    <row r="947" spans="6:6" x14ac:dyDescent="0.25">
      <c r="F947" s="29"/>
    </row>
    <row r="948" spans="6:6" x14ac:dyDescent="0.25">
      <c r="F948" s="29"/>
    </row>
    <row r="949" spans="6:6" x14ac:dyDescent="0.25">
      <c r="F949" s="29"/>
    </row>
    <row r="950" spans="6:6" x14ac:dyDescent="0.25">
      <c r="F950" s="29"/>
    </row>
    <row r="951" spans="6:6" x14ac:dyDescent="0.25">
      <c r="F951" s="29"/>
    </row>
    <row r="952" spans="6:6" x14ac:dyDescent="0.25">
      <c r="F952" s="29"/>
    </row>
    <row r="953" spans="6:6" x14ac:dyDescent="0.25">
      <c r="F953" s="29"/>
    </row>
    <row r="954" spans="6:6" x14ac:dyDescent="0.25">
      <c r="F954" s="29"/>
    </row>
    <row r="955" spans="6:6" x14ac:dyDescent="0.25">
      <c r="F955" s="29"/>
    </row>
    <row r="956" spans="6:6" x14ac:dyDescent="0.25">
      <c r="F956" s="29"/>
    </row>
    <row r="957" spans="6:6" x14ac:dyDescent="0.25">
      <c r="F957" s="29"/>
    </row>
    <row r="958" spans="6:6" x14ac:dyDescent="0.25">
      <c r="F958" s="29"/>
    </row>
    <row r="959" spans="6:6" x14ac:dyDescent="0.25">
      <c r="F959" s="29"/>
    </row>
    <row r="960" spans="6:6" x14ac:dyDescent="0.25">
      <c r="F960" s="29"/>
    </row>
    <row r="961" spans="6:6" x14ac:dyDescent="0.25">
      <c r="F961" s="29"/>
    </row>
    <row r="962" spans="6:6" x14ac:dyDescent="0.25">
      <c r="F962" s="29"/>
    </row>
    <row r="963" spans="6:6" x14ac:dyDescent="0.25">
      <c r="F963" s="29"/>
    </row>
    <row r="964" spans="6:6" x14ac:dyDescent="0.25">
      <c r="F964" s="29"/>
    </row>
    <row r="965" spans="6:6" x14ac:dyDescent="0.25">
      <c r="F965" s="29"/>
    </row>
    <row r="966" spans="6:6" x14ac:dyDescent="0.25">
      <c r="F966" s="29"/>
    </row>
    <row r="967" spans="6:6" x14ac:dyDescent="0.25">
      <c r="F967" s="29"/>
    </row>
    <row r="968" spans="6:6" x14ac:dyDescent="0.25">
      <c r="F968" s="29"/>
    </row>
    <row r="969" spans="6:6" x14ac:dyDescent="0.25">
      <c r="F969" s="29"/>
    </row>
    <row r="970" spans="6:6" x14ac:dyDescent="0.25">
      <c r="F970" s="29"/>
    </row>
    <row r="971" spans="6:6" x14ac:dyDescent="0.25">
      <c r="F971" s="29"/>
    </row>
    <row r="972" spans="6:6" x14ac:dyDescent="0.25">
      <c r="F972" s="29"/>
    </row>
    <row r="973" spans="6:6" x14ac:dyDescent="0.25">
      <c r="F973" s="29"/>
    </row>
    <row r="974" spans="6:6" x14ac:dyDescent="0.25">
      <c r="F974" s="29"/>
    </row>
    <row r="975" spans="6:6" x14ac:dyDescent="0.25">
      <c r="F975" s="29"/>
    </row>
    <row r="976" spans="6:6" x14ac:dyDescent="0.25">
      <c r="F976" s="29"/>
    </row>
    <row r="977" spans="6:6" x14ac:dyDescent="0.25">
      <c r="F977" s="29"/>
    </row>
    <row r="978" spans="6:6" x14ac:dyDescent="0.25">
      <c r="F978" s="29"/>
    </row>
    <row r="979" spans="6:6" x14ac:dyDescent="0.25">
      <c r="F979" s="29"/>
    </row>
    <row r="980" spans="6:6" x14ac:dyDescent="0.25">
      <c r="F980" s="29"/>
    </row>
    <row r="981" spans="6:6" x14ac:dyDescent="0.25">
      <c r="F981" s="29"/>
    </row>
    <row r="982" spans="6:6" x14ac:dyDescent="0.25">
      <c r="F982" s="29"/>
    </row>
    <row r="983" spans="6:6" x14ac:dyDescent="0.25">
      <c r="F983" s="29"/>
    </row>
    <row r="984" spans="6:6" x14ac:dyDescent="0.25">
      <c r="F984" s="29"/>
    </row>
    <row r="985" spans="6:6" x14ac:dyDescent="0.25">
      <c r="F985" s="29"/>
    </row>
    <row r="986" spans="6:6" x14ac:dyDescent="0.25">
      <c r="F986" s="29"/>
    </row>
    <row r="987" spans="6:6" x14ac:dyDescent="0.25">
      <c r="F987" s="29"/>
    </row>
    <row r="988" spans="6:6" x14ac:dyDescent="0.25">
      <c r="F988" s="29"/>
    </row>
    <row r="989" spans="6:6" x14ac:dyDescent="0.25">
      <c r="F989" s="29"/>
    </row>
    <row r="990" spans="6:6" x14ac:dyDescent="0.25">
      <c r="F990" s="29"/>
    </row>
    <row r="991" spans="6:6" x14ac:dyDescent="0.25">
      <c r="F991" s="29"/>
    </row>
    <row r="992" spans="6:6" x14ac:dyDescent="0.25">
      <c r="F992" s="29"/>
    </row>
    <row r="993" spans="6:6" x14ac:dyDescent="0.25">
      <c r="F993" s="29"/>
    </row>
    <row r="994" spans="6:6" x14ac:dyDescent="0.25">
      <c r="F994" s="29"/>
    </row>
    <row r="995" spans="6:6" x14ac:dyDescent="0.25">
      <c r="F995" s="29"/>
    </row>
    <row r="996" spans="6:6" x14ac:dyDescent="0.25">
      <c r="F996" s="29"/>
    </row>
    <row r="997" spans="6:6" x14ac:dyDescent="0.25">
      <c r="F997" s="29"/>
    </row>
    <row r="998" spans="6:6" x14ac:dyDescent="0.25">
      <c r="F998" s="29"/>
    </row>
    <row r="999" spans="6:6" x14ac:dyDescent="0.25">
      <c r="F999" s="29"/>
    </row>
    <row r="1000" spans="6:6" x14ac:dyDescent="0.25">
      <c r="F1000" s="29"/>
    </row>
    <row r="1001" spans="6:6" x14ac:dyDescent="0.25">
      <c r="F1001" s="29"/>
    </row>
    <row r="1002" spans="6:6" x14ac:dyDescent="0.25">
      <c r="F1002" s="29"/>
    </row>
    <row r="1003" spans="6:6" x14ac:dyDescent="0.25">
      <c r="F1003" s="29"/>
    </row>
    <row r="1004" spans="6:6" x14ac:dyDescent="0.25">
      <c r="F1004" s="29"/>
    </row>
    <row r="1005" spans="6:6" x14ac:dyDescent="0.25">
      <c r="F1005" s="29"/>
    </row>
    <row r="1006" spans="6:6" x14ac:dyDescent="0.25">
      <c r="F1006" s="29"/>
    </row>
    <row r="1007" spans="6:6" x14ac:dyDescent="0.25">
      <c r="F1007" s="29"/>
    </row>
    <row r="1008" spans="6:6" x14ac:dyDescent="0.25">
      <c r="F1008" s="29"/>
    </row>
    <row r="1009" spans="6:6" x14ac:dyDescent="0.25">
      <c r="F1009" s="29"/>
    </row>
    <row r="1010" spans="6:6" x14ac:dyDescent="0.25">
      <c r="F1010" s="29"/>
    </row>
    <row r="1011" spans="6:6" x14ac:dyDescent="0.25">
      <c r="F1011" s="29"/>
    </row>
    <row r="1012" spans="6:6" x14ac:dyDescent="0.25">
      <c r="F1012" s="29"/>
    </row>
    <row r="1013" spans="6:6" x14ac:dyDescent="0.25">
      <c r="F1013" s="29"/>
    </row>
    <row r="1014" spans="6:6" x14ac:dyDescent="0.25">
      <c r="F1014" s="29"/>
    </row>
    <row r="1015" spans="6:6" x14ac:dyDescent="0.25">
      <c r="F1015" s="29"/>
    </row>
    <row r="1016" spans="6:6" x14ac:dyDescent="0.25">
      <c r="F1016" s="29"/>
    </row>
    <row r="1017" spans="6:6" x14ac:dyDescent="0.25">
      <c r="F1017" s="29"/>
    </row>
    <row r="1018" spans="6:6" x14ac:dyDescent="0.25">
      <c r="F1018" s="29"/>
    </row>
    <row r="1019" spans="6:6" x14ac:dyDescent="0.25">
      <c r="F1019" s="29"/>
    </row>
    <row r="1020" spans="6:6" x14ac:dyDescent="0.25">
      <c r="F1020" s="29"/>
    </row>
    <row r="1021" spans="6:6" x14ac:dyDescent="0.25">
      <c r="F1021" s="29"/>
    </row>
    <row r="1022" spans="6:6" x14ac:dyDescent="0.25">
      <c r="F1022" s="29"/>
    </row>
    <row r="1023" spans="6:6" x14ac:dyDescent="0.25">
      <c r="F1023" s="29"/>
    </row>
    <row r="1024" spans="6:6" x14ac:dyDescent="0.25">
      <c r="F1024" s="29"/>
    </row>
    <row r="1025" spans="6:6" x14ac:dyDescent="0.25">
      <c r="F1025" s="29"/>
    </row>
    <row r="1026" spans="6:6" x14ac:dyDescent="0.25">
      <c r="F1026" s="29"/>
    </row>
    <row r="1027" spans="6:6" x14ac:dyDescent="0.25">
      <c r="F1027" s="29"/>
    </row>
    <row r="1028" spans="6:6" x14ac:dyDescent="0.25">
      <c r="F1028" s="29"/>
    </row>
    <row r="1029" spans="6:6" x14ac:dyDescent="0.25">
      <c r="F1029" s="29"/>
    </row>
    <row r="1030" spans="6:6" x14ac:dyDescent="0.25">
      <c r="F1030" s="29"/>
    </row>
    <row r="1031" spans="6:6" x14ac:dyDescent="0.25">
      <c r="F1031" s="29"/>
    </row>
    <row r="1032" spans="6:6" x14ac:dyDescent="0.25">
      <c r="F1032" s="29"/>
    </row>
    <row r="1033" spans="6:6" x14ac:dyDescent="0.25">
      <c r="F1033" s="29"/>
    </row>
    <row r="1034" spans="6:6" x14ac:dyDescent="0.25">
      <c r="F1034" s="29"/>
    </row>
    <row r="1035" spans="6:6" x14ac:dyDescent="0.25">
      <c r="F1035" s="29"/>
    </row>
    <row r="1036" spans="6:6" x14ac:dyDescent="0.25">
      <c r="F1036" s="29"/>
    </row>
    <row r="1037" spans="6:6" x14ac:dyDescent="0.25">
      <c r="F1037" s="29"/>
    </row>
    <row r="1038" spans="6:6" x14ac:dyDescent="0.25">
      <c r="F1038" s="29"/>
    </row>
    <row r="1039" spans="6:6" x14ac:dyDescent="0.25">
      <c r="F1039" s="29"/>
    </row>
  </sheetData>
  <mergeCells count="1">
    <mergeCell ref="U1:X1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19</xdr:col>
                <xdr:colOff>666750</xdr:colOff>
                <xdr:row>1</xdr:row>
                <xdr:rowOff>142875</xdr:rowOff>
              </from>
              <to>
                <xdr:col>27</xdr:col>
                <xdr:colOff>190500</xdr:colOff>
                <xdr:row>3</xdr:row>
                <xdr:rowOff>9525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20</xdr:col>
                <xdr:colOff>0</xdr:colOff>
                <xdr:row>3</xdr:row>
                <xdr:rowOff>85725</xdr:rowOff>
              </from>
              <to>
                <xdr:col>22</xdr:col>
                <xdr:colOff>266700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030"/>
  <sheetViews>
    <sheetView workbookViewId="0">
      <selection activeCell="B2" sqref="B2"/>
    </sheetView>
  </sheetViews>
  <sheetFormatPr defaultRowHeight="15" x14ac:dyDescent="0.25"/>
  <cols>
    <col min="1" max="1" width="4" customWidth="1"/>
    <col min="2" max="2" width="22.85546875" customWidth="1"/>
    <col min="3" max="3" width="8.140625" customWidth="1"/>
    <col min="4" max="4" width="5" customWidth="1"/>
    <col min="5" max="5" width="23.7109375" customWidth="1"/>
    <col min="6" max="6" width="10.85546875" customWidth="1"/>
    <col min="7" max="7" width="6.7109375" style="5" customWidth="1"/>
    <col min="8" max="8" width="6.7109375" customWidth="1"/>
    <col min="9" max="9" width="8.7109375" customWidth="1"/>
    <col min="10" max="10" width="5.140625" customWidth="1"/>
    <col min="11" max="11" width="10.140625" customWidth="1"/>
    <col min="12" max="14" width="9.140625" customWidth="1"/>
  </cols>
  <sheetData>
    <row r="1" spans="1:9" x14ac:dyDescent="0.25">
      <c r="A1" t="s">
        <v>127</v>
      </c>
      <c r="B1" t="s">
        <v>128</v>
      </c>
      <c r="C1" t="s">
        <v>129</v>
      </c>
      <c r="D1">
        <v>1236</v>
      </c>
      <c r="E1" t="s">
        <v>130</v>
      </c>
      <c r="F1" t="s">
        <v>131</v>
      </c>
      <c r="G1" t="s">
        <v>132</v>
      </c>
      <c r="H1" t="s">
        <v>133</v>
      </c>
      <c r="I1" s="90">
        <v>43163</v>
      </c>
    </row>
    <row r="2" spans="1:9" x14ac:dyDescent="0.25">
      <c r="A2">
        <v>1</v>
      </c>
      <c r="B2">
        <v>20.48</v>
      </c>
      <c r="C2" s="1">
        <v>0.80684027777777778</v>
      </c>
      <c r="G2"/>
    </row>
    <row r="3" spans="1:9" x14ac:dyDescent="0.25">
      <c r="A3">
        <v>2</v>
      </c>
      <c r="B3">
        <v>20.48</v>
      </c>
      <c r="C3" s="1">
        <v>0.80686342592592597</v>
      </c>
      <c r="G3"/>
    </row>
    <row r="4" spans="1:9" x14ac:dyDescent="0.25">
      <c r="A4">
        <v>3</v>
      </c>
      <c r="B4">
        <v>20.6</v>
      </c>
      <c r="C4" s="1">
        <v>0.8068749999999999</v>
      </c>
      <c r="G4"/>
    </row>
    <row r="5" spans="1:9" x14ac:dyDescent="0.25">
      <c r="A5">
        <v>4</v>
      </c>
      <c r="B5">
        <v>20.6</v>
      </c>
      <c r="C5" s="1">
        <v>0.80688657407407405</v>
      </c>
      <c r="G5"/>
    </row>
    <row r="6" spans="1:9" x14ac:dyDescent="0.25">
      <c r="A6">
        <v>5</v>
      </c>
      <c r="B6">
        <v>20.6</v>
      </c>
      <c r="C6" s="1">
        <v>0.80696759259259254</v>
      </c>
      <c r="G6"/>
    </row>
    <row r="7" spans="1:9" x14ac:dyDescent="0.25">
      <c r="A7">
        <v>6</v>
      </c>
      <c r="B7">
        <v>20.48</v>
      </c>
      <c r="C7" s="1">
        <v>0.80684027777777778</v>
      </c>
      <c r="G7"/>
    </row>
    <row r="8" spans="1:9" x14ac:dyDescent="0.25">
      <c r="A8">
        <v>7</v>
      </c>
      <c r="B8">
        <v>20.48</v>
      </c>
      <c r="C8" s="1">
        <v>0.80686342592592597</v>
      </c>
      <c r="G8"/>
    </row>
    <row r="9" spans="1:9" x14ac:dyDescent="0.25">
      <c r="A9">
        <v>8</v>
      </c>
      <c r="B9">
        <v>20.6</v>
      </c>
      <c r="C9" s="1">
        <v>0.8068749999999999</v>
      </c>
      <c r="G9"/>
    </row>
    <row r="10" spans="1:9" x14ac:dyDescent="0.25">
      <c r="A10">
        <v>9</v>
      </c>
      <c r="B10">
        <v>20.6</v>
      </c>
      <c r="C10" s="1">
        <v>0.80688657407407405</v>
      </c>
      <c r="G10"/>
    </row>
    <row r="11" spans="1:9" x14ac:dyDescent="0.25">
      <c r="A11">
        <v>10</v>
      </c>
      <c r="B11">
        <v>20.6</v>
      </c>
      <c r="C11" s="1">
        <v>0.80696759259259254</v>
      </c>
      <c r="G11"/>
    </row>
    <row r="12" spans="1:9" x14ac:dyDescent="0.25">
      <c r="A12">
        <v>11</v>
      </c>
      <c r="B12">
        <v>20.48</v>
      </c>
      <c r="C12" s="1">
        <v>0.80684027777777778</v>
      </c>
      <c r="G12"/>
    </row>
    <row r="13" spans="1:9" x14ac:dyDescent="0.25">
      <c r="A13">
        <v>12</v>
      </c>
      <c r="B13">
        <v>20.48</v>
      </c>
      <c r="C13" s="1">
        <v>0.80686342592592597</v>
      </c>
      <c r="G13"/>
    </row>
    <row r="14" spans="1:9" x14ac:dyDescent="0.25">
      <c r="A14">
        <v>13</v>
      </c>
      <c r="B14">
        <v>20.6</v>
      </c>
      <c r="C14" s="1">
        <v>0.8068749999999999</v>
      </c>
      <c r="G14"/>
    </row>
    <row r="15" spans="1:9" x14ac:dyDescent="0.25">
      <c r="A15">
        <v>14</v>
      </c>
      <c r="B15">
        <v>20.6</v>
      </c>
      <c r="C15" s="1">
        <v>0.80688657407407405</v>
      </c>
      <c r="G15"/>
    </row>
    <row r="16" spans="1:9" x14ac:dyDescent="0.25">
      <c r="A16">
        <v>15</v>
      </c>
      <c r="B16">
        <v>20.6</v>
      </c>
      <c r="C16" s="1">
        <v>0.80696759259259254</v>
      </c>
      <c r="G16"/>
    </row>
    <row r="17" spans="1:7" x14ac:dyDescent="0.25">
      <c r="A17">
        <v>16</v>
      </c>
      <c r="B17">
        <v>20.48</v>
      </c>
      <c r="C17" s="1">
        <v>0.80684027777777778</v>
      </c>
      <c r="G17"/>
    </row>
    <row r="18" spans="1:7" x14ac:dyDescent="0.25">
      <c r="A18">
        <v>17</v>
      </c>
      <c r="B18">
        <v>20.48</v>
      </c>
      <c r="C18" s="1">
        <v>0.80686342592592597</v>
      </c>
      <c r="G18"/>
    </row>
    <row r="19" spans="1:7" x14ac:dyDescent="0.25">
      <c r="A19">
        <v>18</v>
      </c>
      <c r="B19">
        <v>20.6</v>
      </c>
      <c r="C19" s="1">
        <v>0.8068749999999999</v>
      </c>
      <c r="G19"/>
    </row>
    <row r="20" spans="1:7" x14ac:dyDescent="0.25">
      <c r="A20">
        <v>19</v>
      </c>
      <c r="B20">
        <v>20.6</v>
      </c>
      <c r="C20" s="1">
        <v>0.80688657407407405</v>
      </c>
      <c r="G20"/>
    </row>
    <row r="21" spans="1:7" x14ac:dyDescent="0.25">
      <c r="A21">
        <v>20</v>
      </c>
      <c r="B21">
        <v>20.6</v>
      </c>
      <c r="C21" s="1">
        <v>0.80696759259259254</v>
      </c>
      <c r="G21"/>
    </row>
    <row r="22" spans="1:7" x14ac:dyDescent="0.25">
      <c r="A22">
        <v>21</v>
      </c>
      <c r="B22">
        <v>20.48</v>
      </c>
      <c r="C22" s="1">
        <v>0.80684027777777778</v>
      </c>
      <c r="G22"/>
    </row>
    <row r="23" spans="1:7" x14ac:dyDescent="0.25">
      <c r="A23">
        <v>22</v>
      </c>
      <c r="B23">
        <v>20.48</v>
      </c>
      <c r="C23" s="1">
        <v>0.80686342592592597</v>
      </c>
      <c r="G23"/>
    </row>
    <row r="24" spans="1:7" x14ac:dyDescent="0.25">
      <c r="A24">
        <v>23</v>
      </c>
      <c r="B24">
        <v>20.6</v>
      </c>
      <c r="C24" s="1">
        <v>0.8068749999999999</v>
      </c>
      <c r="G24"/>
    </row>
    <row r="25" spans="1:7" x14ac:dyDescent="0.25">
      <c r="A25">
        <v>24</v>
      </c>
      <c r="B25">
        <v>20.6</v>
      </c>
      <c r="C25" s="1">
        <v>0.80688657407407405</v>
      </c>
      <c r="G25"/>
    </row>
    <row r="26" spans="1:7" x14ac:dyDescent="0.25">
      <c r="A26">
        <v>25</v>
      </c>
      <c r="B26">
        <v>20.6</v>
      </c>
      <c r="C26" s="1">
        <v>0.80696759259259254</v>
      </c>
      <c r="G26"/>
    </row>
    <row r="27" spans="1:7" x14ac:dyDescent="0.25">
      <c r="A27">
        <v>26</v>
      </c>
      <c r="B27">
        <v>20.48</v>
      </c>
      <c r="C27" s="1">
        <v>0.80684027777777778</v>
      </c>
      <c r="G27"/>
    </row>
    <row r="28" spans="1:7" x14ac:dyDescent="0.25">
      <c r="A28">
        <v>27</v>
      </c>
      <c r="B28">
        <v>20.48</v>
      </c>
      <c r="C28" s="1">
        <v>0.80686342592592597</v>
      </c>
      <c r="G28"/>
    </row>
    <row r="29" spans="1:7" x14ac:dyDescent="0.25">
      <c r="A29">
        <v>28</v>
      </c>
      <c r="B29">
        <v>20.6</v>
      </c>
      <c r="C29" s="1">
        <v>0.8068749999999999</v>
      </c>
      <c r="G29"/>
    </row>
    <row r="30" spans="1:7" x14ac:dyDescent="0.25">
      <c r="A30">
        <v>29</v>
      </c>
      <c r="B30">
        <v>20.6</v>
      </c>
      <c r="C30" s="1">
        <v>0.80688657407407405</v>
      </c>
      <c r="G30"/>
    </row>
    <row r="31" spans="1:7" x14ac:dyDescent="0.25">
      <c r="A31">
        <v>30</v>
      </c>
      <c r="B31">
        <v>20.6</v>
      </c>
      <c r="C31" s="1">
        <v>0.80696759259259254</v>
      </c>
      <c r="G31"/>
    </row>
    <row r="32" spans="1:7" x14ac:dyDescent="0.25">
      <c r="A32">
        <v>31</v>
      </c>
      <c r="B32">
        <v>20.48</v>
      </c>
      <c r="C32" s="1">
        <v>0.80684027777777778</v>
      </c>
      <c r="G32"/>
    </row>
    <row r="33" spans="1:7" x14ac:dyDescent="0.25">
      <c r="A33">
        <v>32</v>
      </c>
      <c r="B33">
        <v>20.48</v>
      </c>
      <c r="C33" s="1">
        <v>0.80686342592592597</v>
      </c>
      <c r="G33"/>
    </row>
    <row r="34" spans="1:7" x14ac:dyDescent="0.25">
      <c r="A34">
        <v>33</v>
      </c>
      <c r="B34">
        <v>20.6</v>
      </c>
      <c r="C34" s="1">
        <v>0.8068749999999999</v>
      </c>
      <c r="G34"/>
    </row>
    <row r="35" spans="1:7" x14ac:dyDescent="0.25">
      <c r="A35">
        <v>34</v>
      </c>
      <c r="B35">
        <v>20.6</v>
      </c>
      <c r="C35" s="1">
        <v>0.80688657407407405</v>
      </c>
      <c r="G35"/>
    </row>
    <row r="36" spans="1:7" x14ac:dyDescent="0.25">
      <c r="A36">
        <v>35</v>
      </c>
      <c r="B36">
        <v>20.6</v>
      </c>
      <c r="C36" s="1">
        <v>0.80696759259259254</v>
      </c>
      <c r="G36"/>
    </row>
    <row r="37" spans="1:7" x14ac:dyDescent="0.25">
      <c r="A37">
        <v>36</v>
      </c>
      <c r="B37">
        <v>20.48</v>
      </c>
      <c r="C37" s="1">
        <v>0.80684027777777778</v>
      </c>
      <c r="G37"/>
    </row>
    <row r="38" spans="1:7" x14ac:dyDescent="0.25">
      <c r="A38">
        <v>37</v>
      </c>
      <c r="B38">
        <v>20.48</v>
      </c>
      <c r="C38" s="1">
        <v>0.80686342592592597</v>
      </c>
      <c r="G38"/>
    </row>
    <row r="39" spans="1:7" x14ac:dyDescent="0.25">
      <c r="A39">
        <v>38</v>
      </c>
      <c r="B39">
        <v>20.6</v>
      </c>
      <c r="C39" s="1">
        <v>0.8068749999999999</v>
      </c>
      <c r="G39"/>
    </row>
    <row r="40" spans="1:7" x14ac:dyDescent="0.25">
      <c r="A40">
        <v>39</v>
      </c>
      <c r="B40">
        <v>20.6</v>
      </c>
      <c r="C40" s="1">
        <v>0.80688657407407405</v>
      </c>
      <c r="G40"/>
    </row>
    <row r="41" spans="1:7" x14ac:dyDescent="0.25">
      <c r="A41">
        <v>40</v>
      </c>
      <c r="B41">
        <v>20.6</v>
      </c>
      <c r="C41" s="1">
        <v>0.80696759259259254</v>
      </c>
      <c r="G41"/>
    </row>
    <row r="42" spans="1:7" x14ac:dyDescent="0.25">
      <c r="A42">
        <v>41</v>
      </c>
      <c r="B42">
        <v>20.48</v>
      </c>
      <c r="C42" s="1">
        <v>0.80684027777777778</v>
      </c>
      <c r="G42"/>
    </row>
    <row r="43" spans="1:7" x14ac:dyDescent="0.25">
      <c r="A43">
        <v>42</v>
      </c>
      <c r="B43">
        <v>20.48</v>
      </c>
      <c r="C43" s="1">
        <v>0.80686342592592597</v>
      </c>
      <c r="G43"/>
    </row>
    <row r="44" spans="1:7" x14ac:dyDescent="0.25">
      <c r="A44">
        <v>43</v>
      </c>
      <c r="B44">
        <v>20.6</v>
      </c>
      <c r="C44" s="1">
        <v>0.8068749999999999</v>
      </c>
      <c r="G44"/>
    </row>
    <row r="45" spans="1:7" x14ac:dyDescent="0.25">
      <c r="A45">
        <v>44</v>
      </c>
      <c r="B45">
        <v>20.6</v>
      </c>
      <c r="C45" s="1">
        <v>0.80688657407407405</v>
      </c>
      <c r="G45"/>
    </row>
    <row r="46" spans="1:7" x14ac:dyDescent="0.25">
      <c r="A46">
        <v>45</v>
      </c>
      <c r="B46">
        <v>20.6</v>
      </c>
      <c r="C46" s="1">
        <v>0.80696759259259254</v>
      </c>
      <c r="G46"/>
    </row>
    <row r="47" spans="1:7" x14ac:dyDescent="0.25">
      <c r="A47">
        <v>46</v>
      </c>
      <c r="B47">
        <v>20.48</v>
      </c>
      <c r="C47" s="1">
        <v>0.80684027777777778</v>
      </c>
      <c r="G47"/>
    </row>
    <row r="48" spans="1:7" x14ac:dyDescent="0.25">
      <c r="A48">
        <v>47</v>
      </c>
      <c r="B48">
        <v>20.48</v>
      </c>
      <c r="C48" s="1">
        <v>0.80686342592592597</v>
      </c>
      <c r="G48"/>
    </row>
    <row r="49" spans="1:7" x14ac:dyDescent="0.25">
      <c r="A49">
        <v>48</v>
      </c>
      <c r="B49">
        <v>20.6</v>
      </c>
      <c r="C49" s="1">
        <v>0.8068749999999999</v>
      </c>
      <c r="G49"/>
    </row>
    <row r="50" spans="1:7" x14ac:dyDescent="0.25">
      <c r="A50">
        <v>49</v>
      </c>
      <c r="B50">
        <v>20.6</v>
      </c>
      <c r="C50" s="1">
        <v>0.80688657407407405</v>
      </c>
      <c r="G50"/>
    </row>
    <row r="51" spans="1:7" x14ac:dyDescent="0.25">
      <c r="A51">
        <v>50</v>
      </c>
      <c r="B51">
        <v>20.6</v>
      </c>
      <c r="C51" s="1">
        <v>0.80696759259259254</v>
      </c>
      <c r="G51"/>
    </row>
    <row r="52" spans="1:7" x14ac:dyDescent="0.25">
      <c r="A52">
        <v>51</v>
      </c>
      <c r="B52">
        <v>10.48</v>
      </c>
      <c r="C52" s="1">
        <v>0.80684027777777778</v>
      </c>
      <c r="G52"/>
    </row>
    <row r="53" spans="1:7" x14ac:dyDescent="0.25">
      <c r="A53">
        <v>52</v>
      </c>
      <c r="B53">
        <v>20.48</v>
      </c>
      <c r="C53" s="1">
        <v>0.80686342592592597</v>
      </c>
      <c r="G53"/>
    </row>
    <row r="54" spans="1:7" x14ac:dyDescent="0.25">
      <c r="A54">
        <v>53</v>
      </c>
      <c r="B54">
        <v>20.6</v>
      </c>
      <c r="C54" s="1">
        <v>0.8068749999999999</v>
      </c>
      <c r="G54"/>
    </row>
    <row r="55" spans="1:7" x14ac:dyDescent="0.25">
      <c r="A55">
        <v>54</v>
      </c>
      <c r="B55">
        <v>20.6</v>
      </c>
      <c r="C55" s="1">
        <v>0.80688657407407405</v>
      </c>
      <c r="G55"/>
    </row>
    <row r="56" spans="1:7" x14ac:dyDescent="0.25">
      <c r="A56">
        <v>55</v>
      </c>
      <c r="B56">
        <v>20.6</v>
      </c>
      <c r="C56" s="1">
        <v>0.80696759259259254</v>
      </c>
      <c r="G56"/>
    </row>
    <row r="57" spans="1:7" x14ac:dyDescent="0.25">
      <c r="A57">
        <v>56</v>
      </c>
      <c r="B57">
        <v>20.48</v>
      </c>
      <c r="C57" s="1">
        <v>0.80684027777777778</v>
      </c>
      <c r="G57"/>
    </row>
    <row r="58" spans="1:7" x14ac:dyDescent="0.25">
      <c r="A58">
        <v>57</v>
      </c>
      <c r="B58">
        <v>10.48</v>
      </c>
      <c r="C58" s="1">
        <v>0.80686342592592597</v>
      </c>
      <c r="G58"/>
    </row>
    <row r="59" spans="1:7" x14ac:dyDescent="0.25">
      <c r="A59">
        <v>58</v>
      </c>
      <c r="B59">
        <v>20.6</v>
      </c>
      <c r="C59" s="1">
        <v>0.8068749999999999</v>
      </c>
      <c r="G59"/>
    </row>
    <row r="60" spans="1:7" x14ac:dyDescent="0.25">
      <c r="A60">
        <v>59</v>
      </c>
      <c r="B60">
        <v>20.6</v>
      </c>
      <c r="C60" s="1">
        <v>0.80688657407407405</v>
      </c>
      <c r="G60"/>
    </row>
    <row r="61" spans="1:7" x14ac:dyDescent="0.25">
      <c r="A61">
        <v>60</v>
      </c>
      <c r="B61">
        <v>20.6</v>
      </c>
      <c r="C61" s="1">
        <v>0.80696759259259254</v>
      </c>
      <c r="G61"/>
    </row>
    <row r="62" spans="1:7" x14ac:dyDescent="0.25">
      <c r="A62">
        <v>61</v>
      </c>
      <c r="B62">
        <v>10.48</v>
      </c>
      <c r="C62" s="1">
        <v>0.80684027777777778</v>
      </c>
      <c r="G62"/>
    </row>
    <row r="63" spans="1:7" x14ac:dyDescent="0.25">
      <c r="A63">
        <v>62</v>
      </c>
      <c r="B63">
        <v>20.48</v>
      </c>
      <c r="C63" s="1">
        <v>0.80686342592592597</v>
      </c>
      <c r="G63"/>
    </row>
    <row r="64" spans="1:7" x14ac:dyDescent="0.25">
      <c r="A64">
        <v>63</v>
      </c>
      <c r="B64">
        <v>20.6</v>
      </c>
      <c r="C64" s="1">
        <v>0.8068749999999999</v>
      </c>
      <c r="G64"/>
    </row>
    <row r="65" spans="1:7" x14ac:dyDescent="0.25">
      <c r="A65">
        <v>64</v>
      </c>
      <c r="B65">
        <v>20.6</v>
      </c>
      <c r="C65" s="1">
        <v>0.80688657407407405</v>
      </c>
      <c r="G65"/>
    </row>
    <row r="66" spans="1:7" x14ac:dyDescent="0.25">
      <c r="A66">
        <v>65</v>
      </c>
      <c r="B66">
        <v>10.6</v>
      </c>
      <c r="C66" s="1">
        <v>0.80696759259259254</v>
      </c>
      <c r="G66"/>
    </row>
    <row r="67" spans="1:7" x14ac:dyDescent="0.25">
      <c r="A67">
        <v>66</v>
      </c>
      <c r="B67">
        <v>20.48</v>
      </c>
      <c r="C67" s="1">
        <v>0.80684027777777778</v>
      </c>
      <c r="G67"/>
    </row>
    <row r="68" spans="1:7" x14ac:dyDescent="0.25">
      <c r="A68">
        <v>67</v>
      </c>
      <c r="B68">
        <v>20.48</v>
      </c>
      <c r="C68" s="1">
        <v>0.80686342592592597</v>
      </c>
      <c r="G68"/>
    </row>
    <row r="69" spans="1:7" x14ac:dyDescent="0.25">
      <c r="A69">
        <v>68</v>
      </c>
      <c r="B69">
        <v>20.6</v>
      </c>
      <c r="C69" s="1">
        <v>0.8068749999999999</v>
      </c>
      <c r="G69"/>
    </row>
    <row r="70" spans="1:7" x14ac:dyDescent="0.25">
      <c r="A70">
        <v>69</v>
      </c>
      <c r="B70">
        <v>20.6</v>
      </c>
      <c r="C70" s="1">
        <v>0.80688657407407405</v>
      </c>
      <c r="G70"/>
    </row>
    <row r="71" spans="1:7" x14ac:dyDescent="0.25">
      <c r="A71">
        <v>70</v>
      </c>
      <c r="B71">
        <v>30.6</v>
      </c>
      <c r="C71" s="1">
        <v>0.80696759259259254</v>
      </c>
      <c r="G71"/>
    </row>
    <row r="72" spans="1:7" x14ac:dyDescent="0.25">
      <c r="A72">
        <v>71</v>
      </c>
      <c r="B72">
        <v>20.48</v>
      </c>
      <c r="C72" s="1">
        <v>0.80684027777777778</v>
      </c>
      <c r="G72"/>
    </row>
    <row r="73" spans="1:7" x14ac:dyDescent="0.25">
      <c r="A73">
        <v>72</v>
      </c>
      <c r="B73">
        <v>20.48</v>
      </c>
      <c r="C73" s="1">
        <v>0.80686342592592597</v>
      </c>
      <c r="G73"/>
    </row>
    <row r="74" spans="1:7" x14ac:dyDescent="0.25">
      <c r="A74">
        <v>73</v>
      </c>
      <c r="B74">
        <v>20.6</v>
      </c>
      <c r="C74" s="1">
        <v>0.8068749999999999</v>
      </c>
      <c r="G74"/>
    </row>
    <row r="75" spans="1:7" x14ac:dyDescent="0.25">
      <c r="A75">
        <v>74</v>
      </c>
      <c r="B75">
        <v>40.6</v>
      </c>
      <c r="C75" s="1">
        <v>0.80688657407407405</v>
      </c>
      <c r="G75"/>
    </row>
    <row r="76" spans="1:7" x14ac:dyDescent="0.25">
      <c r="A76">
        <v>75</v>
      </c>
      <c r="B76">
        <v>20.6</v>
      </c>
      <c r="C76" s="1">
        <v>0.80696759259259254</v>
      </c>
      <c r="G76"/>
    </row>
    <row r="77" spans="1:7" x14ac:dyDescent="0.25">
      <c r="A77">
        <v>76</v>
      </c>
      <c r="B77">
        <v>20.48</v>
      </c>
      <c r="C77" s="1">
        <v>0.80684027777777778</v>
      </c>
      <c r="G77"/>
    </row>
    <row r="78" spans="1:7" x14ac:dyDescent="0.25">
      <c r="A78">
        <v>77</v>
      </c>
      <c r="B78">
        <v>10.48</v>
      </c>
      <c r="C78" s="1">
        <v>0.80686342592592597</v>
      </c>
      <c r="G78"/>
    </row>
    <row r="79" spans="1:7" x14ac:dyDescent="0.25">
      <c r="A79">
        <v>78</v>
      </c>
      <c r="B79">
        <v>20.6</v>
      </c>
      <c r="C79" s="1">
        <v>0.8068749999999999</v>
      </c>
      <c r="G79"/>
    </row>
    <row r="80" spans="1:7" x14ac:dyDescent="0.25">
      <c r="A80">
        <v>79</v>
      </c>
      <c r="B80">
        <v>20.6</v>
      </c>
      <c r="C80" s="1">
        <v>0.80688657407407405</v>
      </c>
      <c r="G80"/>
    </row>
    <row r="81" spans="1:7" x14ac:dyDescent="0.25">
      <c r="A81">
        <v>80</v>
      </c>
      <c r="B81">
        <v>20.6</v>
      </c>
      <c r="C81" s="1">
        <v>0.80696759259259254</v>
      </c>
      <c r="G81"/>
    </row>
    <row r="82" spans="1:7" x14ac:dyDescent="0.25">
      <c r="A82">
        <v>81</v>
      </c>
      <c r="B82">
        <v>20.48</v>
      </c>
      <c r="C82" s="1">
        <v>0.80684027777777778</v>
      </c>
      <c r="G82"/>
    </row>
    <row r="83" spans="1:7" x14ac:dyDescent="0.25">
      <c r="A83">
        <v>82</v>
      </c>
      <c r="B83">
        <v>10.48</v>
      </c>
      <c r="C83" s="1">
        <v>0.80686342592592597</v>
      </c>
      <c r="G83"/>
    </row>
    <row r="84" spans="1:7" x14ac:dyDescent="0.25">
      <c r="A84">
        <v>83</v>
      </c>
      <c r="B84">
        <v>20.6</v>
      </c>
      <c r="C84" s="1">
        <v>0.8068749999999999</v>
      </c>
      <c r="G84"/>
    </row>
    <row r="85" spans="1:7" x14ac:dyDescent="0.25">
      <c r="A85">
        <v>84</v>
      </c>
      <c r="B85">
        <v>20.6</v>
      </c>
      <c r="C85" s="1">
        <v>0.80688657407407405</v>
      </c>
      <c r="G85"/>
    </row>
    <row r="86" spans="1:7" x14ac:dyDescent="0.25">
      <c r="A86">
        <v>85</v>
      </c>
      <c r="B86">
        <v>20.6</v>
      </c>
      <c r="C86" s="1">
        <v>0.80696759259259254</v>
      </c>
      <c r="G86"/>
    </row>
    <row r="87" spans="1:7" x14ac:dyDescent="0.25">
      <c r="A87">
        <v>86</v>
      </c>
      <c r="B87">
        <v>10.48</v>
      </c>
      <c r="C87" s="1">
        <v>0.80684027777777778</v>
      </c>
      <c r="G87"/>
    </row>
    <row r="88" spans="1:7" x14ac:dyDescent="0.25">
      <c r="A88">
        <v>87</v>
      </c>
      <c r="B88">
        <v>20.48</v>
      </c>
      <c r="C88" s="1">
        <v>0.80686342592592597</v>
      </c>
      <c r="G88"/>
    </row>
    <row r="89" spans="1:7" x14ac:dyDescent="0.25">
      <c r="A89">
        <v>88</v>
      </c>
      <c r="B89">
        <v>20.6</v>
      </c>
      <c r="C89" s="1">
        <v>0.8068749999999999</v>
      </c>
      <c r="G89"/>
    </row>
    <row r="90" spans="1:7" x14ac:dyDescent="0.25">
      <c r="A90">
        <v>89</v>
      </c>
      <c r="B90">
        <v>20.6</v>
      </c>
      <c r="C90" s="1">
        <v>0.80688657407407405</v>
      </c>
      <c r="G90"/>
    </row>
    <row r="91" spans="1:7" x14ac:dyDescent="0.25">
      <c r="A91">
        <v>90</v>
      </c>
      <c r="B91">
        <v>10.6</v>
      </c>
      <c r="C91" s="1">
        <v>0.80696759259259254</v>
      </c>
      <c r="G91"/>
    </row>
    <row r="92" spans="1:7" x14ac:dyDescent="0.25">
      <c r="A92">
        <v>91</v>
      </c>
      <c r="B92">
        <v>20.48</v>
      </c>
      <c r="C92" s="1">
        <v>0.80684027777777778</v>
      </c>
      <c r="G92"/>
    </row>
    <row r="93" spans="1:7" x14ac:dyDescent="0.25">
      <c r="A93">
        <v>92</v>
      </c>
      <c r="B93">
        <v>20.48</v>
      </c>
      <c r="C93" s="1">
        <v>0.80686342592592597</v>
      </c>
      <c r="G93"/>
    </row>
    <row r="94" spans="1:7" x14ac:dyDescent="0.25">
      <c r="A94">
        <v>93</v>
      </c>
      <c r="B94">
        <v>20.6</v>
      </c>
      <c r="C94" s="1">
        <v>0.8068749999999999</v>
      </c>
      <c r="G94"/>
    </row>
    <row r="95" spans="1:7" x14ac:dyDescent="0.25">
      <c r="A95">
        <v>94</v>
      </c>
      <c r="B95">
        <v>10.6</v>
      </c>
      <c r="C95" s="1">
        <v>0.80688657407407405</v>
      </c>
      <c r="G95"/>
    </row>
    <row r="96" spans="1:7" x14ac:dyDescent="0.25">
      <c r="A96">
        <v>95</v>
      </c>
      <c r="B96">
        <v>20.6</v>
      </c>
      <c r="C96" s="1">
        <v>0.80696759259259254</v>
      </c>
      <c r="G96"/>
    </row>
    <row r="97" spans="1:7" x14ac:dyDescent="0.25">
      <c r="A97">
        <v>96</v>
      </c>
      <c r="B97">
        <v>20.48</v>
      </c>
      <c r="C97" s="1">
        <v>0.80684027777777778</v>
      </c>
      <c r="G97"/>
    </row>
    <row r="98" spans="1:7" x14ac:dyDescent="0.25">
      <c r="A98">
        <v>97</v>
      </c>
      <c r="B98">
        <v>20.48</v>
      </c>
      <c r="C98" s="1">
        <v>0.80686342592592597</v>
      </c>
      <c r="G98"/>
    </row>
    <row r="99" spans="1:7" x14ac:dyDescent="0.25">
      <c r="A99">
        <v>98</v>
      </c>
      <c r="B99">
        <v>10.6</v>
      </c>
      <c r="C99" s="1">
        <v>0.8068749999999999</v>
      </c>
      <c r="G99"/>
    </row>
    <row r="100" spans="1:7" x14ac:dyDescent="0.25">
      <c r="A100">
        <v>99</v>
      </c>
      <c r="B100">
        <v>20.6</v>
      </c>
      <c r="C100" s="1">
        <v>0.80688657407407405</v>
      </c>
      <c r="G100"/>
    </row>
    <row r="101" spans="1:7" x14ac:dyDescent="0.25">
      <c r="A101">
        <v>100</v>
      </c>
      <c r="B101">
        <v>20.6</v>
      </c>
      <c r="C101" s="1">
        <v>0.80696759259259254</v>
      </c>
      <c r="G101"/>
    </row>
    <row r="102" spans="1:7" x14ac:dyDescent="0.25">
      <c r="A102">
        <v>101</v>
      </c>
      <c r="B102">
        <v>10.48</v>
      </c>
      <c r="C102" s="1">
        <v>0.80684027777777778</v>
      </c>
      <c r="G102"/>
    </row>
    <row r="103" spans="1:7" x14ac:dyDescent="0.25">
      <c r="A103">
        <v>102</v>
      </c>
      <c r="B103">
        <v>20.48</v>
      </c>
      <c r="C103" s="1">
        <v>0.80686342592592597</v>
      </c>
      <c r="G103"/>
    </row>
    <row r="104" spans="1:7" x14ac:dyDescent="0.25">
      <c r="A104">
        <v>103</v>
      </c>
      <c r="B104">
        <v>20.6</v>
      </c>
      <c r="C104" s="1">
        <v>0.8068749999999999</v>
      </c>
      <c r="G104"/>
    </row>
    <row r="105" spans="1:7" x14ac:dyDescent="0.25">
      <c r="A105">
        <v>104</v>
      </c>
      <c r="B105">
        <v>20.6</v>
      </c>
      <c r="C105" s="1">
        <v>0.80688657407407405</v>
      </c>
      <c r="G105"/>
    </row>
    <row r="106" spans="1:7" x14ac:dyDescent="0.25">
      <c r="A106">
        <v>105</v>
      </c>
      <c r="B106">
        <v>20.6</v>
      </c>
      <c r="C106" s="1">
        <v>0.80696759259259254</v>
      </c>
      <c r="G106"/>
    </row>
    <row r="107" spans="1:7" x14ac:dyDescent="0.25">
      <c r="A107">
        <v>106</v>
      </c>
      <c r="B107">
        <v>10.48</v>
      </c>
      <c r="C107" s="1">
        <v>0.80684027777777778</v>
      </c>
      <c r="G107"/>
    </row>
    <row r="108" spans="1:7" x14ac:dyDescent="0.25">
      <c r="A108">
        <v>107</v>
      </c>
      <c r="B108">
        <v>20.48</v>
      </c>
      <c r="C108" s="1">
        <v>0.80686342592592597</v>
      </c>
      <c r="G108"/>
    </row>
    <row r="109" spans="1:7" x14ac:dyDescent="0.25">
      <c r="A109">
        <v>108</v>
      </c>
      <c r="B109">
        <v>20.6</v>
      </c>
      <c r="C109" s="1">
        <v>0.8068749999999999</v>
      </c>
      <c r="G109"/>
    </row>
    <row r="110" spans="1:7" x14ac:dyDescent="0.25">
      <c r="A110">
        <v>109</v>
      </c>
      <c r="B110">
        <v>20.6</v>
      </c>
      <c r="C110" s="1">
        <v>0.80688657407407405</v>
      </c>
      <c r="G110"/>
    </row>
    <row r="111" spans="1:7" x14ac:dyDescent="0.25">
      <c r="A111">
        <v>110</v>
      </c>
      <c r="B111">
        <v>20.6</v>
      </c>
      <c r="C111" s="1">
        <v>0.80696759259259254</v>
      </c>
      <c r="G111"/>
    </row>
    <row r="112" spans="1:7" x14ac:dyDescent="0.25">
      <c r="A112">
        <v>111</v>
      </c>
      <c r="B112">
        <v>20.48</v>
      </c>
      <c r="C112" s="1">
        <v>0.80684027777777778</v>
      </c>
      <c r="G112"/>
    </row>
    <row r="113" spans="1:7" x14ac:dyDescent="0.25">
      <c r="A113">
        <v>112</v>
      </c>
      <c r="B113">
        <v>20.48</v>
      </c>
      <c r="C113" s="1">
        <v>0.80686342592592597</v>
      </c>
      <c r="G113"/>
    </row>
    <row r="114" spans="1:7" x14ac:dyDescent="0.25">
      <c r="A114">
        <v>113</v>
      </c>
      <c r="B114">
        <v>20.6</v>
      </c>
      <c r="C114" s="1">
        <v>0.8068749999999999</v>
      </c>
      <c r="G114"/>
    </row>
    <row r="115" spans="1:7" x14ac:dyDescent="0.25">
      <c r="A115">
        <v>114</v>
      </c>
      <c r="B115">
        <v>20.6</v>
      </c>
      <c r="C115" s="1">
        <v>0.80688657407407405</v>
      </c>
      <c r="G115"/>
    </row>
    <row r="116" spans="1:7" x14ac:dyDescent="0.25">
      <c r="A116">
        <v>115</v>
      </c>
      <c r="B116">
        <v>20.6</v>
      </c>
      <c r="C116" s="1">
        <v>0.80696759259259254</v>
      </c>
      <c r="G116"/>
    </row>
    <row r="117" spans="1:7" x14ac:dyDescent="0.25">
      <c r="A117">
        <v>116</v>
      </c>
      <c r="B117">
        <v>20.48</v>
      </c>
      <c r="C117" s="1">
        <v>0.80684027777777778</v>
      </c>
      <c r="G117"/>
    </row>
    <row r="118" spans="1:7" x14ac:dyDescent="0.25">
      <c r="A118">
        <v>117</v>
      </c>
      <c r="B118">
        <v>20.48</v>
      </c>
      <c r="C118" s="1">
        <v>0.80686342592592597</v>
      </c>
      <c r="G118"/>
    </row>
    <row r="119" spans="1:7" x14ac:dyDescent="0.25">
      <c r="A119">
        <v>118</v>
      </c>
      <c r="B119">
        <v>20.6</v>
      </c>
      <c r="C119" s="1">
        <v>0.8068749999999999</v>
      </c>
      <c r="G119"/>
    </row>
    <row r="120" spans="1:7" x14ac:dyDescent="0.25">
      <c r="A120">
        <v>119</v>
      </c>
      <c r="B120">
        <v>20.6</v>
      </c>
      <c r="C120" s="1">
        <v>0.80688657407407405</v>
      </c>
      <c r="G120"/>
    </row>
    <row r="121" spans="1:7" x14ac:dyDescent="0.25">
      <c r="A121">
        <v>120</v>
      </c>
      <c r="B121">
        <v>20.6</v>
      </c>
      <c r="C121" s="1">
        <v>0.80696759259259254</v>
      </c>
      <c r="G121"/>
    </row>
    <row r="122" spans="1:7" x14ac:dyDescent="0.25">
      <c r="A122">
        <v>121</v>
      </c>
      <c r="B122">
        <v>20.48</v>
      </c>
      <c r="C122" s="1">
        <v>0.80684027777777778</v>
      </c>
      <c r="G122"/>
    </row>
    <row r="123" spans="1:7" x14ac:dyDescent="0.25">
      <c r="A123">
        <v>122</v>
      </c>
      <c r="B123">
        <v>20.48</v>
      </c>
      <c r="C123" s="1">
        <v>0.80686342592592597</v>
      </c>
      <c r="G123"/>
    </row>
    <row r="124" spans="1:7" x14ac:dyDescent="0.25">
      <c r="A124">
        <v>123</v>
      </c>
      <c r="B124">
        <v>20.6</v>
      </c>
      <c r="C124" s="1">
        <v>0.8068749999999999</v>
      </c>
      <c r="G124"/>
    </row>
    <row r="125" spans="1:7" x14ac:dyDescent="0.25">
      <c r="A125">
        <v>124</v>
      </c>
      <c r="B125">
        <v>20.6</v>
      </c>
      <c r="C125" s="1">
        <v>0.80688657407407405</v>
      </c>
      <c r="G125"/>
    </row>
    <row r="126" spans="1:7" x14ac:dyDescent="0.25">
      <c r="A126">
        <v>125</v>
      </c>
      <c r="B126">
        <v>20.6</v>
      </c>
      <c r="C126" s="1">
        <v>0.80696759259259254</v>
      </c>
      <c r="G126"/>
    </row>
    <row r="127" spans="1:7" x14ac:dyDescent="0.25">
      <c r="A127">
        <v>126</v>
      </c>
      <c r="B127">
        <v>20.48</v>
      </c>
      <c r="C127" s="1">
        <v>0.80684027777777778</v>
      </c>
      <c r="G127"/>
    </row>
    <row r="128" spans="1:7" x14ac:dyDescent="0.25">
      <c r="A128">
        <v>127</v>
      </c>
      <c r="B128">
        <v>20.48</v>
      </c>
      <c r="C128" s="1">
        <v>0.80686342592592597</v>
      </c>
      <c r="G128"/>
    </row>
    <row r="129" spans="1:7" x14ac:dyDescent="0.25">
      <c r="A129">
        <v>128</v>
      </c>
      <c r="B129">
        <v>20.6</v>
      </c>
      <c r="C129" s="1">
        <v>0.8068749999999999</v>
      </c>
      <c r="G129"/>
    </row>
    <row r="130" spans="1:7" x14ac:dyDescent="0.25">
      <c r="A130">
        <v>129</v>
      </c>
      <c r="B130">
        <v>20.6</v>
      </c>
      <c r="C130" s="1">
        <v>0.80688657407407405</v>
      </c>
      <c r="G130"/>
    </row>
    <row r="131" spans="1:7" x14ac:dyDescent="0.25">
      <c r="A131">
        <v>130</v>
      </c>
      <c r="B131">
        <v>20.6</v>
      </c>
      <c r="C131" s="1">
        <v>0.80696759259259254</v>
      </c>
      <c r="G131"/>
    </row>
    <row r="132" spans="1:7" x14ac:dyDescent="0.25">
      <c r="A132">
        <v>131</v>
      </c>
      <c r="B132">
        <v>20.48</v>
      </c>
      <c r="C132" s="1">
        <v>0.80684027777777778</v>
      </c>
      <c r="G132"/>
    </row>
    <row r="133" spans="1:7" x14ac:dyDescent="0.25">
      <c r="A133">
        <v>132</v>
      </c>
      <c r="B133">
        <v>20.48</v>
      </c>
      <c r="C133" s="1">
        <v>0.80686342592592597</v>
      </c>
      <c r="G133"/>
    </row>
    <row r="134" spans="1:7" x14ac:dyDescent="0.25">
      <c r="A134">
        <v>133</v>
      </c>
      <c r="B134">
        <v>20.6</v>
      </c>
      <c r="C134" s="1">
        <v>0.8068749999999999</v>
      </c>
      <c r="G134"/>
    </row>
    <row r="135" spans="1:7" x14ac:dyDescent="0.25">
      <c r="A135">
        <v>134</v>
      </c>
      <c r="B135">
        <v>20.6</v>
      </c>
      <c r="C135" s="1">
        <v>0.80688657407407405</v>
      </c>
      <c r="G135"/>
    </row>
    <row r="136" spans="1:7" x14ac:dyDescent="0.25">
      <c r="A136">
        <v>135</v>
      </c>
      <c r="B136">
        <v>20.6</v>
      </c>
      <c r="C136" s="1">
        <v>0.80696759259259254</v>
      </c>
      <c r="G136"/>
    </row>
    <row r="137" spans="1:7" x14ac:dyDescent="0.25">
      <c r="A137">
        <v>136</v>
      </c>
      <c r="B137">
        <v>20.48</v>
      </c>
      <c r="C137" s="1">
        <v>0.80684027777777778</v>
      </c>
      <c r="G137"/>
    </row>
    <row r="138" spans="1:7" x14ac:dyDescent="0.25">
      <c r="A138">
        <v>137</v>
      </c>
      <c r="B138">
        <v>20.48</v>
      </c>
      <c r="C138" s="1">
        <v>0.80686342592592597</v>
      </c>
      <c r="G138"/>
    </row>
    <row r="139" spans="1:7" x14ac:dyDescent="0.25">
      <c r="A139">
        <v>138</v>
      </c>
      <c r="B139">
        <v>20.6</v>
      </c>
      <c r="C139" s="1">
        <v>0.8068749999999999</v>
      </c>
      <c r="G139"/>
    </row>
    <row r="140" spans="1:7" x14ac:dyDescent="0.25">
      <c r="A140">
        <v>139</v>
      </c>
      <c r="B140">
        <v>20.6</v>
      </c>
      <c r="C140" s="1">
        <v>0.80688657407407405</v>
      </c>
      <c r="G140"/>
    </row>
    <row r="141" spans="1:7" x14ac:dyDescent="0.25">
      <c r="A141">
        <v>140</v>
      </c>
      <c r="B141">
        <v>20.6</v>
      </c>
      <c r="C141" s="1">
        <v>0.80696759259259254</v>
      </c>
      <c r="G141"/>
    </row>
    <row r="142" spans="1:7" x14ac:dyDescent="0.25">
      <c r="A142">
        <v>141</v>
      </c>
      <c r="B142">
        <v>20.48</v>
      </c>
      <c r="C142" s="1">
        <v>0.80684027777777778</v>
      </c>
      <c r="G142"/>
    </row>
    <row r="143" spans="1:7" x14ac:dyDescent="0.25">
      <c r="A143">
        <v>142</v>
      </c>
      <c r="B143">
        <v>20.48</v>
      </c>
      <c r="C143" s="1">
        <v>0.80686342592592597</v>
      </c>
      <c r="G143"/>
    </row>
    <row r="144" spans="1:7" x14ac:dyDescent="0.25">
      <c r="A144">
        <v>143</v>
      </c>
      <c r="B144">
        <v>20.6</v>
      </c>
      <c r="C144" s="1">
        <v>0.8068749999999999</v>
      </c>
      <c r="G144"/>
    </row>
    <row r="145" spans="1:7" x14ac:dyDescent="0.25">
      <c r="A145">
        <v>144</v>
      </c>
      <c r="B145">
        <v>20.6</v>
      </c>
      <c r="C145" s="1">
        <v>0.80688657407407405</v>
      </c>
      <c r="G145"/>
    </row>
    <row r="146" spans="1:7" x14ac:dyDescent="0.25">
      <c r="A146">
        <v>145</v>
      </c>
      <c r="B146">
        <v>20.6</v>
      </c>
      <c r="C146" s="1">
        <v>0.80696759259259254</v>
      </c>
      <c r="G146"/>
    </row>
    <row r="147" spans="1:7" x14ac:dyDescent="0.25">
      <c r="A147">
        <v>146</v>
      </c>
      <c r="B147">
        <v>20.48</v>
      </c>
      <c r="C147" s="1">
        <v>0.80684027777777778</v>
      </c>
      <c r="G147"/>
    </row>
    <row r="148" spans="1:7" x14ac:dyDescent="0.25">
      <c r="A148">
        <v>147</v>
      </c>
      <c r="B148">
        <v>20.48</v>
      </c>
      <c r="C148" s="1">
        <v>0.80686342592592597</v>
      </c>
      <c r="G148"/>
    </row>
    <row r="149" spans="1:7" x14ac:dyDescent="0.25">
      <c r="A149">
        <v>148</v>
      </c>
      <c r="B149">
        <v>20.6</v>
      </c>
      <c r="C149" s="1">
        <v>0.8068749999999999</v>
      </c>
      <c r="G149"/>
    </row>
    <row r="150" spans="1:7" x14ac:dyDescent="0.25">
      <c r="A150">
        <v>149</v>
      </c>
      <c r="B150">
        <v>20.6</v>
      </c>
      <c r="C150" s="1">
        <v>0.80688657407407405</v>
      </c>
      <c r="G150"/>
    </row>
    <row r="151" spans="1:7" x14ac:dyDescent="0.25">
      <c r="A151">
        <v>150</v>
      </c>
      <c r="B151">
        <v>20.6</v>
      </c>
      <c r="C151" s="1">
        <v>0.80696759259259254</v>
      </c>
      <c r="G151"/>
    </row>
    <row r="152" spans="1:7" x14ac:dyDescent="0.25">
      <c r="A152">
        <v>151</v>
      </c>
      <c r="B152">
        <v>20.48</v>
      </c>
      <c r="C152" s="1">
        <v>0.80684027777777778</v>
      </c>
      <c r="G152"/>
    </row>
    <row r="153" spans="1:7" x14ac:dyDescent="0.25">
      <c r="A153">
        <v>152</v>
      </c>
      <c r="B153">
        <v>20.48</v>
      </c>
      <c r="C153" s="1">
        <v>0.80686342592592597</v>
      </c>
      <c r="G153"/>
    </row>
    <row r="154" spans="1:7" x14ac:dyDescent="0.25">
      <c r="A154">
        <v>153</v>
      </c>
      <c r="B154">
        <v>20.6</v>
      </c>
      <c r="C154" s="1">
        <v>0.8068749999999999</v>
      </c>
      <c r="G154"/>
    </row>
    <row r="155" spans="1:7" x14ac:dyDescent="0.25">
      <c r="A155">
        <v>154</v>
      </c>
      <c r="B155">
        <v>20.6</v>
      </c>
      <c r="C155" s="1">
        <v>0.80688657407407405</v>
      </c>
      <c r="G155"/>
    </row>
    <row r="156" spans="1:7" x14ac:dyDescent="0.25">
      <c r="A156">
        <v>155</v>
      </c>
      <c r="B156">
        <v>20.6</v>
      </c>
      <c r="C156" s="1">
        <v>0.80696759259259254</v>
      </c>
      <c r="G156"/>
    </row>
    <row r="157" spans="1:7" x14ac:dyDescent="0.25">
      <c r="A157">
        <v>156</v>
      </c>
      <c r="B157">
        <v>20.48</v>
      </c>
      <c r="C157" s="1">
        <v>0.80684027777777778</v>
      </c>
      <c r="G157"/>
    </row>
    <row r="158" spans="1:7" x14ac:dyDescent="0.25">
      <c r="A158">
        <v>157</v>
      </c>
      <c r="B158">
        <v>20.48</v>
      </c>
      <c r="C158" s="1">
        <v>0.80686342592592597</v>
      </c>
      <c r="G158"/>
    </row>
    <row r="159" spans="1:7" x14ac:dyDescent="0.25">
      <c r="A159">
        <v>158</v>
      </c>
      <c r="B159">
        <v>20.6</v>
      </c>
      <c r="C159" s="1">
        <v>0.8068749999999999</v>
      </c>
      <c r="G159"/>
    </row>
    <row r="160" spans="1:7" x14ac:dyDescent="0.25">
      <c r="A160">
        <v>159</v>
      </c>
      <c r="B160">
        <v>20.6</v>
      </c>
      <c r="C160" s="1">
        <v>0.80688657407407405</v>
      </c>
      <c r="G160"/>
    </row>
    <row r="161" spans="1:7" x14ac:dyDescent="0.25">
      <c r="A161">
        <v>160</v>
      </c>
      <c r="B161">
        <v>20.6</v>
      </c>
      <c r="C161" s="1">
        <v>0.80696759259259254</v>
      </c>
      <c r="G161"/>
    </row>
    <row r="162" spans="1:7" x14ac:dyDescent="0.25">
      <c r="A162">
        <v>161</v>
      </c>
      <c r="B162">
        <v>20.48</v>
      </c>
      <c r="C162" s="1">
        <v>0.80684027777777778</v>
      </c>
      <c r="G162"/>
    </row>
    <row r="163" spans="1:7" x14ac:dyDescent="0.25">
      <c r="A163">
        <v>162</v>
      </c>
      <c r="B163">
        <v>20.48</v>
      </c>
      <c r="C163" s="1">
        <v>0.80686342592592597</v>
      </c>
      <c r="G163"/>
    </row>
    <row r="164" spans="1:7" x14ac:dyDescent="0.25">
      <c r="A164">
        <v>163</v>
      </c>
      <c r="B164">
        <v>20.6</v>
      </c>
      <c r="C164" s="1">
        <v>0.8068749999999999</v>
      </c>
      <c r="G164"/>
    </row>
    <row r="165" spans="1:7" x14ac:dyDescent="0.25">
      <c r="A165">
        <v>164</v>
      </c>
      <c r="B165">
        <v>20.6</v>
      </c>
      <c r="C165" s="1">
        <v>0.80688657407407405</v>
      </c>
      <c r="G165"/>
    </row>
    <row r="166" spans="1:7" x14ac:dyDescent="0.25">
      <c r="A166">
        <v>165</v>
      </c>
      <c r="B166">
        <v>20.6</v>
      </c>
      <c r="C166" s="1">
        <v>0.80696759259259254</v>
      </c>
      <c r="G166"/>
    </row>
    <row r="167" spans="1:7" x14ac:dyDescent="0.25">
      <c r="A167">
        <v>166</v>
      </c>
      <c r="B167">
        <v>20.48</v>
      </c>
      <c r="C167" s="1">
        <v>0.80684027777777778</v>
      </c>
      <c r="G167"/>
    </row>
    <row r="168" spans="1:7" x14ac:dyDescent="0.25">
      <c r="A168">
        <v>167</v>
      </c>
      <c r="B168">
        <v>20.48</v>
      </c>
      <c r="C168" s="1">
        <v>0.80686342592592597</v>
      </c>
      <c r="G168"/>
    </row>
    <row r="169" spans="1:7" x14ac:dyDescent="0.25">
      <c r="A169">
        <v>168</v>
      </c>
      <c r="B169">
        <v>20.6</v>
      </c>
      <c r="C169" s="1">
        <v>0.8068749999999999</v>
      </c>
      <c r="G169"/>
    </row>
    <row r="170" spans="1:7" x14ac:dyDescent="0.25">
      <c r="A170">
        <v>169</v>
      </c>
      <c r="B170">
        <v>20.6</v>
      </c>
      <c r="C170" s="1">
        <v>0.80688657407407405</v>
      </c>
      <c r="G170"/>
    </row>
    <row r="171" spans="1:7" x14ac:dyDescent="0.25">
      <c r="A171">
        <v>170</v>
      </c>
      <c r="B171">
        <v>20.6</v>
      </c>
      <c r="C171" s="1">
        <v>0.80696759259259254</v>
      </c>
      <c r="G171"/>
    </row>
    <row r="172" spans="1:7" x14ac:dyDescent="0.25">
      <c r="A172">
        <v>171</v>
      </c>
      <c r="B172">
        <v>20.48</v>
      </c>
      <c r="C172" s="1">
        <v>0.80684027777777778</v>
      </c>
      <c r="G172"/>
    </row>
    <row r="173" spans="1:7" x14ac:dyDescent="0.25">
      <c r="A173">
        <v>172</v>
      </c>
      <c r="B173">
        <v>20.48</v>
      </c>
      <c r="C173" s="1">
        <v>0.80686342592592597</v>
      </c>
      <c r="G173"/>
    </row>
    <row r="174" spans="1:7" x14ac:dyDescent="0.25">
      <c r="A174">
        <v>173</v>
      </c>
      <c r="B174">
        <v>20.6</v>
      </c>
      <c r="C174" s="1">
        <v>0.8068749999999999</v>
      </c>
      <c r="G174"/>
    </row>
    <row r="175" spans="1:7" x14ac:dyDescent="0.25">
      <c r="A175">
        <v>174</v>
      </c>
      <c r="B175">
        <v>20.6</v>
      </c>
      <c r="C175" s="1">
        <v>0.80688657407407405</v>
      </c>
      <c r="G175"/>
    </row>
    <row r="176" spans="1:7" x14ac:dyDescent="0.25">
      <c r="A176">
        <v>175</v>
      </c>
      <c r="B176">
        <v>20.6</v>
      </c>
      <c r="C176" s="1">
        <v>0.80696759259259254</v>
      </c>
      <c r="G176"/>
    </row>
    <row r="177" spans="1:7" x14ac:dyDescent="0.25">
      <c r="A177">
        <v>176</v>
      </c>
      <c r="B177">
        <v>20.48</v>
      </c>
      <c r="C177" s="1">
        <v>0.80684027777777778</v>
      </c>
      <c r="G177"/>
    </row>
    <row r="178" spans="1:7" x14ac:dyDescent="0.25">
      <c r="A178">
        <v>177</v>
      </c>
      <c r="B178">
        <v>20.48</v>
      </c>
      <c r="C178" s="1">
        <v>0.80686342592592597</v>
      </c>
      <c r="G178"/>
    </row>
    <row r="179" spans="1:7" x14ac:dyDescent="0.25">
      <c r="A179">
        <v>178</v>
      </c>
      <c r="B179">
        <v>20.6</v>
      </c>
      <c r="C179" s="1">
        <v>0.8068749999999999</v>
      </c>
      <c r="G179"/>
    </row>
    <row r="180" spans="1:7" x14ac:dyDescent="0.25">
      <c r="A180">
        <v>179</v>
      </c>
      <c r="B180">
        <v>20.6</v>
      </c>
      <c r="C180" s="1">
        <v>0.80688657407407405</v>
      </c>
      <c r="G180"/>
    </row>
    <row r="181" spans="1:7" x14ac:dyDescent="0.25">
      <c r="A181">
        <v>180</v>
      </c>
      <c r="B181">
        <v>20.6</v>
      </c>
      <c r="C181" s="1">
        <v>0.80696759259259254</v>
      </c>
      <c r="G181"/>
    </row>
    <row r="182" spans="1:7" x14ac:dyDescent="0.25">
      <c r="A182">
        <v>181</v>
      </c>
      <c r="B182">
        <v>20.48</v>
      </c>
      <c r="C182" s="1">
        <v>0.80684027777777778</v>
      </c>
      <c r="G182"/>
    </row>
    <row r="183" spans="1:7" x14ac:dyDescent="0.25">
      <c r="A183">
        <v>182</v>
      </c>
      <c r="B183">
        <v>20.48</v>
      </c>
      <c r="C183" s="1">
        <v>0.80686342592592597</v>
      </c>
      <c r="G183"/>
    </row>
    <row r="184" spans="1:7" x14ac:dyDescent="0.25">
      <c r="A184">
        <v>183</v>
      </c>
      <c r="B184">
        <v>20.6</v>
      </c>
      <c r="C184" s="1">
        <v>0.8068749999999999</v>
      </c>
      <c r="G184"/>
    </row>
    <row r="185" spans="1:7" x14ac:dyDescent="0.25">
      <c r="A185">
        <v>184</v>
      </c>
      <c r="B185">
        <v>20.6</v>
      </c>
      <c r="C185" s="1">
        <v>0.80688657407407405</v>
      </c>
      <c r="G185"/>
    </row>
    <row r="186" spans="1:7" x14ac:dyDescent="0.25">
      <c r="A186">
        <v>185</v>
      </c>
      <c r="B186">
        <v>20.6</v>
      </c>
      <c r="C186" s="1">
        <v>0.80696759259259254</v>
      </c>
      <c r="G186"/>
    </row>
    <row r="187" spans="1:7" x14ac:dyDescent="0.25">
      <c r="A187">
        <v>186</v>
      </c>
      <c r="B187">
        <v>20.48</v>
      </c>
      <c r="C187" s="1">
        <v>0.80684027777777778</v>
      </c>
      <c r="G187"/>
    </row>
    <row r="188" spans="1:7" x14ac:dyDescent="0.25">
      <c r="A188">
        <v>187</v>
      </c>
      <c r="B188">
        <v>20.48</v>
      </c>
      <c r="C188" s="1">
        <v>0.80686342592592597</v>
      </c>
      <c r="G188"/>
    </row>
    <row r="189" spans="1:7" x14ac:dyDescent="0.25">
      <c r="A189">
        <v>188</v>
      </c>
      <c r="B189">
        <v>20.6</v>
      </c>
      <c r="C189" s="1">
        <v>0.8068749999999999</v>
      </c>
      <c r="G189"/>
    </row>
    <row r="190" spans="1:7" x14ac:dyDescent="0.25">
      <c r="A190">
        <v>189</v>
      </c>
      <c r="B190">
        <v>20.6</v>
      </c>
      <c r="C190" s="1">
        <v>0.80688657407407405</v>
      </c>
      <c r="G190"/>
    </row>
    <row r="191" spans="1:7" x14ac:dyDescent="0.25">
      <c r="A191">
        <v>190</v>
      </c>
      <c r="B191">
        <v>20.6</v>
      </c>
      <c r="C191" s="1">
        <v>0.80696759259259254</v>
      </c>
      <c r="G191"/>
    </row>
    <row r="192" spans="1:7" x14ac:dyDescent="0.25">
      <c r="A192">
        <v>191</v>
      </c>
      <c r="B192">
        <v>20.48</v>
      </c>
      <c r="C192" s="1">
        <v>0.80684027777777778</v>
      </c>
      <c r="G192"/>
    </row>
    <row r="193" spans="1:7" x14ac:dyDescent="0.25">
      <c r="A193">
        <v>192</v>
      </c>
      <c r="B193">
        <v>20.48</v>
      </c>
      <c r="C193" s="1">
        <v>0.80686342592592597</v>
      </c>
      <c r="G193"/>
    </row>
    <row r="194" spans="1:7" x14ac:dyDescent="0.25">
      <c r="A194">
        <v>193</v>
      </c>
      <c r="B194">
        <v>20.6</v>
      </c>
      <c r="C194" s="1">
        <v>0.8068749999999999</v>
      </c>
      <c r="G194"/>
    </row>
    <row r="195" spans="1:7" x14ac:dyDescent="0.25">
      <c r="A195">
        <v>194</v>
      </c>
      <c r="B195">
        <v>20.6</v>
      </c>
      <c r="C195" s="1">
        <v>0.80688657407407405</v>
      </c>
      <c r="G195"/>
    </row>
    <row r="196" spans="1:7" x14ac:dyDescent="0.25">
      <c r="A196">
        <v>195</v>
      </c>
      <c r="B196">
        <v>20.6</v>
      </c>
      <c r="C196" s="1">
        <v>0.80696759259259254</v>
      </c>
      <c r="G196"/>
    </row>
    <row r="197" spans="1:7" x14ac:dyDescent="0.25">
      <c r="A197">
        <v>196</v>
      </c>
      <c r="B197">
        <v>20.48</v>
      </c>
      <c r="C197" s="1">
        <v>0.80684027777777778</v>
      </c>
      <c r="G197"/>
    </row>
    <row r="198" spans="1:7" x14ac:dyDescent="0.25">
      <c r="A198">
        <v>197</v>
      </c>
      <c r="B198">
        <v>20.48</v>
      </c>
      <c r="C198" s="1">
        <v>0.80686342592592597</v>
      </c>
      <c r="G198"/>
    </row>
    <row r="199" spans="1:7" x14ac:dyDescent="0.25">
      <c r="A199">
        <v>198</v>
      </c>
      <c r="B199">
        <v>20.6</v>
      </c>
      <c r="C199" s="1">
        <v>0.8068749999999999</v>
      </c>
      <c r="G199"/>
    </row>
    <row r="200" spans="1:7" x14ac:dyDescent="0.25">
      <c r="A200">
        <v>199</v>
      </c>
      <c r="B200">
        <v>20.6</v>
      </c>
      <c r="C200" s="1">
        <v>0.80688657407407405</v>
      </c>
      <c r="G200"/>
    </row>
    <row r="201" spans="1:7" x14ac:dyDescent="0.25">
      <c r="A201">
        <v>200</v>
      </c>
      <c r="B201">
        <v>20.6</v>
      </c>
      <c r="C201" s="1">
        <v>0.80696759259259254</v>
      </c>
      <c r="G201"/>
    </row>
    <row r="202" spans="1:7" x14ac:dyDescent="0.25">
      <c r="A202">
        <v>201</v>
      </c>
      <c r="B202">
        <v>20.48</v>
      </c>
      <c r="C202" s="1">
        <v>0.80684027777777778</v>
      </c>
      <c r="G202"/>
    </row>
    <row r="203" spans="1:7" x14ac:dyDescent="0.25">
      <c r="A203">
        <v>202</v>
      </c>
      <c r="B203">
        <v>20.48</v>
      </c>
      <c r="C203" s="1">
        <v>0.80686342592592597</v>
      </c>
      <c r="G203"/>
    </row>
    <row r="204" spans="1:7" x14ac:dyDescent="0.25">
      <c r="A204">
        <v>203</v>
      </c>
      <c r="B204">
        <v>20.6</v>
      </c>
      <c r="C204" s="1">
        <v>0.8068749999999999</v>
      </c>
      <c r="G204"/>
    </row>
    <row r="205" spans="1:7" x14ac:dyDescent="0.25">
      <c r="A205">
        <v>204</v>
      </c>
      <c r="B205">
        <v>20.6</v>
      </c>
      <c r="C205" s="1">
        <v>0.80688657407407405</v>
      </c>
      <c r="G205"/>
    </row>
    <row r="206" spans="1:7" x14ac:dyDescent="0.25">
      <c r="A206">
        <v>205</v>
      </c>
      <c r="B206">
        <v>20.6</v>
      </c>
      <c r="C206" s="1">
        <v>0.80696759259259254</v>
      </c>
      <c r="G206"/>
    </row>
    <row r="207" spans="1:7" x14ac:dyDescent="0.25">
      <c r="A207">
        <v>206</v>
      </c>
      <c r="B207">
        <v>20.48</v>
      </c>
      <c r="C207" s="1">
        <v>0.80684027777777778</v>
      </c>
      <c r="G207"/>
    </row>
    <row r="208" spans="1:7" x14ac:dyDescent="0.25">
      <c r="A208">
        <v>207</v>
      </c>
      <c r="B208">
        <v>20.48</v>
      </c>
      <c r="C208" s="1">
        <v>0.80686342592592597</v>
      </c>
      <c r="G208"/>
    </row>
    <row r="209" spans="1:7" x14ac:dyDescent="0.25">
      <c r="A209">
        <v>208</v>
      </c>
      <c r="B209">
        <v>20.6</v>
      </c>
      <c r="C209" s="1">
        <v>0.8068749999999999</v>
      </c>
      <c r="G209"/>
    </row>
    <row r="210" spans="1:7" x14ac:dyDescent="0.25">
      <c r="A210">
        <v>209</v>
      </c>
      <c r="B210">
        <v>20.6</v>
      </c>
      <c r="C210" s="1">
        <v>0.80688657407407405</v>
      </c>
      <c r="G210"/>
    </row>
    <row r="211" spans="1:7" x14ac:dyDescent="0.25">
      <c r="A211">
        <v>210</v>
      </c>
      <c r="B211">
        <v>20.6</v>
      </c>
      <c r="C211" s="1">
        <v>0.80696759259259254</v>
      </c>
      <c r="G211"/>
    </row>
    <row r="212" spans="1:7" x14ac:dyDescent="0.25">
      <c r="G212"/>
    </row>
    <row r="213" spans="1:7" x14ac:dyDescent="0.25">
      <c r="G213"/>
    </row>
    <row r="214" spans="1:7" x14ac:dyDescent="0.25">
      <c r="G214"/>
    </row>
    <row r="215" spans="1:7" x14ac:dyDescent="0.25">
      <c r="G215"/>
    </row>
    <row r="216" spans="1:7" x14ac:dyDescent="0.25">
      <c r="G216"/>
    </row>
    <row r="217" spans="1:7" x14ac:dyDescent="0.25">
      <c r="G217"/>
    </row>
    <row r="218" spans="1:7" x14ac:dyDescent="0.25">
      <c r="G218"/>
    </row>
    <row r="219" spans="1:7" x14ac:dyDescent="0.25">
      <c r="G219"/>
    </row>
    <row r="220" spans="1:7" x14ac:dyDescent="0.25">
      <c r="G220"/>
    </row>
    <row r="221" spans="1:7" x14ac:dyDescent="0.25">
      <c r="G221"/>
    </row>
    <row r="222" spans="1:7" x14ac:dyDescent="0.25">
      <c r="G222"/>
    </row>
    <row r="223" spans="1:7" x14ac:dyDescent="0.25">
      <c r="G223"/>
    </row>
    <row r="224" spans="1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R69"/>
  <sheetViews>
    <sheetView workbookViewId="0">
      <selection sqref="A1:XFD1"/>
    </sheetView>
  </sheetViews>
  <sheetFormatPr defaultRowHeight="15" x14ac:dyDescent="0.25"/>
  <cols>
    <col min="1" max="1" width="53.28515625" customWidth="1"/>
    <col min="2" max="2" width="10.140625" bestFit="1" customWidth="1"/>
    <col min="3" max="3" width="85" bestFit="1" customWidth="1"/>
    <col min="6" max="6" width="9.140625" customWidth="1"/>
    <col min="8" max="8" width="10.28515625" customWidth="1"/>
    <col min="9" max="9" width="12.5703125" customWidth="1"/>
    <col min="10" max="10" width="14.7109375" customWidth="1"/>
    <col min="11" max="11" width="13.140625" customWidth="1"/>
    <col min="12" max="12" width="21.140625" customWidth="1"/>
  </cols>
  <sheetData>
    <row r="2" spans="1:12" ht="15.75" x14ac:dyDescent="0.25">
      <c r="A2" s="9" t="s">
        <v>11</v>
      </c>
      <c r="B2" s="9" t="s">
        <v>12</v>
      </c>
      <c r="C2" s="9" t="s">
        <v>13</v>
      </c>
      <c r="H2" s="35" t="s">
        <v>79</v>
      </c>
      <c r="I2" s="35"/>
      <c r="J2" s="35"/>
      <c r="K2" s="35"/>
      <c r="L2" s="35"/>
    </row>
    <row r="3" spans="1:12" x14ac:dyDescent="0.25">
      <c r="A3" s="10" t="s">
        <v>14</v>
      </c>
      <c r="B3" s="9" t="s">
        <v>15</v>
      </c>
      <c r="C3" s="11" t="s">
        <v>16</v>
      </c>
      <c r="H3" s="95" t="s">
        <v>80</v>
      </c>
      <c r="I3" s="95"/>
      <c r="J3" s="95"/>
      <c r="K3" s="36" t="s">
        <v>81</v>
      </c>
      <c r="L3" s="37"/>
    </row>
    <row r="4" spans="1:12" x14ac:dyDescent="0.25">
      <c r="A4" s="10" t="s">
        <v>17</v>
      </c>
      <c r="B4" s="9" t="s">
        <v>18</v>
      </c>
      <c r="C4" s="11" t="s">
        <v>19</v>
      </c>
      <c r="H4" s="95"/>
      <c r="I4" s="95"/>
      <c r="J4" s="95"/>
      <c r="K4" s="38" t="s">
        <v>82</v>
      </c>
      <c r="L4" s="38" t="s">
        <v>83</v>
      </c>
    </row>
    <row r="5" spans="1:12" x14ac:dyDescent="0.25">
      <c r="A5" s="10" t="s">
        <v>20</v>
      </c>
      <c r="B5" s="9" t="s">
        <v>21</v>
      </c>
      <c r="C5" s="11" t="s">
        <v>22</v>
      </c>
      <c r="H5" s="40">
        <v>5</v>
      </c>
      <c r="I5" s="38" t="s">
        <v>84</v>
      </c>
      <c r="J5" s="36">
        <v>50</v>
      </c>
      <c r="K5" s="38">
        <v>9</v>
      </c>
      <c r="L5" s="38" t="s">
        <v>85</v>
      </c>
    </row>
    <row r="6" spans="1:12" x14ac:dyDescent="0.25">
      <c r="A6" s="10" t="s">
        <v>23</v>
      </c>
      <c r="B6" s="9" t="s">
        <v>24</v>
      </c>
      <c r="C6" s="11" t="s">
        <v>25</v>
      </c>
      <c r="H6" s="40">
        <v>50</v>
      </c>
      <c r="I6" s="38" t="s">
        <v>84</v>
      </c>
      <c r="J6" s="36">
        <v>100</v>
      </c>
      <c r="K6" s="38" t="s">
        <v>85</v>
      </c>
      <c r="L6" s="38">
        <v>4.5</v>
      </c>
    </row>
    <row r="7" spans="1:12" ht="30" x14ac:dyDescent="0.25">
      <c r="A7" s="12" t="s">
        <v>26</v>
      </c>
      <c r="B7" s="9" t="s">
        <v>27</v>
      </c>
      <c r="C7" s="11" t="s">
        <v>28</v>
      </c>
      <c r="H7" s="40">
        <v>100</v>
      </c>
      <c r="I7" s="38" t="s">
        <v>84</v>
      </c>
      <c r="J7" s="36">
        <v>200</v>
      </c>
      <c r="K7" s="38">
        <v>4.5</v>
      </c>
      <c r="L7" s="38" t="s">
        <v>85</v>
      </c>
    </row>
    <row r="8" spans="1:12" ht="45" x14ac:dyDescent="0.25">
      <c r="A8" s="13" t="s">
        <v>29</v>
      </c>
      <c r="B8" s="9" t="s">
        <v>30</v>
      </c>
      <c r="C8" s="11" t="s">
        <v>31</v>
      </c>
      <c r="H8" s="40">
        <v>200</v>
      </c>
      <c r="I8" s="38" t="s">
        <v>84</v>
      </c>
      <c r="J8" s="36">
        <v>300</v>
      </c>
      <c r="K8" s="37" t="s">
        <v>85</v>
      </c>
      <c r="L8" s="38">
        <v>9</v>
      </c>
    </row>
    <row r="9" spans="1:12" ht="45" x14ac:dyDescent="0.25">
      <c r="A9" s="13" t="s">
        <v>32</v>
      </c>
      <c r="B9" s="9" t="s">
        <v>33</v>
      </c>
      <c r="C9" s="11" t="s">
        <v>34</v>
      </c>
      <c r="H9" s="40">
        <v>300</v>
      </c>
      <c r="I9" s="38" t="s">
        <v>84</v>
      </c>
      <c r="J9" s="36">
        <v>500</v>
      </c>
      <c r="K9" s="38">
        <v>3</v>
      </c>
      <c r="L9" s="37" t="s">
        <v>85</v>
      </c>
    </row>
    <row r="10" spans="1:12" ht="30" x14ac:dyDescent="0.25">
      <c r="A10" s="13" t="s">
        <v>35</v>
      </c>
      <c r="B10" s="9" t="s">
        <v>36</v>
      </c>
      <c r="C10" s="11" t="s">
        <v>37</v>
      </c>
      <c r="H10" s="40">
        <v>500</v>
      </c>
      <c r="I10" s="38" t="s">
        <v>84</v>
      </c>
      <c r="J10" s="36">
        <v>1000</v>
      </c>
      <c r="K10" s="38"/>
      <c r="L10" s="38">
        <v>15</v>
      </c>
    </row>
    <row r="11" spans="1:12" ht="45" x14ac:dyDescent="0.25">
      <c r="A11" s="14" t="s">
        <v>38</v>
      </c>
      <c r="B11" s="9" t="s">
        <v>39</v>
      </c>
      <c r="C11" s="11" t="s">
        <v>40</v>
      </c>
      <c r="H11" s="40">
        <v>1000</v>
      </c>
      <c r="I11" s="38" t="s">
        <v>84</v>
      </c>
      <c r="J11" s="36">
        <v>10000</v>
      </c>
      <c r="K11" s="38">
        <v>1.5</v>
      </c>
      <c r="L11" s="37" t="s">
        <v>85</v>
      </c>
    </row>
    <row r="12" spans="1:12" ht="45" x14ac:dyDescent="0.25">
      <c r="A12" s="15" t="s">
        <v>41</v>
      </c>
      <c r="B12" s="9" t="s">
        <v>42</v>
      </c>
      <c r="C12" s="11" t="s">
        <v>43</v>
      </c>
    </row>
    <row r="13" spans="1:12" ht="30" x14ac:dyDescent="0.25">
      <c r="A13" s="15" t="s">
        <v>44</v>
      </c>
      <c r="B13" s="9" t="s">
        <v>45</v>
      </c>
      <c r="C13" s="11" t="s">
        <v>46</v>
      </c>
    </row>
    <row r="14" spans="1:12" ht="38.25" x14ac:dyDescent="0.25">
      <c r="A14" s="16" t="s">
        <v>47</v>
      </c>
      <c r="B14" s="9" t="s">
        <v>48</v>
      </c>
      <c r="C14" s="17" t="s">
        <v>49</v>
      </c>
    </row>
    <row r="15" spans="1:12" ht="45" x14ac:dyDescent="0.25">
      <c r="A15" s="18" t="s">
        <v>50</v>
      </c>
      <c r="B15" s="9" t="s">
        <v>51</v>
      </c>
      <c r="C15" s="11" t="s">
        <v>52</v>
      </c>
    </row>
    <row r="16" spans="1:12" x14ac:dyDescent="0.25">
      <c r="A16" s="18" t="s">
        <v>53</v>
      </c>
      <c r="B16" s="9" t="s">
        <v>54</v>
      </c>
      <c r="C16" s="11" t="s">
        <v>55</v>
      </c>
    </row>
    <row r="17" spans="1:18" x14ac:dyDescent="0.25">
      <c r="A17" s="18" t="s">
        <v>56</v>
      </c>
      <c r="B17" s="9" t="s">
        <v>57</v>
      </c>
      <c r="C17" s="11" t="s">
        <v>58</v>
      </c>
    </row>
    <row r="18" spans="1:18" x14ac:dyDescent="0.25">
      <c r="A18" s="19"/>
      <c r="B18" s="20"/>
      <c r="C18" s="19"/>
    </row>
    <row r="19" spans="1:18" ht="15.75" x14ac:dyDescent="0.25">
      <c r="A19" s="21" t="s">
        <v>59</v>
      </c>
      <c r="B19" s="20"/>
      <c r="C19" s="22" t="s">
        <v>60</v>
      </c>
    </row>
    <row r="20" spans="1:18" ht="15.75" x14ac:dyDescent="0.25">
      <c r="A20" s="23" t="s">
        <v>61</v>
      </c>
      <c r="B20" s="20"/>
      <c r="C20" s="24" t="s">
        <v>62</v>
      </c>
    </row>
    <row r="21" spans="1:18" ht="31.5" x14ac:dyDescent="0.25">
      <c r="A21" s="25" t="s">
        <v>63</v>
      </c>
      <c r="B21" s="20"/>
      <c r="C21" s="26" t="s">
        <v>64</v>
      </c>
    </row>
    <row r="22" spans="1:18" ht="31.5" x14ac:dyDescent="0.25">
      <c r="A22" s="25" t="s">
        <v>65</v>
      </c>
      <c r="B22" s="20"/>
      <c r="C22" s="26" t="s">
        <v>66</v>
      </c>
    </row>
    <row r="23" spans="1:18" x14ac:dyDescent="0.25">
      <c r="A23" s="27" t="s">
        <v>67</v>
      </c>
      <c r="B23" s="20" t="s">
        <v>68</v>
      </c>
      <c r="C23" s="26" t="s">
        <v>69</v>
      </c>
    </row>
    <row r="24" spans="1:18" x14ac:dyDescent="0.25">
      <c r="A24" s="27" t="s">
        <v>70</v>
      </c>
      <c r="B24" s="20"/>
      <c r="C24" s="26" t="s">
        <v>71</v>
      </c>
    </row>
    <row r="25" spans="1:18" x14ac:dyDescent="0.25">
      <c r="A25" s="27" t="s">
        <v>72</v>
      </c>
      <c r="B25" s="20" t="s">
        <v>73</v>
      </c>
      <c r="C25" s="26" t="s">
        <v>74</v>
      </c>
    </row>
    <row r="26" spans="1:18" x14ac:dyDescent="0.25">
      <c r="A26" s="27" t="s">
        <v>67</v>
      </c>
      <c r="B26" s="20"/>
      <c r="C26" s="26" t="s">
        <v>69</v>
      </c>
    </row>
    <row r="27" spans="1:18" x14ac:dyDescent="0.25">
      <c r="A27" s="28" t="s">
        <v>75</v>
      </c>
      <c r="B27" s="20"/>
      <c r="C27" s="11" t="s">
        <v>75</v>
      </c>
    </row>
    <row r="28" spans="1:18" ht="18" x14ac:dyDescent="0.25">
      <c r="G28" s="41" t="s">
        <v>86</v>
      </c>
      <c r="H28" s="42"/>
      <c r="I28" s="42"/>
      <c r="J28" s="42"/>
      <c r="K28" s="42"/>
      <c r="L28" s="42"/>
      <c r="M28" s="42"/>
      <c r="N28" s="43"/>
      <c r="O28" s="35"/>
      <c r="P28" s="35"/>
      <c r="Q28" s="35"/>
      <c r="R28" s="44"/>
    </row>
    <row r="29" spans="1:18" ht="126" x14ac:dyDescent="0.25">
      <c r="G29" s="45" t="s">
        <v>87</v>
      </c>
      <c r="H29" s="45"/>
      <c r="I29" s="46">
        <f>H10-I13</f>
        <v>500</v>
      </c>
      <c r="J29" s="42" t="s">
        <v>88</v>
      </c>
      <c r="K29" s="35"/>
      <c r="L29" s="47"/>
      <c r="M29" s="48"/>
      <c r="N29" s="49"/>
      <c r="O29" s="35"/>
      <c r="P29" s="35"/>
      <c r="Q29" s="35"/>
      <c r="R29" s="44"/>
    </row>
    <row r="30" spans="1:18" ht="15.75" x14ac:dyDescent="0.25">
      <c r="G30" s="50" t="s">
        <v>89</v>
      </c>
      <c r="H30" s="47"/>
      <c r="I30" s="47"/>
      <c r="J30" s="47"/>
      <c r="K30" s="47"/>
      <c r="L30" s="47"/>
      <c r="M30" s="51"/>
      <c r="O30" s="35"/>
      <c r="P30" s="35"/>
      <c r="Q30" s="35"/>
      <c r="R30" s="44"/>
    </row>
    <row r="31" spans="1:18" ht="15.75" x14ac:dyDescent="0.25">
      <c r="G31" s="42" t="s">
        <v>90</v>
      </c>
      <c r="H31" s="51"/>
      <c r="I31" s="51"/>
      <c r="J31" s="51"/>
      <c r="K31" s="47"/>
      <c r="L31" s="47"/>
      <c r="M31" s="51"/>
      <c r="O31" s="35"/>
      <c r="P31" s="35"/>
      <c r="Q31" s="35"/>
      <c r="R31" s="44"/>
    </row>
    <row r="32" spans="1:18" ht="15.75" x14ac:dyDescent="0.25">
      <c r="G32" s="47"/>
      <c r="H32" s="47"/>
      <c r="I32" s="47"/>
      <c r="J32" s="47"/>
      <c r="K32" s="47"/>
      <c r="L32" s="47"/>
      <c r="M32" s="47"/>
      <c r="N32" s="35"/>
      <c r="O32" s="35"/>
      <c r="P32" s="35"/>
      <c r="Q32" s="35"/>
      <c r="R32" s="44"/>
    </row>
    <row r="33" spans="7:18" ht="51" x14ac:dyDescent="0.25">
      <c r="G33" s="35"/>
      <c r="H33" s="35"/>
      <c r="I33" s="35"/>
      <c r="J33" s="35"/>
      <c r="K33" s="96" t="s">
        <v>91</v>
      </c>
      <c r="L33" s="97"/>
      <c r="M33" s="98"/>
      <c r="N33" s="52" t="s">
        <v>92</v>
      </c>
      <c r="O33" s="52" t="s">
        <v>93</v>
      </c>
      <c r="P33" s="52" t="s">
        <v>94</v>
      </c>
      <c r="Q33" s="52" t="s">
        <v>95</v>
      </c>
      <c r="R33" s="53" t="s">
        <v>96</v>
      </c>
    </row>
    <row r="34" spans="7:18" ht="15.75" x14ac:dyDescent="0.25">
      <c r="G34" s="35"/>
      <c r="H34" s="35"/>
      <c r="I34" s="35"/>
      <c r="J34" s="35"/>
      <c r="K34" s="54">
        <v>100</v>
      </c>
      <c r="L34" s="55" t="s">
        <v>97</v>
      </c>
      <c r="M34" s="56">
        <v>500</v>
      </c>
      <c r="N34" s="57">
        <v>1</v>
      </c>
      <c r="O34" s="57">
        <v>30</v>
      </c>
      <c r="P34" s="57">
        <f>O34</f>
        <v>30</v>
      </c>
      <c r="Q34" s="57">
        <v>1</v>
      </c>
      <c r="R34" s="58">
        <v>3</v>
      </c>
    </row>
    <row r="35" spans="7:18" ht="15.75" x14ac:dyDescent="0.25">
      <c r="G35" s="35"/>
      <c r="H35" s="35"/>
      <c r="I35" s="35"/>
      <c r="J35" s="35"/>
      <c r="K35" s="59"/>
      <c r="L35" s="60"/>
      <c r="M35" s="61"/>
      <c r="N35" s="62">
        <v>2</v>
      </c>
      <c r="O35" s="62">
        <v>30</v>
      </c>
      <c r="P35" s="62">
        <f>P34+O35</f>
        <v>60</v>
      </c>
      <c r="Q35" s="62">
        <v>4</v>
      </c>
      <c r="R35" s="63">
        <v>5</v>
      </c>
    </row>
    <row r="36" spans="7:18" ht="15.75" x14ac:dyDescent="0.25">
      <c r="G36" s="35"/>
      <c r="H36" s="35"/>
      <c r="I36" s="35"/>
      <c r="J36" s="35"/>
      <c r="K36" s="54">
        <v>501</v>
      </c>
      <c r="L36" s="55" t="s">
        <v>97</v>
      </c>
      <c r="M36" s="56">
        <v>3200</v>
      </c>
      <c r="N36" s="64">
        <v>1</v>
      </c>
      <c r="O36" s="64">
        <v>50</v>
      </c>
      <c r="P36" s="64">
        <f>O36</f>
        <v>50</v>
      </c>
      <c r="Q36" s="64">
        <v>2</v>
      </c>
      <c r="R36" s="65">
        <v>5</v>
      </c>
    </row>
    <row r="37" spans="7:18" ht="15.75" x14ac:dyDescent="0.25">
      <c r="G37" s="35"/>
      <c r="H37" s="35"/>
      <c r="I37" s="35"/>
      <c r="J37" s="35"/>
      <c r="K37" s="59"/>
      <c r="L37" s="60"/>
      <c r="M37" s="61"/>
      <c r="N37" s="64">
        <v>2</v>
      </c>
      <c r="O37" s="64">
        <v>50</v>
      </c>
      <c r="P37" s="64">
        <f>P36+O37</f>
        <v>100</v>
      </c>
      <c r="Q37" s="64">
        <v>6</v>
      </c>
      <c r="R37" s="65">
        <v>7</v>
      </c>
    </row>
    <row r="38" spans="7:18" ht="15.75" x14ac:dyDescent="0.25">
      <c r="G38" s="35"/>
      <c r="H38" s="35"/>
      <c r="I38" s="35"/>
      <c r="J38" s="35"/>
      <c r="K38" s="54"/>
      <c r="L38" s="55"/>
      <c r="M38" s="56" t="s">
        <v>98</v>
      </c>
      <c r="N38" s="57">
        <v>1</v>
      </c>
      <c r="O38" s="57">
        <v>80</v>
      </c>
      <c r="P38" s="57">
        <f>O38</f>
        <v>80</v>
      </c>
      <c r="Q38" s="57">
        <v>3</v>
      </c>
      <c r="R38" s="58">
        <v>7</v>
      </c>
    </row>
    <row r="39" spans="7:18" ht="15.75" x14ac:dyDescent="0.25">
      <c r="G39" s="35"/>
      <c r="H39" s="35"/>
      <c r="I39" s="35"/>
      <c r="J39" s="35"/>
      <c r="K39" s="59"/>
      <c r="L39" s="60"/>
      <c r="M39" s="61"/>
      <c r="N39" s="62">
        <v>2</v>
      </c>
      <c r="O39" s="62">
        <v>80</v>
      </c>
      <c r="P39" s="62">
        <f>P38+O39</f>
        <v>160</v>
      </c>
      <c r="Q39" s="62">
        <v>8</v>
      </c>
      <c r="R39" s="63">
        <v>9</v>
      </c>
    </row>
    <row r="40" spans="7:18" ht="25.5" x14ac:dyDescent="0.25">
      <c r="J40" s="66"/>
      <c r="K40" s="67" t="s">
        <v>99</v>
      </c>
      <c r="L40" s="67" t="s">
        <v>100</v>
      </c>
      <c r="M40" s="64"/>
      <c r="N40" s="64"/>
      <c r="O40" s="64"/>
      <c r="P40" s="64"/>
      <c r="Q40" s="64"/>
      <c r="R40" s="68"/>
    </row>
    <row r="41" spans="7:18" x14ac:dyDescent="0.25">
      <c r="G41" t="s">
        <v>101</v>
      </c>
      <c r="I41" s="69" t="s">
        <v>102</v>
      </c>
      <c r="J41" s="70">
        <f>IF(I24&gt;3201,80, IF(I24&gt;=501,50, IF(I24&gt;100,30,I24)))</f>
        <v>0</v>
      </c>
      <c r="K41" s="70">
        <f>IF(J41=30,1, IF(J41=50,2, IF(J41=80,3,1)))</f>
        <v>1</v>
      </c>
      <c r="L41" s="70">
        <f>IF(J41=30,3, IF(J41=50,5, IF(J41=80,7,3)))</f>
        <v>3</v>
      </c>
      <c r="M41" s="64"/>
      <c r="N41" s="64"/>
      <c r="O41" s="64"/>
      <c r="P41" s="64"/>
      <c r="Q41" s="64"/>
      <c r="R41" s="68"/>
    </row>
    <row r="42" spans="7:18" x14ac:dyDescent="0.25">
      <c r="I42" s="69" t="s">
        <v>103</v>
      </c>
      <c r="J42" s="70">
        <f>IF(J41&gt;3201,80, IF(J41&gt;=501, "ES1=50 + ES2=50", IF(J41&gt;100, "ES1=30 + ES2=30",J41)))</f>
        <v>0</v>
      </c>
      <c r="K42" s="70">
        <f>IF(J42=30,4, IF(J42=50,6, IF(J42=80,8,4)))</f>
        <v>4</v>
      </c>
      <c r="L42" s="70">
        <f>IF(J42=30,5, IF(J42=50,7, IF(J42=80,9,5)))</f>
        <v>5</v>
      </c>
      <c r="M42" s="64"/>
      <c r="N42" s="64"/>
      <c r="O42" s="64"/>
      <c r="P42" s="64"/>
      <c r="Q42" s="64"/>
      <c r="R42" s="68"/>
    </row>
    <row r="43" spans="7:18" ht="15.75" x14ac:dyDescent="0.25">
      <c r="G43" s="47"/>
      <c r="H43" s="47"/>
      <c r="I43" s="47"/>
      <c r="J43" s="47"/>
      <c r="K43" s="47"/>
      <c r="L43" s="47"/>
      <c r="M43" s="47"/>
      <c r="N43" s="35"/>
      <c r="O43" s="35"/>
      <c r="P43" s="35"/>
      <c r="Q43" s="35"/>
      <c r="R43" s="44"/>
    </row>
    <row r="44" spans="7:18" ht="15.75" x14ac:dyDescent="0.25">
      <c r="G44" s="71" t="s">
        <v>63</v>
      </c>
      <c r="H44" s="55"/>
      <c r="I44" s="55"/>
      <c r="J44" s="55"/>
      <c r="K44" s="55"/>
      <c r="L44" s="72">
        <f>COUNTIF(AB16:AB92,"N")</f>
        <v>0</v>
      </c>
      <c r="M44" s="73"/>
      <c r="N44" s="35"/>
      <c r="O44" s="35"/>
      <c r="P44" s="35"/>
      <c r="Q44" s="35"/>
      <c r="R44" s="44"/>
    </row>
    <row r="45" spans="7:18" ht="15.75" x14ac:dyDescent="0.25">
      <c r="G45" s="74" t="s">
        <v>104</v>
      </c>
      <c r="H45" s="60"/>
      <c r="I45" s="60"/>
      <c r="J45" s="60"/>
      <c r="K45" s="60"/>
      <c r="L45" s="75" t="str">
        <f>IF(L44&lt;=K41,"LOT ACCEPTAT", IF(L44&gt;=L41,"LOT RESPINS","SE VERIFICA SI ES2"))</f>
        <v>LOT ACCEPTAT</v>
      </c>
      <c r="M45" s="76"/>
      <c r="N45" s="35"/>
      <c r="O45" s="35"/>
      <c r="P45" s="35"/>
      <c r="Q45" s="35"/>
      <c r="R45" s="44"/>
    </row>
    <row r="46" spans="7:18" ht="15.75" x14ac:dyDescent="0.25">
      <c r="G46" s="77"/>
      <c r="H46" s="47"/>
      <c r="I46" s="47"/>
      <c r="J46" s="78" t="s">
        <v>105</v>
      </c>
      <c r="K46" s="35"/>
      <c r="L46" s="47"/>
      <c r="M46" s="47"/>
      <c r="N46" s="35"/>
      <c r="O46" s="35"/>
      <c r="P46" s="35"/>
      <c r="Q46" s="35"/>
      <c r="R46" s="44"/>
    </row>
    <row r="47" spans="7:18" ht="15.75" x14ac:dyDescent="0.25">
      <c r="G47" s="77"/>
      <c r="H47" s="47"/>
      <c r="I47" s="47"/>
      <c r="J47" s="78" t="s">
        <v>106</v>
      </c>
      <c r="K47" s="35"/>
      <c r="L47" s="47"/>
      <c r="M47" s="47"/>
      <c r="N47" s="35"/>
      <c r="O47" s="35"/>
      <c r="P47" s="35"/>
      <c r="Q47" s="35"/>
      <c r="R47" s="44"/>
    </row>
    <row r="48" spans="7:18" ht="15.75" x14ac:dyDescent="0.25">
      <c r="G48" s="77"/>
      <c r="H48" s="47"/>
      <c r="I48" s="47"/>
      <c r="J48" s="78" t="s">
        <v>107</v>
      </c>
      <c r="K48" s="35"/>
      <c r="L48" s="47"/>
      <c r="M48" s="47"/>
      <c r="N48" s="35"/>
      <c r="O48" s="35"/>
      <c r="P48" s="35"/>
      <c r="Q48" s="35"/>
      <c r="R48" s="44"/>
    </row>
    <row r="49" spans="7:18" ht="15.75" x14ac:dyDescent="0.25">
      <c r="G49" s="77"/>
      <c r="H49" s="47"/>
      <c r="I49" s="47"/>
      <c r="J49" s="47"/>
      <c r="K49" s="78"/>
      <c r="L49" s="47"/>
      <c r="M49" s="47"/>
      <c r="N49" s="35"/>
      <c r="O49" s="35"/>
      <c r="P49" s="35"/>
      <c r="Q49" s="35"/>
      <c r="R49" s="44"/>
    </row>
    <row r="50" spans="7:18" ht="15.75" x14ac:dyDescent="0.25">
      <c r="G50" s="71" t="s">
        <v>65</v>
      </c>
      <c r="H50" s="55"/>
      <c r="I50" s="55"/>
      <c r="J50" s="55"/>
      <c r="K50" s="55"/>
      <c r="L50" s="79">
        <f>COUNTIF(AE16:AE101,"N")</f>
        <v>0</v>
      </c>
      <c r="M50" s="73"/>
      <c r="N50" s="35"/>
      <c r="O50" s="35"/>
      <c r="P50" s="35"/>
      <c r="Q50" s="35"/>
      <c r="R50" s="44"/>
    </row>
    <row r="51" spans="7:18" ht="15.75" x14ac:dyDescent="0.25">
      <c r="G51" s="74" t="s">
        <v>108</v>
      </c>
      <c r="H51" s="60"/>
      <c r="I51" s="60"/>
      <c r="J51" s="60"/>
      <c r="K51" s="60"/>
      <c r="L51" s="75" t="str">
        <f>IF((L44+L50)&lt;=K42,"LOT ACCEPTAT","LOT RESPINS")</f>
        <v>LOT ACCEPTAT</v>
      </c>
      <c r="M51" s="76"/>
      <c r="N51" s="35"/>
      <c r="O51" s="35"/>
      <c r="P51" s="35"/>
      <c r="Q51" s="35"/>
      <c r="R51" s="44"/>
    </row>
    <row r="52" spans="7:18" ht="15.75" x14ac:dyDescent="0.25">
      <c r="G52" s="35"/>
      <c r="H52" s="35"/>
      <c r="I52" s="35"/>
      <c r="J52" s="78" t="s">
        <v>109</v>
      </c>
      <c r="K52" s="35"/>
      <c r="L52" s="35"/>
      <c r="M52" s="35"/>
      <c r="N52" s="35"/>
      <c r="O52" s="35"/>
      <c r="P52" s="35"/>
      <c r="Q52" s="35"/>
      <c r="R52" s="44"/>
    </row>
    <row r="53" spans="7:18" ht="15.75" x14ac:dyDescent="0.25">
      <c r="G53" s="35"/>
      <c r="H53" s="35"/>
      <c r="I53" s="35"/>
      <c r="J53" s="78" t="s">
        <v>110</v>
      </c>
      <c r="K53" s="35"/>
      <c r="L53" s="35"/>
      <c r="M53" s="35"/>
      <c r="N53" s="35"/>
      <c r="O53" s="35"/>
      <c r="P53" s="35"/>
      <c r="Q53" s="35"/>
      <c r="R53" s="44"/>
    </row>
    <row r="54" spans="7:18" ht="15.75" x14ac:dyDescent="0.25">
      <c r="G54" s="35"/>
      <c r="H54" s="35"/>
      <c r="I54" s="35"/>
      <c r="J54" s="78"/>
      <c r="K54" s="35"/>
      <c r="L54" s="35"/>
      <c r="M54" s="35"/>
      <c r="N54" s="35"/>
      <c r="O54" s="35"/>
      <c r="P54" s="35"/>
      <c r="Q54" s="35"/>
      <c r="R54" s="44"/>
    </row>
    <row r="55" spans="7:18" ht="15.75" x14ac:dyDescent="0.25"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44"/>
    </row>
    <row r="56" spans="7:18" ht="18" x14ac:dyDescent="0.25">
      <c r="G56" s="80" t="s">
        <v>111</v>
      </c>
      <c r="H56" s="80"/>
      <c r="I56" s="80"/>
      <c r="J56" s="80"/>
      <c r="K56" s="80"/>
      <c r="L56" s="80"/>
      <c r="M56" s="80"/>
      <c r="N56" s="80"/>
      <c r="O56" s="80"/>
      <c r="P56" s="35"/>
      <c r="Q56" s="35"/>
      <c r="R56" s="44"/>
    </row>
    <row r="57" spans="7:18" ht="15.75" x14ac:dyDescent="0.25">
      <c r="G57" s="43" t="s">
        <v>112</v>
      </c>
      <c r="H57" s="49"/>
      <c r="I57" s="49"/>
      <c r="J57" s="49"/>
      <c r="K57" s="49"/>
      <c r="L57" s="49"/>
      <c r="M57" s="49"/>
      <c r="N57" s="49"/>
      <c r="O57" s="49"/>
      <c r="P57" s="35"/>
      <c r="Q57" s="35"/>
      <c r="R57" s="44"/>
    </row>
    <row r="58" spans="7:18" ht="15.75" x14ac:dyDescent="0.25">
      <c r="G58" s="69" t="s">
        <v>67</v>
      </c>
      <c r="J58" s="81" t="e">
        <f>AVERAGE(AG16:AG45)</f>
        <v>#DIV/0!</v>
      </c>
      <c r="K58" s="82" t="e">
        <f>J58-J59</f>
        <v>#DIV/0!</v>
      </c>
      <c r="L58" s="83" t="str">
        <f>IF($E$54&gt;$E$55,"LOT ACCEPTAT","LOT RESPINS")</f>
        <v>LOT RESPINS</v>
      </c>
      <c r="N58" s="84"/>
      <c r="P58" s="35"/>
      <c r="Q58" s="35"/>
      <c r="R58" s="44"/>
    </row>
    <row r="59" spans="7:18" ht="15.75" x14ac:dyDescent="0.25">
      <c r="G59" s="69" t="s">
        <v>113</v>
      </c>
      <c r="J59" s="85" t="e">
        <f>H10-($E$56/SQRT($AB$42)*0.995)</f>
        <v>#DIV/0!</v>
      </c>
      <c r="P59" s="35"/>
      <c r="Q59" s="35"/>
      <c r="R59" s="44"/>
    </row>
    <row r="60" spans="7:18" ht="15.75" x14ac:dyDescent="0.25">
      <c r="G60" s="69" t="s">
        <v>72</v>
      </c>
      <c r="J60">
        <f>SQRT(AI46/(AG46-1))</f>
        <v>0</v>
      </c>
      <c r="K60" t="e">
        <f>STDEV(AG16:AG45)</f>
        <v>#DIV/0!</v>
      </c>
      <c r="P60" s="35"/>
      <c r="Q60" s="35"/>
      <c r="R60" s="44"/>
    </row>
    <row r="61" spans="7:18" ht="15.75" x14ac:dyDescent="0.25">
      <c r="G61" s="69"/>
      <c r="P61" s="35"/>
      <c r="Q61" s="35"/>
      <c r="R61" s="44"/>
    </row>
    <row r="62" spans="7:18" ht="15.75" x14ac:dyDescent="0.25">
      <c r="G62" s="43" t="s">
        <v>114</v>
      </c>
      <c r="H62" s="49"/>
      <c r="I62" s="49"/>
      <c r="J62" s="49"/>
      <c r="K62" s="49"/>
      <c r="L62" s="49"/>
      <c r="M62" s="49"/>
      <c r="N62" s="49"/>
      <c r="O62" s="49"/>
      <c r="P62" s="35"/>
      <c r="Q62" s="35"/>
      <c r="R62" s="44"/>
    </row>
    <row r="63" spans="7:18" ht="51" x14ac:dyDescent="0.25">
      <c r="G63" s="49"/>
      <c r="H63" s="49"/>
      <c r="I63" s="49"/>
      <c r="J63" s="49"/>
      <c r="K63" s="94" t="s">
        <v>91</v>
      </c>
      <c r="L63" s="94"/>
      <c r="M63" s="94"/>
      <c r="N63" s="52" t="s">
        <v>93</v>
      </c>
      <c r="O63" s="52" t="s">
        <v>115</v>
      </c>
      <c r="P63" s="53" t="s">
        <v>116</v>
      </c>
      <c r="Q63" s="35"/>
      <c r="R63" s="44"/>
    </row>
    <row r="64" spans="7:18" ht="15.75" x14ac:dyDescent="0.25">
      <c r="G64" s="49"/>
      <c r="H64" s="49"/>
      <c r="I64" s="49"/>
      <c r="J64" s="49"/>
      <c r="K64" s="39">
        <v>100</v>
      </c>
      <c r="L64" s="39" t="s">
        <v>97</v>
      </c>
      <c r="M64" s="22">
        <v>500</v>
      </c>
      <c r="N64" s="86">
        <v>30</v>
      </c>
      <c r="O64" s="87" t="s">
        <v>117</v>
      </c>
      <c r="P64" s="87" t="s">
        <v>118</v>
      </c>
      <c r="Q64" s="35"/>
      <c r="R64" s="44"/>
    </row>
    <row r="65" spans="7:18" ht="15.75" x14ac:dyDescent="0.25">
      <c r="G65" s="49"/>
      <c r="H65" s="49"/>
      <c r="I65" s="49"/>
      <c r="J65" s="49"/>
      <c r="K65" s="39"/>
      <c r="L65" s="39"/>
      <c r="M65" s="22" t="s">
        <v>119</v>
      </c>
      <c r="N65" s="86">
        <v>50</v>
      </c>
      <c r="O65" s="87" t="s">
        <v>120</v>
      </c>
      <c r="P65" s="87" t="s">
        <v>121</v>
      </c>
      <c r="Q65" s="35"/>
      <c r="R65" s="44"/>
    </row>
    <row r="66" spans="7:18" ht="15.75" x14ac:dyDescent="0.25">
      <c r="G66" s="49"/>
      <c r="H66" s="49"/>
      <c r="I66" s="49"/>
      <c r="J66" s="49"/>
      <c r="K66" s="35"/>
      <c r="L66" s="47"/>
      <c r="M66" s="35"/>
      <c r="N66" s="49"/>
      <c r="O66" s="49"/>
      <c r="P66" s="35"/>
      <c r="Q66" s="35"/>
      <c r="R66" s="44"/>
    </row>
    <row r="67" spans="7:18" ht="15.75" x14ac:dyDescent="0.25">
      <c r="G67" s="49"/>
      <c r="H67" s="49"/>
      <c r="I67" s="49"/>
      <c r="J67" s="49"/>
      <c r="K67" s="49"/>
      <c r="L67" s="49"/>
      <c r="M67" s="49"/>
      <c r="N67" s="49"/>
      <c r="O67" s="49"/>
      <c r="P67" s="35"/>
      <c r="Q67" s="35"/>
      <c r="R67" s="44"/>
    </row>
    <row r="68" spans="7:18" ht="15.75" x14ac:dyDescent="0.25">
      <c r="G68" s="69" t="s">
        <v>67</v>
      </c>
      <c r="J68" s="81" t="e">
        <f>AVERAGE(AG16:AG45)</f>
        <v>#DIV/0!</v>
      </c>
      <c r="K68" s="82" t="e">
        <f>J68-J69</f>
        <v>#DIV/0!</v>
      </c>
      <c r="L68" s="83" t="e">
        <f>IF(J58&gt;=J69,"LOT ACCEPTAT","LOT RESPINS")</f>
        <v>#DIV/0!</v>
      </c>
      <c r="P68" s="35"/>
      <c r="Q68" s="35"/>
      <c r="R68" s="44"/>
    </row>
    <row r="69" spans="7:18" ht="15.75" x14ac:dyDescent="0.25">
      <c r="G69" t="s">
        <v>122</v>
      </c>
      <c r="J69" s="88">
        <f>H10-0.503*$E$56</f>
        <v>500</v>
      </c>
      <c r="P69" s="35"/>
      <c r="Q69" s="35"/>
      <c r="R69" s="44"/>
    </row>
  </sheetData>
  <mergeCells count="3">
    <mergeCell ref="K63:M63"/>
    <mergeCell ref="H3:J4"/>
    <mergeCell ref="K33:M3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31"/>
  <sheetViews>
    <sheetView workbookViewId="0">
      <selection activeCell="D15" sqref="D15:Q15"/>
    </sheetView>
  </sheetViews>
  <sheetFormatPr defaultRowHeight="15" x14ac:dyDescent="0.25"/>
  <cols>
    <col min="1" max="1" width="3.28515625" customWidth="1"/>
    <col min="2" max="2" width="3.140625" customWidth="1"/>
    <col min="3" max="3" width="3" customWidth="1"/>
    <col min="4" max="4" width="7.28515625" customWidth="1"/>
    <col min="5" max="5" width="10.7109375" customWidth="1"/>
    <col min="6" max="6" width="6.85546875" customWidth="1"/>
    <col min="7" max="7" width="20.140625" customWidth="1"/>
    <col min="8" max="8" width="4.28515625" customWidth="1"/>
    <col min="9" max="9" width="10.7109375" customWidth="1"/>
    <col min="10" max="10" width="11.7109375" customWidth="1"/>
    <col min="11" max="11" width="5.85546875" customWidth="1"/>
    <col min="12" max="12" width="10.5703125" customWidth="1"/>
    <col min="13" max="13" width="11.42578125" customWidth="1"/>
    <col min="14" max="14" width="6.28515625" customWidth="1"/>
    <col min="15" max="15" width="10.42578125" bestFit="1" customWidth="1"/>
    <col min="16" max="16" width="21.28515625" customWidth="1"/>
    <col min="17" max="17" width="8.28515625" bestFit="1" customWidth="1"/>
  </cols>
  <sheetData>
    <row r="1" spans="1:17" ht="26.25" x14ac:dyDescent="0.4">
      <c r="A1" s="102" t="s">
        <v>140</v>
      </c>
    </row>
    <row r="3" spans="1:17" hidden="1" x14ac:dyDescent="0.25"/>
    <row r="4" spans="1:17" hidden="1" x14ac:dyDescent="0.25"/>
    <row r="5" spans="1:17" hidden="1" x14ac:dyDescent="0.25"/>
    <row r="6" spans="1:17" hidden="1" x14ac:dyDescent="0.25"/>
    <row r="7" spans="1:17" hidden="1" x14ac:dyDescent="0.25"/>
    <row r="8" spans="1:17" hidden="1" x14ac:dyDescent="0.25"/>
    <row r="9" spans="1:17" hidden="1" x14ac:dyDescent="0.25"/>
    <row r="10" spans="1:17" hidden="1" x14ac:dyDescent="0.25"/>
    <row r="11" spans="1:17" hidden="1" x14ac:dyDescent="0.25"/>
    <row r="12" spans="1:17" hidden="1" x14ac:dyDescent="0.25"/>
    <row r="13" spans="1:17" hidden="1" x14ac:dyDescent="0.25"/>
    <row r="14" spans="1:17" hidden="1" x14ac:dyDescent="0.25"/>
    <row r="15" spans="1:17" ht="45" x14ac:dyDescent="0.25">
      <c r="D15" s="30" t="s">
        <v>127</v>
      </c>
      <c r="E15" s="30" t="s">
        <v>128</v>
      </c>
      <c r="F15" s="30" t="s">
        <v>129</v>
      </c>
      <c r="G15" s="32" t="s">
        <v>134</v>
      </c>
      <c r="H15" s="30" t="s">
        <v>127</v>
      </c>
      <c r="I15" s="105" t="s">
        <v>141</v>
      </c>
      <c r="J15" s="30" t="s">
        <v>135</v>
      </c>
      <c r="K15" s="30" t="s">
        <v>127</v>
      </c>
      <c r="L15" s="30" t="s">
        <v>142</v>
      </c>
      <c r="M15" s="30" t="s">
        <v>136</v>
      </c>
      <c r="N15" s="30" t="s">
        <v>127</v>
      </c>
      <c r="O15" s="30" t="s">
        <v>143</v>
      </c>
      <c r="P15" s="100" t="s">
        <v>144</v>
      </c>
      <c r="Q15" s="100" t="s">
        <v>138</v>
      </c>
    </row>
    <row r="31" spans="20:20" x14ac:dyDescent="0.25">
      <c r="T31" s="10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Metrologie</vt:lpstr>
      <vt:lpstr>RawData</vt:lpstr>
      <vt:lpstr>Explicatii</vt:lpstr>
      <vt:lpstr>Header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ES_3</vt:lpstr>
      <vt:lpstr>ES1_Status</vt:lpstr>
      <vt:lpstr>ES3_OK</vt:lpstr>
      <vt:lpstr>LotStatus</vt:lpstr>
      <vt:lpstr>ML</vt:lpstr>
      <vt:lpstr>Qn</vt:lpstr>
      <vt:lpstr>QnES3</vt:lpstr>
      <vt:lpstr>RN</vt:lpstr>
      <vt:lpstr>RN_1</vt:lpstr>
      <vt:lpstr>RN_2</vt:lpstr>
      <vt:lpstr>s</vt:lpstr>
      <vt:lpstr>SumOfSquares</vt:lpstr>
      <vt:lpstr>Ta</vt:lpstr>
      <vt:lpstr>RawData!test_6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dcterms:created xsi:type="dcterms:W3CDTF">2018-01-03T09:07:19Z</dcterms:created>
  <dcterms:modified xsi:type="dcterms:W3CDTF">2018-03-12T20:04:26Z</dcterms:modified>
</cp:coreProperties>
</file>