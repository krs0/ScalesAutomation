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Qn">Metrologie!$B$7</definedName>
    <definedName name="QnES3">Metrologie!$B$17</definedName>
    <definedName name="RN_1">Metrologie!$H$3</definedName>
    <definedName name="RN_2">Metrologie!$H$4</definedName>
    <definedName name="s">Metrologie!$B$16</definedName>
    <definedName name="SumOfSquares">Metrologie!$B$15</definedName>
    <definedName name="Ta">Metrologie!$B$9</definedName>
    <definedName name="test_1" localSheetId="1">RawData!$A$1:$I$7</definedName>
    <definedName name="Xi">Metrologie!$B$14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2" l="1"/>
  <c r="I13" i="2"/>
  <c r="F3" i="2" l="1"/>
  <c r="I3" i="2"/>
  <c r="G3" i="2"/>
  <c r="B5" i="2" l="1"/>
  <c r="B9" i="2" l="1"/>
  <c r="B7" i="2"/>
  <c r="H13" i="2" s="1"/>
  <c r="B8" i="2"/>
  <c r="B4" i="2"/>
  <c r="B3" i="2"/>
  <c r="J13" i="2" l="1"/>
  <c r="P13" i="2"/>
  <c r="B11" i="2"/>
  <c r="B14" i="2" l="1"/>
  <c r="Q13" i="2" s="1"/>
  <c r="R13" i="2" s="1"/>
  <c r="B15" i="2" s="1"/>
  <c r="K13" i="2"/>
  <c r="H3" i="2"/>
  <c r="J3" i="2" s="1"/>
  <c r="G4" i="2" s="1"/>
  <c r="I4" i="2" l="1"/>
  <c r="H4" i="2"/>
  <c r="J4" i="2" s="1"/>
  <c r="B16" i="2" l="1"/>
  <c r="B17" i="2" s="1"/>
  <c r="J5" i="2" s="1"/>
  <c r="A2" i="2" l="1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Xi &gt; Qn-[s/N*0.995]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interval="1" name="2018-03-25-075222_Test_5_masuratori_Gut80-MargarinaCreme_Cutie_20Kg" type="6" refreshedVersion="4" background="1" refreshOnLoad="1" saveData="1">
    <textPr prompt="0" codePage="437" sourceFile="C:\Home\Krs\Work\Cantar\ScalesAutomation\Distribution\CSVOutput\2018-03-25-075222_Test_5_masuratori_Gut80-MargarinaCreme_Cutie_20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<sst xmlns="http://schemas.openxmlformats.org/spreadsheetml/2006/main" count="118" uniqueCount="90">
  <si>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</si>
  <si>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</si>
  <si>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</si>
  <si>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</si>
  <si>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</si>
  <si>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</si>
  <si>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</si>
  <si>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</si>
  <si>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</si>
  <si>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</si>
  <si>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</si>
  <si>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</si>
  <si>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</si>
  <si>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</si>
  <si>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</si>
  <si>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</si>
  <si>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</si>
  <si>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</si>
  <si>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</si>
  <si>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</si>
  <si>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</si>
  <si>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</si>
  <si>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</si>
  <si>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</si>
  <si>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</si>
  <si>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</si>
  <si>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</si>
  <si>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</si>
  <si>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</si>
  <si>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</si>
  <si>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</si>
  <si>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</si>
  <si>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</si>
  <si>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</si>
  <si>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</si>
  <si>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</si>
  <si>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</si>
  <si>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</si>
  <si>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</si>
  <si>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</si>
  <si>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</si>
  <si>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</si>
  <si>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</si>
  <si>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</si>
  <si>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</si>
  <si>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</si>
  <si>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</si>
  <si>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</si>
  <si>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</si>
  <si>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</si>
  <si>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</si>
  <si>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Cutie_20Kg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</si>
  <si>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</si>
  <si>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</si>
  <si>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</si>
  <si>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</si>
  <si>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</si>
  <si>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</si>
  <si>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</si>
  <si>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</si>
  <si>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</si>
  <si>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</si>
  <si>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</si>
  <si>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</si>
  <si>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</si>
  <si>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</si>
  <si>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</si>
  <si>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</si>
  <si>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</si>
  <si>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</si>
  <si>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</si>
  <si>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</si>
  <si>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</si>
  <si>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</si>
  <si>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</si>
  <si>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</si>
  <si>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</si>
  <si>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</si>
  <si>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</si>
  <si>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</si>
  <si>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</si>
  <si>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</si>
  <si>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</si>
  <si>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</si>
  <si>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</si>
  <si>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</si>
  <si>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Gut 80 - Margarina Creme</t>
  </si>
  <si>
    <t>20.5Kg</t>
  </si>
  <si>
    <t>0.42Kg</t>
  </si>
  <si>
    <t>Test_5_masuratori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</si>
</sst>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8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21" fontId="0" fillId="0" borderId="0" xfId="0" applyNumberFormat="1" applyAlignment="1">
      <alignment horizontal="right"/>
    </xf>
    <xf numFmtId="0" fontId="10" fillId="0" borderId="0" xfId="0" applyFont="1" applyAlignment="1">
      <alignment horizontal="center" wrapText="1"/>
    </xf>
    <xf numFmtId="2" fontId="11" fillId="0" borderId="0" xfId="0" applyNumberFormat="1" applyFont="1" applyAlignment="1">
      <alignment horizontal="center"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0" fillId="0" borderId="0" xfId="0" applyFill="1"/>
    <xf numFmtId="14" fontId="0" fillId="0" borderId="0" xfId="0" applyNumberFormat="1"/>
    <xf numFmtId="0" fontId="10" fillId="0" borderId="0" xfId="0" applyFont="1" applyFill="1" applyAlignment="1">
      <alignment horizontal="center" wrapText="1"/>
    </xf>
    <xf numFmtId="0" fontId="7" fillId="0" borderId="0" xfId="0" applyFont="1" applyFill="1"/>
    <xf numFmtId="0" fontId="11" fillId="0" borderId="0" xfId="0" applyFont="1" applyAlignment="1">
      <alignment horizontal="center" wrapText="1"/>
    </xf>
    <xf numFmtId="0" fontId="0" fillId="2" borderId="0" xfId="0" applyFill="1"/>
    <xf numFmtId="2" fontId="0" fillId="2" borderId="0" xfId="0" applyNumberFormat="1" applyFill="1" applyAlignment="1">
      <alignment horizontal="right"/>
    </xf>
    <xf numFmtId="0" fontId="0" fillId="2" borderId="0" xfId="0" applyFont="1" applyFill="1" applyAlignment="1">
      <alignment horizontal="left" wrapText="1"/>
    </xf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2" fontId="0" fillId="0" borderId="0" xfId="0" applyNumberFormat="1"/>
    <xf numFmtId="2" fontId="0" fillId="0" borderId="0" xfId="0" applyNumberFormat="1" applyFill="1"/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85725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3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039"/>
  <sheetViews>
    <sheetView tabSelected="1" zoomScaleNormal="100" workbookViewId="0">
      <selection activeCell="C1" sqref="C1"/>
    </sheetView>
  </sheetViews>
  <sheetFormatPr defaultRowHeight="15" x14ac:dyDescent="0.25"/>
  <cols>
    <col min="1" max="1" width="34.85546875" customWidth="1"/>
    <col min="2" max="2" width="25.85546875" style="7" customWidth="1"/>
    <col min="3" max="3" width="3.140625" style="4" bestFit="1" customWidth="1"/>
    <col min="4" max="4" width="3.140625" style="4" customWidth="1"/>
    <col min="5" max="5" width="6.42578125" style="7" customWidth="1"/>
    <col min="6" max="6" width="10.85546875" style="3" bestFit="1" customWidth="1"/>
    <col min="7" max="7" width="10.42578125" style="7" customWidth="1"/>
    <col min="8" max="8" width="16.42578125" style="3" customWidth="1"/>
    <col min="9" max="9" width="11.28515625" customWidth="1"/>
    <col min="10" max="10" width="14.7109375" style="3" customWidth="1"/>
    <col min="11" max="11" width="11.5703125" style="3" customWidth="1"/>
    <col min="12" max="12" width="10.28515625" customWidth="1"/>
    <col min="13" max="13" width="16.140625" style="3" customWidth="1"/>
    <col min="14" max="14" width="11.42578125" style="3" customWidth="1"/>
    <col min="15" max="15" width="9.85546875" customWidth="1"/>
    <col min="16" max="16" width="18.28515625" style="32" customWidth="1"/>
    <col min="17" max="17" width="16.7109375" style="32" bestFit="1" customWidth="1"/>
    <col min="18" max="18" width="10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0.75" customHeight="1" x14ac:dyDescent="0.25">
      <c r="A2" s="64" t="e">
        <f>IF(AND(OR(ES1_Status = "Ok",ES1_Status = "ES2 Necesar"), ES2_Status &lt;&gt; "Not Ok", ES3_Status = "Ok"), "Lot Acceptat","Lot Respins")</f>
        <v>#DIV/0!</v>
      </c>
      <c r="B2" s="65"/>
      <c r="C2" s="5"/>
      <c r="D2" s="5"/>
      <c r="E2" s="3"/>
      <c r="F2" s="44" t="s">
        <v>63</v>
      </c>
      <c r="G2" s="45" t="s">
        <v>44</v>
      </c>
      <c r="H2" s="45" t="s">
        <v>46</v>
      </c>
      <c r="I2" s="45" t="s">
        <v>45</v>
      </c>
      <c r="J2" s="45" t="s">
        <v>47</v>
      </c>
    </row>
    <row r="3" spans="1:18" x14ac:dyDescent="0.25">
      <c r="A3" s="2" t="s">
        <v>2</v>
      </c>
      <c r="B3" s="7" t="str">
        <f>RawData!E1</f>
        <v>Gut 80 - Margarina Creme</v>
      </c>
      <c r="C3" s="3"/>
      <c r="D3" s="3"/>
      <c r="E3" s="3" t="s">
        <v>64</v>
      </c>
      <c r="F3" s="47">
        <f>IF(ML&lt;=100,ML,IF(ML&gt;3201,80, IF(ML&gt;=501,50, IF(ML&gt;100,30,ML))))</f>
        <v>1</v>
      </c>
      <c r="G3" s="47">
        <f>IF(ML=30,1, IF(ML=50,2, IF(ML=80,3,1)))</f>
        <v>1</v>
      </c>
      <c r="H3" s="51">
        <f>COUNTIF(K:K, "Not Ok")</f>
        <v>0</v>
      </c>
      <c r="I3" s="47">
        <f>IF(ML=30,3, IF(ML=50,5, IF(ML=80,7,3)))</f>
        <v>3</v>
      </c>
      <c r="J3" s="3" t="str">
        <f>IF(CA_1&gt;=RN_1,"Ok",IF(RN_1&gt;=CR_1,"Not Ok",IF(ES_1=ML,"Not Ok","ES2 Necesar")))</f>
        <v>Ok</v>
      </c>
    </row>
    <row r="4" spans="1:18" x14ac:dyDescent="0.25">
      <c r="A4" s="2" t="s">
        <v>1</v>
      </c>
      <c r="B4" s="25" t="str">
        <f>RawData!D1</f>
        <v>Test_5_masuratori</v>
      </c>
      <c r="C4" s="3"/>
      <c r="D4" s="3"/>
      <c r="E4" s="3" t="s">
        <v>65</v>
      </c>
      <c r="F4" s="47">
        <v>0</v>
      </c>
      <c r="G4" s="48" t="str">
        <f>IF(ES1_Status="ES2 Necesar",IF(ML=30,4, IF(ML=50,6, IF(ML=80,8,4))),"")</f>
        <v/>
      </c>
      <c r="H4" s="52" t="str">
        <f>IF(ES1_Status="ES2 Necesar",COUNTIF(N:N, "Not Ok"),"")</f>
        <v/>
      </c>
      <c r="I4" s="48" t="str">
        <f>IF(ES1_Status="ES2 Necesar",IF(ML=30,5, IF(ML=50,7, IF(ML=80,9,5))),"")</f>
        <v/>
      </c>
      <c r="J4" s="3" t="str">
        <f>IF(ES1_Status="ES2 Necesar",IF(RN_1+RN_2&lt;=CA_2,"Ok","Not Ok"),"")</f>
        <v/>
      </c>
    </row>
    <row r="5" spans="1:18" x14ac:dyDescent="0.25">
      <c r="A5" s="2" t="s">
        <v>9</v>
      </c>
      <c r="B5" s="26">
        <f>RawData!I1</f>
        <v>43184</v>
      </c>
      <c r="E5" s="3" t="s">
        <v>66</v>
      </c>
      <c r="F5" s="47">
        <v>1</v>
      </c>
      <c r="G5" s="63"/>
      <c r="H5" s="63"/>
      <c r="I5" s="63"/>
      <c r="J5" s="7" t="e">
        <f>IF(Xi&gt;=QnES3 - 0.503 * s,"Ok","Not Ok")</f>
        <v>#DIV/0!</v>
      </c>
    </row>
    <row r="6" spans="1:18" x14ac:dyDescent="0.25">
      <c r="A6" s="2" t="s">
        <v>7</v>
      </c>
      <c r="B6" s="25">
        <v>1</v>
      </c>
      <c r="C6" s="3"/>
      <c r="D6" s="3"/>
      <c r="E6"/>
      <c r="F6" s="1"/>
      <c r="K6" s="53"/>
    </row>
    <row r="7" spans="1:18" x14ac:dyDescent="0.25">
      <c r="A7" s="2" t="s">
        <v>4</v>
      </c>
      <c r="B7" s="7" t="str">
        <f>IF(ISERROR(VALUE(RawData!G1)), LEFT(RawData!G1, FIND("Kg",RawData!G1)-1), RawData!G1)</f>
        <v>20.5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 t="str">
        <f>RawData!F1</f>
        <v>Cutie_20Kg</v>
      </c>
      <c r="C8" s="3"/>
      <c r="D8" s="3"/>
      <c r="E8"/>
      <c r="F8" s="1"/>
    </row>
    <row r="9" spans="1:18" x14ac:dyDescent="0.25">
      <c r="A9" t="s">
        <v>5</v>
      </c>
      <c r="B9" s="7" t="str">
        <f>IF(ISERROR(VALUE(RawData!H1)), LEFT(RawData!H1, FIND("Kg",RawData!H1)-1), RawData!H1)</f>
        <v>0.42</v>
      </c>
      <c r="C9" s="4" t="s">
        <v>0</v>
      </c>
      <c r="E9"/>
      <c r="F9" s="1"/>
    </row>
    <row r="10" spans="1:18" x14ac:dyDescent="0.25">
      <c r="A10" s="2" t="s">
        <v>6</v>
      </c>
      <c r="B10" s="7">
        <v>0.3075</v>
      </c>
      <c r="C10" s="6" t="s">
        <v>0</v>
      </c>
      <c r="E10"/>
      <c r="F10" s="1"/>
    </row>
    <row r="11" spans="1:18" x14ac:dyDescent="0.25">
      <c r="A11" s="2" t="s">
        <v>8</v>
      </c>
      <c r="B11" s="7">
        <f>Qn-ENT</f>
        <v>20.192499999999999</v>
      </c>
      <c r="C11" s="6" t="s">
        <v>0</v>
      </c>
      <c r="D11" s="6"/>
      <c r="E11" s="66" t="s">
        <v>59</v>
      </c>
      <c r="F11" s="67"/>
      <c r="G11" s="67"/>
      <c r="H11" s="67"/>
      <c r="I11" s="68" t="s">
        <v>60</v>
      </c>
      <c r="J11" s="69"/>
      <c r="K11" s="69"/>
      <c r="L11" s="70" t="s">
        <v>61</v>
      </c>
      <c r="M11" s="71"/>
      <c r="N11" s="71"/>
      <c r="O11" s="61" t="s">
        <v>62</v>
      </c>
      <c r="P11" s="62"/>
      <c r="Q11" s="62"/>
      <c r="R11" s="62"/>
    </row>
    <row r="12" spans="1:18" ht="75" x14ac:dyDescent="0.25">
      <c r="E12" s="23" t="s">
        <v>48</v>
      </c>
      <c r="F12" s="23" t="s">
        <v>49</v>
      </c>
      <c r="G12" s="23" t="s">
        <v>50</v>
      </c>
      <c r="H12" s="24" t="s">
        <v>52</v>
      </c>
      <c r="I12" s="23" t="s">
        <v>48</v>
      </c>
      <c r="J12" s="36" t="s">
        <v>73</v>
      </c>
      <c r="K12" s="23" t="s">
        <v>53</v>
      </c>
      <c r="L12" s="23" t="s">
        <v>48</v>
      </c>
      <c r="M12" s="23" t="s">
        <v>72</v>
      </c>
      <c r="N12" s="23" t="s">
        <v>54</v>
      </c>
      <c r="O12" s="23" t="s">
        <v>48</v>
      </c>
      <c r="P12" s="23" t="s">
        <v>74</v>
      </c>
      <c r="Q12" s="34" t="s">
        <v>75</v>
      </c>
      <c r="R12" s="34" t="s">
        <v>76</v>
      </c>
    </row>
    <row r="13" spans="1:18" ht="15" customHeight="1" x14ac:dyDescent="0.25">
      <c r="A13" s="54" t="s">
        <v>67</v>
      </c>
      <c r="B13" s="55"/>
      <c r="E13">
        <v>1</v>
      </c>
      <c r="F13">
        <v>20440</v>
      </c>
      <c r="G13" s="1">
        <v>0.83134259259259258</v>
      </c>
      <c r="H13" s="49" t="str">
        <f>IF(Qn-F13-Ta&gt;2*ENT,"Fara E","Ok")</f>
        <v>Ok</v>
      </c>
      <c r="I13" s="49">
        <f>E13</f>
        <v>1</v>
      </c>
      <c r="J13" s="49">
        <f>F13-Ta</f>
        <v>20439.580000000002</v>
      </c>
      <c r="K13" s="49" t="str">
        <f>IF(J13&gt;=CMA,"Ok","Not Ok")</f>
        <v>Ok</v>
      </c>
      <c r="L13" s="49"/>
      <c r="M13" s="49"/>
      <c r="N13" s="49"/>
      <c r="O13" s="49">
        <f>E13</f>
        <v>1</v>
      </c>
      <c r="P13" s="50">
        <f>F13-Ta</f>
        <v>20439.580000000002</v>
      </c>
      <c r="Q13" s="50">
        <f>P13-Xi</f>
        <v>0</v>
      </c>
      <c r="R13">
        <f>POWER(Q13,2)</f>
        <v>0</v>
      </c>
    </row>
    <row r="14" spans="1:18" ht="14.25" customHeight="1" x14ac:dyDescent="0.25">
      <c r="A14" s="37" t="s">
        <v>34</v>
      </c>
      <c r="B14" s="38">
        <f>AVERAGE(P13:P14)</f>
        <v>20439.580000000002</v>
      </c>
      <c r="E14"/>
      <c r="F14"/>
      <c r="G14" s="1"/>
      <c r="H14" s="49"/>
      <c r="I14" s="49"/>
      <c r="J14" s="49"/>
      <c r="K14" s="49"/>
      <c r="L14" s="49"/>
      <c r="M14" s="49"/>
      <c r="N14" s="49"/>
      <c r="O14" s="49"/>
      <c r="P14" s="50"/>
      <c r="Q14" s="50"/>
    </row>
    <row r="15" spans="1:18" ht="17.25" x14ac:dyDescent="0.25">
      <c r="A15" s="39" t="s">
        <v>36</v>
      </c>
      <c r="B15" s="40">
        <f>SUM(R13,R13)</f>
        <v>0</v>
      </c>
      <c r="E15"/>
      <c r="F15"/>
      <c r="G15" s="1"/>
      <c r="H15" s="49"/>
      <c r="I15" s="49"/>
      <c r="J15" s="49"/>
      <c r="K15" s="49"/>
      <c r="L15" s="49"/>
      <c r="M15" s="49"/>
      <c r="N15" s="49"/>
      <c r="O15" s="49"/>
      <c r="P15" s="50"/>
      <c r="Q15" s="50"/>
    </row>
    <row r="16" spans="1:18" ht="14.25" customHeight="1" x14ac:dyDescent="0.25">
      <c r="A16" s="41" t="s">
        <v>35</v>
      </c>
      <c r="B16" s="40" t="e">
        <f>SQRT(SumOfSquares/(ES_3-1))</f>
        <v>#DIV/0!</v>
      </c>
      <c r="E16"/>
      <c r="F16"/>
      <c r="G16" s="1"/>
      <c r="H16" s="49"/>
      <c r="I16" s="49"/>
      <c r="J16" s="49"/>
      <c r="K16" s="49"/>
      <c r="L16" s="49"/>
      <c r="M16" s="49"/>
      <c r="N16" s="49"/>
      <c r="O16" s="49"/>
      <c r="P16" s="50"/>
      <c r="Q16" s="50"/>
    </row>
    <row r="17" spans="1:17" x14ac:dyDescent="0.25">
      <c r="A17" s="37" t="s">
        <v>55</v>
      </c>
      <c r="B17" s="40" t="e">
        <f>s/SQRT(ES_3)*0.995</f>
        <v>#DIV/0!</v>
      </c>
      <c r="E17"/>
      <c r="F17"/>
      <c r="G17" s="1"/>
      <c r="H17" s="49"/>
      <c r="I17" s="49"/>
      <c r="J17" s="49"/>
      <c r="K17" s="49"/>
      <c r="L17" s="49"/>
      <c r="M17" s="49"/>
      <c r="N17" s="49"/>
      <c r="O17" s="49"/>
      <c r="P17" s="50"/>
      <c r="Q17" s="50"/>
    </row>
    <row r="18" spans="1:17" ht="15" customHeight="1" x14ac:dyDescent="0.25">
      <c r="E18"/>
      <c r="F18"/>
      <c r="G18" s="1"/>
    </row>
    <row r="19" spans="1:17" x14ac:dyDescent="0.25">
      <c r="E19"/>
      <c r="F19"/>
      <c r="G19" s="1"/>
      <c r="P19" s="35"/>
    </row>
    <row r="20" spans="1:17" x14ac:dyDescent="0.25">
      <c r="E20"/>
      <c r="F20"/>
      <c r="G20" s="1"/>
    </row>
    <row r="21" spans="1:17" x14ac:dyDescent="0.25">
      <c r="E21"/>
      <c r="F21"/>
      <c r="G21" s="1"/>
    </row>
    <row r="22" spans="1:17" x14ac:dyDescent="0.25">
      <c r="E22"/>
      <c r="F22"/>
      <c r="G22" s="1"/>
    </row>
    <row r="23" spans="1:17" x14ac:dyDescent="0.25">
      <c r="E23"/>
      <c r="F23"/>
      <c r="G23" s="1"/>
    </row>
    <row r="24" spans="1:17" x14ac:dyDescent="0.25">
      <c r="E24"/>
      <c r="F24"/>
      <c r="G24" s="1"/>
    </row>
    <row r="25" spans="1:17" x14ac:dyDescent="0.25">
      <c r="E25"/>
      <c r="F25"/>
      <c r="G25" s="1"/>
    </row>
    <row r="26" spans="1:17" x14ac:dyDescent="0.25">
      <c r="E26"/>
      <c r="F26"/>
      <c r="G26" s="1"/>
    </row>
    <row r="27" spans="1:17" x14ac:dyDescent="0.25">
      <c r="E27"/>
      <c r="F27"/>
      <c r="G27" s="1"/>
    </row>
    <row r="28" spans="1:17" x14ac:dyDescent="0.25">
      <c r="E28"/>
      <c r="F28"/>
      <c r="G28" s="1"/>
    </row>
    <row r="29" spans="1:17" x14ac:dyDescent="0.25">
      <c r="E29"/>
      <c r="F29"/>
      <c r="G29" s="1"/>
    </row>
    <row r="30" spans="1:17" x14ac:dyDescent="0.25">
      <c r="E30"/>
      <c r="F30"/>
      <c r="G30" s="1"/>
    </row>
    <row r="31" spans="1:17" x14ac:dyDescent="0.25">
      <c r="E31"/>
      <c r="F31"/>
      <c r="G31" s="1"/>
    </row>
    <row r="32" spans="1:17" x14ac:dyDescent="0.25">
      <c r="E32"/>
      <c r="F32"/>
      <c r="G32" s="1"/>
    </row>
    <row r="33" spans="5:16" x14ac:dyDescent="0.25">
      <c r="E33"/>
      <c r="F33"/>
      <c r="G33" s="1"/>
    </row>
    <row r="34" spans="5:16" x14ac:dyDescent="0.25">
      <c r="E34"/>
      <c r="F34"/>
      <c r="G34" s="1"/>
    </row>
    <row r="35" spans="5:16" x14ac:dyDescent="0.25">
      <c r="E35"/>
      <c r="F35"/>
      <c r="G35" s="1"/>
    </row>
    <row r="36" spans="5:16" x14ac:dyDescent="0.25">
      <c r="E36"/>
      <c r="F36"/>
      <c r="G36" s="1"/>
    </row>
    <row r="37" spans="5:16" x14ac:dyDescent="0.25">
      <c r="E37"/>
      <c r="F37"/>
      <c r="G37" s="1"/>
    </row>
    <row r="38" spans="5:16" x14ac:dyDescent="0.25">
      <c r="E38"/>
      <c r="F38"/>
      <c r="G38" s="1"/>
    </row>
    <row r="39" spans="5:16" x14ac:dyDescent="0.25">
      <c r="E39"/>
      <c r="F39"/>
      <c r="G39" s="1"/>
    </row>
    <row r="40" spans="5:16" x14ac:dyDescent="0.25">
      <c r="E40"/>
      <c r="F40"/>
      <c r="G40" s="1"/>
    </row>
    <row r="41" spans="5:16" x14ac:dyDescent="0.25">
      <c r="E41"/>
      <c r="F41"/>
      <c r="G41" s="1"/>
    </row>
    <row r="42" spans="5:16" x14ac:dyDescent="0.25">
      <c r="E42"/>
      <c r="F42"/>
      <c r="G42" s="1"/>
    </row>
    <row r="43" spans="5:16" x14ac:dyDescent="0.25">
      <c r="E43"/>
      <c r="F43"/>
      <c r="G43" s="1"/>
    </row>
    <row r="44" spans="5:16" x14ac:dyDescent="0.25">
      <c r="E44"/>
      <c r="F44"/>
      <c r="G44" s="1"/>
    </row>
    <row r="45" spans="5:16" x14ac:dyDescent="0.25">
      <c r="E45"/>
      <c r="F45"/>
      <c r="G45" s="1"/>
    </row>
    <row r="46" spans="5:16" x14ac:dyDescent="0.25">
      <c r="E46"/>
      <c r="F46"/>
      <c r="G46" s="1"/>
    </row>
    <row r="47" spans="5:16" x14ac:dyDescent="0.25">
      <c r="E47"/>
      <c r="F47"/>
      <c r="G47" s="1"/>
    </row>
    <row r="48" spans="5:16" x14ac:dyDescent="0.25">
      <c r="E48"/>
      <c r="F48"/>
      <c r="G48" s="1"/>
      <c r="O48" s="42"/>
      <c r="P48" s="43"/>
    </row>
    <row r="49" spans="5:7" x14ac:dyDescent="0.25">
      <c r="E49"/>
      <c r="F49"/>
      <c r="G49" s="1"/>
    </row>
    <row r="50" spans="5:7" x14ac:dyDescent="0.25">
      <c r="E50"/>
      <c r="F50"/>
      <c r="G50" s="1"/>
    </row>
    <row r="51" spans="5:7" x14ac:dyDescent="0.25">
      <c r="E51"/>
      <c r="F51"/>
      <c r="G51" s="1"/>
    </row>
    <row r="52" spans="5:7" x14ac:dyDescent="0.25">
      <c r="E52"/>
      <c r="F52"/>
      <c r="G52" s="1"/>
    </row>
    <row r="53" spans="5:7" x14ac:dyDescent="0.25">
      <c r="E53"/>
      <c r="F53"/>
      <c r="G53" s="1"/>
    </row>
    <row r="54" spans="5:7" x14ac:dyDescent="0.25">
      <c r="E54"/>
      <c r="F54"/>
      <c r="G54" s="1"/>
    </row>
    <row r="55" spans="5:7" x14ac:dyDescent="0.25">
      <c r="E55"/>
      <c r="F55"/>
      <c r="G55" s="1"/>
    </row>
    <row r="56" spans="5:7" x14ac:dyDescent="0.25">
      <c r="E56"/>
      <c r="F56"/>
      <c r="G56" s="1"/>
    </row>
    <row r="57" spans="5:7" x14ac:dyDescent="0.25">
      <c r="E57"/>
      <c r="F57"/>
      <c r="G57" s="1"/>
    </row>
    <row r="58" spans="5:7" x14ac:dyDescent="0.25">
      <c r="E58"/>
      <c r="F58"/>
      <c r="G58" s="1"/>
    </row>
    <row r="59" spans="5:7" x14ac:dyDescent="0.25">
      <c r="E59"/>
      <c r="F59"/>
      <c r="G59" s="1"/>
    </row>
    <row r="60" spans="5:7" x14ac:dyDescent="0.25">
      <c r="E60"/>
      <c r="F60"/>
      <c r="G60" s="1"/>
    </row>
    <row r="61" spans="5:7" x14ac:dyDescent="0.25">
      <c r="E61"/>
      <c r="F61"/>
      <c r="G61" s="1"/>
    </row>
    <row r="62" spans="5:7" x14ac:dyDescent="0.25">
      <c r="E62"/>
      <c r="F62"/>
      <c r="G62" s="1"/>
    </row>
    <row r="63" spans="5:7" x14ac:dyDescent="0.25">
      <c r="E63"/>
      <c r="F63"/>
      <c r="G63" s="1"/>
    </row>
    <row r="64" spans="5:7" x14ac:dyDescent="0.25">
      <c r="E64"/>
      <c r="F64"/>
      <c r="G64" s="1"/>
    </row>
    <row r="65" spans="5:7" x14ac:dyDescent="0.25">
      <c r="E65"/>
      <c r="F65"/>
      <c r="G65" s="1"/>
    </row>
    <row r="66" spans="5:7" x14ac:dyDescent="0.25">
      <c r="E66"/>
      <c r="F66"/>
      <c r="G66" s="1"/>
    </row>
    <row r="67" spans="5:7" x14ac:dyDescent="0.25">
      <c r="E67"/>
      <c r="F67"/>
      <c r="G67" s="1"/>
    </row>
    <row r="68" spans="5:7" x14ac:dyDescent="0.25">
      <c r="E68"/>
      <c r="F68"/>
      <c r="G68" s="1"/>
    </row>
    <row r="69" spans="5:7" x14ac:dyDescent="0.25">
      <c r="E69"/>
      <c r="F69"/>
      <c r="G69" s="1"/>
    </row>
    <row r="70" spans="5:7" x14ac:dyDescent="0.25">
      <c r="E70"/>
      <c r="F70"/>
      <c r="G70" s="1"/>
    </row>
    <row r="71" spans="5:7" x14ac:dyDescent="0.25">
      <c r="E71"/>
      <c r="F71"/>
      <c r="G71" s="1"/>
    </row>
    <row r="72" spans="5:7" x14ac:dyDescent="0.25">
      <c r="E72"/>
      <c r="F72"/>
      <c r="G72" s="1"/>
    </row>
    <row r="73" spans="5:7" x14ac:dyDescent="0.25">
      <c r="E73"/>
      <c r="F73"/>
      <c r="G73" s="1"/>
    </row>
    <row r="74" spans="5:7" x14ac:dyDescent="0.25">
      <c r="E74"/>
      <c r="F74"/>
      <c r="G74" s="1"/>
    </row>
    <row r="75" spans="5:7" x14ac:dyDescent="0.25">
      <c r="E75"/>
      <c r="F75"/>
      <c r="G75" s="1"/>
    </row>
    <row r="76" spans="5:7" x14ac:dyDescent="0.25">
      <c r="E76"/>
      <c r="F76"/>
      <c r="G76" s="1"/>
    </row>
    <row r="77" spans="5:7" x14ac:dyDescent="0.25">
      <c r="E77"/>
      <c r="F77"/>
      <c r="G77" s="1"/>
    </row>
    <row r="78" spans="5:7" x14ac:dyDescent="0.25">
      <c r="E78"/>
      <c r="F78"/>
      <c r="G78" s="1"/>
    </row>
    <row r="79" spans="5:7" x14ac:dyDescent="0.25">
      <c r="E79"/>
      <c r="F79"/>
      <c r="G79" s="1"/>
    </row>
    <row r="80" spans="5:7" x14ac:dyDescent="0.25">
      <c r="E80"/>
      <c r="F80"/>
      <c r="G80" s="1"/>
    </row>
    <row r="81" spans="5:7" x14ac:dyDescent="0.25">
      <c r="E81"/>
      <c r="F81"/>
      <c r="G81" s="1"/>
    </row>
    <row r="82" spans="5:7" x14ac:dyDescent="0.25">
      <c r="E82"/>
      <c r="F82"/>
      <c r="G82" s="1"/>
    </row>
    <row r="83" spans="5:7" x14ac:dyDescent="0.25">
      <c r="E83"/>
      <c r="F83"/>
      <c r="G83" s="1"/>
    </row>
    <row r="84" spans="5:7" x14ac:dyDescent="0.25">
      <c r="E84"/>
      <c r="F84"/>
      <c r="G84" s="1"/>
    </row>
    <row r="85" spans="5:7" x14ac:dyDescent="0.25">
      <c r="E85"/>
      <c r="F85"/>
      <c r="G85" s="1"/>
    </row>
    <row r="86" spans="5:7" x14ac:dyDescent="0.25">
      <c r="E86"/>
      <c r="F86"/>
      <c r="G86" s="1"/>
    </row>
    <row r="87" spans="5:7" x14ac:dyDescent="0.25">
      <c r="E87"/>
      <c r="F87"/>
      <c r="G87" s="1"/>
    </row>
    <row r="88" spans="5:7" x14ac:dyDescent="0.25">
      <c r="E88"/>
      <c r="F88"/>
      <c r="G88" s="1"/>
    </row>
    <row r="89" spans="5:7" x14ac:dyDescent="0.25">
      <c r="E89"/>
      <c r="F89"/>
      <c r="G89" s="1"/>
    </row>
    <row r="90" spans="5:7" x14ac:dyDescent="0.25">
      <c r="E90"/>
      <c r="F90"/>
      <c r="G90" s="1"/>
    </row>
    <row r="91" spans="5:7" x14ac:dyDescent="0.25">
      <c r="E91"/>
      <c r="F91"/>
      <c r="G91" s="1"/>
    </row>
    <row r="92" spans="5:7" x14ac:dyDescent="0.25">
      <c r="E92"/>
      <c r="F92"/>
      <c r="G92" s="1"/>
    </row>
    <row r="93" spans="5:7" x14ac:dyDescent="0.25">
      <c r="E93"/>
      <c r="F93"/>
      <c r="G93" s="1"/>
    </row>
    <row r="94" spans="5:7" x14ac:dyDescent="0.25">
      <c r="E94"/>
      <c r="F94"/>
      <c r="G94" s="1"/>
    </row>
    <row r="95" spans="5:7" x14ac:dyDescent="0.25">
      <c r="E95"/>
      <c r="F95"/>
      <c r="G95" s="1"/>
    </row>
    <row r="96" spans="5:7" x14ac:dyDescent="0.25">
      <c r="E96"/>
      <c r="F96"/>
      <c r="G96" s="1"/>
    </row>
    <row r="97" spans="5:7" x14ac:dyDescent="0.25">
      <c r="E97"/>
      <c r="F97"/>
      <c r="G97" s="1"/>
    </row>
    <row r="98" spans="5:7" x14ac:dyDescent="0.25">
      <c r="E98"/>
      <c r="F98"/>
      <c r="G98" s="1"/>
    </row>
    <row r="99" spans="5:7" x14ac:dyDescent="0.25">
      <c r="E99"/>
      <c r="F99"/>
      <c r="G99" s="1"/>
    </row>
    <row r="100" spans="5:7" x14ac:dyDescent="0.25">
      <c r="E100"/>
      <c r="F100"/>
      <c r="G100" s="1"/>
    </row>
    <row r="101" spans="5:7" x14ac:dyDescent="0.25">
      <c r="E101"/>
      <c r="F101"/>
      <c r="G101" s="1"/>
    </row>
    <row r="102" spans="5:7" x14ac:dyDescent="0.25">
      <c r="E102"/>
      <c r="F102"/>
      <c r="G102" s="1"/>
    </row>
    <row r="103" spans="5:7" x14ac:dyDescent="0.25">
      <c r="E103"/>
      <c r="F103"/>
      <c r="G103" s="1"/>
    </row>
    <row r="104" spans="5:7" x14ac:dyDescent="0.25">
      <c r="E104"/>
      <c r="F104"/>
      <c r="G104" s="1"/>
    </row>
    <row r="105" spans="5:7" x14ac:dyDescent="0.25">
      <c r="E105"/>
      <c r="F105"/>
      <c r="G105" s="1"/>
    </row>
    <row r="106" spans="5:7" x14ac:dyDescent="0.25">
      <c r="E106"/>
      <c r="F106"/>
      <c r="G106" s="1"/>
    </row>
    <row r="107" spans="5:7" x14ac:dyDescent="0.25">
      <c r="E107"/>
      <c r="F107"/>
      <c r="G107" s="1"/>
    </row>
    <row r="108" spans="5:7" x14ac:dyDescent="0.25">
      <c r="E108"/>
      <c r="F108"/>
      <c r="G108" s="1"/>
    </row>
    <row r="109" spans="5:7" x14ac:dyDescent="0.25">
      <c r="E109"/>
      <c r="F109"/>
      <c r="G109" s="1"/>
    </row>
    <row r="110" spans="5:7" x14ac:dyDescent="0.25">
      <c r="E110"/>
      <c r="F110"/>
      <c r="G110" s="1"/>
    </row>
    <row r="111" spans="5:7" x14ac:dyDescent="0.25">
      <c r="E111"/>
      <c r="F111"/>
      <c r="G111" s="1"/>
    </row>
    <row r="112" spans="5:7" x14ac:dyDescent="0.25">
      <c r="E112"/>
      <c r="F112"/>
      <c r="G112" s="1"/>
    </row>
    <row r="113" spans="5:7" x14ac:dyDescent="0.25">
      <c r="E113"/>
      <c r="F113"/>
      <c r="G113" s="1"/>
    </row>
    <row r="114" spans="5:7" x14ac:dyDescent="0.25">
      <c r="E114"/>
      <c r="F114"/>
      <c r="G114" s="1"/>
    </row>
    <row r="115" spans="5:7" x14ac:dyDescent="0.25">
      <c r="E115"/>
      <c r="F115"/>
      <c r="G115" s="1"/>
    </row>
    <row r="116" spans="5:7" x14ac:dyDescent="0.25">
      <c r="E116"/>
      <c r="F116"/>
      <c r="G116" s="1"/>
    </row>
    <row r="117" spans="5:7" x14ac:dyDescent="0.25">
      <c r="E117"/>
      <c r="F117"/>
      <c r="G117" s="1"/>
    </row>
    <row r="118" spans="5:7" x14ac:dyDescent="0.25">
      <c r="E118"/>
      <c r="F118"/>
      <c r="G118" s="1"/>
    </row>
    <row r="119" spans="5:7" x14ac:dyDescent="0.25">
      <c r="E119"/>
      <c r="F119"/>
      <c r="G119" s="1"/>
    </row>
    <row r="120" spans="5:7" x14ac:dyDescent="0.25">
      <c r="E120"/>
      <c r="F120"/>
      <c r="G120" s="1"/>
    </row>
    <row r="121" spans="5:7" x14ac:dyDescent="0.25">
      <c r="E121"/>
      <c r="F121"/>
      <c r="G121" s="1"/>
    </row>
    <row r="122" spans="5:7" x14ac:dyDescent="0.25">
      <c r="E122"/>
      <c r="F122"/>
      <c r="G122" s="1"/>
    </row>
    <row r="123" spans="5:7" x14ac:dyDescent="0.25">
      <c r="E123"/>
      <c r="F123"/>
      <c r="G123" s="1"/>
    </row>
    <row r="124" spans="5:7" x14ac:dyDescent="0.25">
      <c r="E124"/>
      <c r="F124"/>
      <c r="G124" s="1"/>
    </row>
    <row r="125" spans="5:7" x14ac:dyDescent="0.25">
      <c r="E125"/>
      <c r="F125"/>
      <c r="G125" s="1"/>
    </row>
    <row r="126" spans="5:7" x14ac:dyDescent="0.25">
      <c r="E126"/>
      <c r="F126"/>
      <c r="G126" s="1"/>
    </row>
    <row r="127" spans="5:7" x14ac:dyDescent="0.25">
      <c r="E127"/>
      <c r="F127"/>
      <c r="G127" s="1"/>
    </row>
    <row r="128" spans="5:7" x14ac:dyDescent="0.25">
      <c r="E128"/>
      <c r="F128"/>
      <c r="G128" s="1"/>
    </row>
    <row r="129" spans="5:7" x14ac:dyDescent="0.25">
      <c r="E129"/>
      <c r="F129"/>
      <c r="G129" s="1"/>
    </row>
    <row r="130" spans="5:7" x14ac:dyDescent="0.25">
      <c r="E130"/>
      <c r="F130"/>
      <c r="G130" s="1"/>
    </row>
    <row r="131" spans="5:7" x14ac:dyDescent="0.25">
      <c r="E131"/>
      <c r="F131"/>
      <c r="G131" s="1"/>
    </row>
    <row r="132" spans="5:7" x14ac:dyDescent="0.25">
      <c r="E132"/>
      <c r="F132"/>
      <c r="G132" s="1"/>
    </row>
    <row r="133" spans="5:7" x14ac:dyDescent="0.25">
      <c r="E133"/>
      <c r="F133"/>
      <c r="G133" s="1"/>
    </row>
    <row r="134" spans="5:7" x14ac:dyDescent="0.25">
      <c r="E134"/>
      <c r="F134"/>
      <c r="G134" s="1"/>
    </row>
    <row r="135" spans="5:7" x14ac:dyDescent="0.25">
      <c r="E135"/>
      <c r="F135"/>
      <c r="G135" s="1"/>
    </row>
    <row r="136" spans="5:7" x14ac:dyDescent="0.25">
      <c r="E136"/>
      <c r="F136"/>
      <c r="G136" s="1"/>
    </row>
    <row r="137" spans="5:7" x14ac:dyDescent="0.25">
      <c r="E137"/>
      <c r="F137"/>
      <c r="G137" s="1"/>
    </row>
    <row r="138" spans="5:7" x14ac:dyDescent="0.25">
      <c r="E138"/>
      <c r="F138"/>
      <c r="G138" s="1"/>
    </row>
    <row r="139" spans="5:7" x14ac:dyDescent="0.25">
      <c r="E139"/>
      <c r="F139"/>
      <c r="G139" s="1"/>
    </row>
    <row r="140" spans="5:7" x14ac:dyDescent="0.25">
      <c r="E140"/>
      <c r="F140"/>
      <c r="G140" s="1"/>
    </row>
    <row r="141" spans="5:7" x14ac:dyDescent="0.25">
      <c r="E141"/>
      <c r="F141"/>
      <c r="G141" s="1"/>
    </row>
    <row r="142" spans="5:7" x14ac:dyDescent="0.25">
      <c r="E142"/>
      <c r="F142"/>
      <c r="G142" s="1"/>
    </row>
    <row r="143" spans="5:7" x14ac:dyDescent="0.25">
      <c r="E143"/>
      <c r="F143"/>
      <c r="G143" s="1"/>
    </row>
    <row r="144" spans="5:7" x14ac:dyDescent="0.25">
      <c r="E144"/>
      <c r="F144"/>
      <c r="G144" s="1"/>
    </row>
    <row r="145" spans="5:7" x14ac:dyDescent="0.25">
      <c r="E145"/>
      <c r="F145"/>
      <c r="G145" s="1"/>
    </row>
    <row r="146" spans="5:7" x14ac:dyDescent="0.25">
      <c r="E146"/>
      <c r="F146"/>
      <c r="G146" s="1"/>
    </row>
    <row r="147" spans="5:7" x14ac:dyDescent="0.25">
      <c r="E147"/>
      <c r="F147"/>
      <c r="G147" s="1"/>
    </row>
    <row r="148" spans="5:7" x14ac:dyDescent="0.25">
      <c r="E148"/>
      <c r="F148"/>
      <c r="G148" s="1"/>
    </row>
    <row r="149" spans="5:7" x14ac:dyDescent="0.25">
      <c r="E149"/>
      <c r="F149"/>
      <c r="G149" s="1"/>
    </row>
    <row r="150" spans="5:7" x14ac:dyDescent="0.25">
      <c r="E150"/>
      <c r="F150"/>
      <c r="G150" s="1"/>
    </row>
    <row r="151" spans="5:7" x14ac:dyDescent="0.25">
      <c r="E151"/>
      <c r="F151"/>
      <c r="G151" s="1"/>
    </row>
    <row r="152" spans="5:7" x14ac:dyDescent="0.25">
      <c r="E152"/>
      <c r="F152"/>
      <c r="G152" s="1"/>
    </row>
    <row r="153" spans="5:7" x14ac:dyDescent="0.25">
      <c r="E153"/>
      <c r="F153"/>
      <c r="G153" s="1"/>
    </row>
    <row r="154" spans="5:7" x14ac:dyDescent="0.25">
      <c r="E154"/>
      <c r="F154"/>
      <c r="G154" s="1"/>
    </row>
    <row r="155" spans="5:7" x14ac:dyDescent="0.25">
      <c r="E155"/>
      <c r="F155"/>
      <c r="G155" s="1"/>
    </row>
    <row r="156" spans="5:7" x14ac:dyDescent="0.25">
      <c r="E156"/>
      <c r="F156"/>
      <c r="G156" s="1"/>
    </row>
    <row r="157" spans="5:7" x14ac:dyDescent="0.25">
      <c r="E157"/>
      <c r="F157"/>
      <c r="G157" s="1"/>
    </row>
    <row r="158" spans="5:7" x14ac:dyDescent="0.25">
      <c r="E158"/>
      <c r="F158"/>
      <c r="G158" s="1"/>
    </row>
    <row r="159" spans="5:7" x14ac:dyDescent="0.25">
      <c r="E159"/>
      <c r="F159"/>
      <c r="G159" s="1"/>
    </row>
    <row r="160" spans="5:7" x14ac:dyDescent="0.25">
      <c r="E160"/>
      <c r="F160"/>
      <c r="G160" s="1"/>
    </row>
    <row r="161" spans="5:7" x14ac:dyDescent="0.25">
      <c r="E161"/>
      <c r="F161"/>
      <c r="G161" s="1"/>
    </row>
    <row r="162" spans="5:7" x14ac:dyDescent="0.25">
      <c r="E162"/>
      <c r="F162"/>
      <c r="G162" s="1"/>
    </row>
    <row r="163" spans="5:7" x14ac:dyDescent="0.25">
      <c r="E163"/>
      <c r="F163"/>
      <c r="G163" s="1"/>
    </row>
    <row r="164" spans="5:7" x14ac:dyDescent="0.25">
      <c r="E164"/>
      <c r="F164"/>
      <c r="G164" s="1"/>
    </row>
    <row r="165" spans="5:7" x14ac:dyDescent="0.25">
      <c r="E165"/>
      <c r="F165"/>
      <c r="G165" s="1"/>
    </row>
    <row r="166" spans="5:7" x14ac:dyDescent="0.25">
      <c r="E166"/>
      <c r="F166"/>
      <c r="G166" s="1"/>
    </row>
    <row r="167" spans="5:7" x14ac:dyDescent="0.25">
      <c r="E167"/>
      <c r="F167"/>
      <c r="G167" s="1"/>
    </row>
    <row r="168" spans="5:7" x14ac:dyDescent="0.25">
      <c r="E168"/>
      <c r="F168"/>
      <c r="G168" s="1"/>
    </row>
    <row r="169" spans="5:7" x14ac:dyDescent="0.25">
      <c r="E169"/>
      <c r="F169"/>
      <c r="G169" s="1"/>
    </row>
    <row r="170" spans="5:7" x14ac:dyDescent="0.25">
      <c r="E170"/>
      <c r="F170"/>
      <c r="G170" s="1"/>
    </row>
    <row r="171" spans="5:7" x14ac:dyDescent="0.25">
      <c r="E171"/>
      <c r="F171"/>
      <c r="G171" s="1"/>
    </row>
    <row r="172" spans="5:7" x14ac:dyDescent="0.25">
      <c r="E172"/>
      <c r="F172"/>
      <c r="G172" s="1"/>
    </row>
    <row r="173" spans="5:7" x14ac:dyDescent="0.25">
      <c r="E173"/>
      <c r="F173"/>
      <c r="G173" s="1"/>
    </row>
    <row r="174" spans="5:7" x14ac:dyDescent="0.25">
      <c r="E174"/>
      <c r="F174"/>
      <c r="G174" s="1"/>
    </row>
    <row r="175" spans="5:7" x14ac:dyDescent="0.25">
      <c r="E175"/>
      <c r="F175"/>
      <c r="G175" s="1"/>
    </row>
    <row r="176" spans="5:7" x14ac:dyDescent="0.25">
      <c r="E176"/>
      <c r="F176"/>
      <c r="G176" s="1"/>
    </row>
    <row r="177" spans="5:7" x14ac:dyDescent="0.25">
      <c r="E177"/>
      <c r="F177"/>
      <c r="G177" s="1"/>
    </row>
    <row r="178" spans="5:7" x14ac:dyDescent="0.25">
      <c r="E178"/>
      <c r="F178"/>
      <c r="G178" s="1"/>
    </row>
    <row r="179" spans="5:7" x14ac:dyDescent="0.25">
      <c r="E179"/>
      <c r="F179"/>
      <c r="G179" s="1"/>
    </row>
    <row r="180" spans="5:7" x14ac:dyDescent="0.25">
      <c r="E180"/>
      <c r="F180"/>
      <c r="G180" s="1"/>
    </row>
    <row r="181" spans="5:7" x14ac:dyDescent="0.25">
      <c r="E181"/>
      <c r="F181"/>
      <c r="G181" s="1"/>
    </row>
    <row r="182" spans="5:7" x14ac:dyDescent="0.25">
      <c r="E182"/>
      <c r="F182"/>
      <c r="G182" s="1"/>
    </row>
    <row r="183" spans="5:7" x14ac:dyDescent="0.25">
      <c r="E183"/>
      <c r="F183"/>
      <c r="G183" s="1"/>
    </row>
    <row r="184" spans="5:7" x14ac:dyDescent="0.25">
      <c r="E184"/>
      <c r="F184"/>
      <c r="G184" s="1"/>
    </row>
    <row r="185" spans="5:7" x14ac:dyDescent="0.25">
      <c r="E185"/>
      <c r="F185"/>
      <c r="G185" s="1"/>
    </row>
    <row r="186" spans="5:7" x14ac:dyDescent="0.25">
      <c r="E186"/>
      <c r="F186"/>
      <c r="G186" s="1"/>
    </row>
    <row r="187" spans="5:7" x14ac:dyDescent="0.25">
      <c r="E187"/>
      <c r="F187"/>
      <c r="G187" s="1"/>
    </row>
    <row r="188" spans="5:7" x14ac:dyDescent="0.25">
      <c r="E188"/>
      <c r="F188"/>
      <c r="G188" s="1"/>
    </row>
    <row r="189" spans="5:7" x14ac:dyDescent="0.25">
      <c r="E189"/>
      <c r="F189"/>
      <c r="G189" s="1"/>
    </row>
    <row r="190" spans="5:7" x14ac:dyDescent="0.25">
      <c r="E190"/>
      <c r="F190"/>
      <c r="G190" s="1"/>
    </row>
    <row r="191" spans="5:7" x14ac:dyDescent="0.25">
      <c r="E191"/>
      <c r="F191"/>
      <c r="G191" s="1"/>
    </row>
    <row r="192" spans="5:7" x14ac:dyDescent="0.25">
      <c r="E192"/>
      <c r="F192"/>
      <c r="G192" s="1"/>
    </row>
    <row r="193" spans="5:7" x14ac:dyDescent="0.25">
      <c r="E193"/>
      <c r="F193"/>
      <c r="G193" s="1"/>
    </row>
    <row r="194" spans="5:7" x14ac:dyDescent="0.25">
      <c r="E194"/>
      <c r="F194"/>
      <c r="G194" s="1"/>
    </row>
    <row r="195" spans="5:7" x14ac:dyDescent="0.25">
      <c r="E195"/>
      <c r="F195"/>
      <c r="G195" s="1"/>
    </row>
    <row r="196" spans="5:7" x14ac:dyDescent="0.25">
      <c r="E196"/>
      <c r="F196"/>
      <c r="G196" s="1"/>
    </row>
    <row r="197" spans="5:7" x14ac:dyDescent="0.25">
      <c r="E197"/>
      <c r="F197"/>
      <c r="G197" s="1"/>
    </row>
    <row r="198" spans="5:7" x14ac:dyDescent="0.25">
      <c r="E198"/>
      <c r="F198"/>
      <c r="G198" s="1"/>
    </row>
    <row r="199" spans="5:7" x14ac:dyDescent="0.25">
      <c r="E199"/>
      <c r="F199"/>
      <c r="G199" s="1"/>
    </row>
    <row r="200" spans="5:7" x14ac:dyDescent="0.25">
      <c r="E200"/>
      <c r="F200"/>
      <c r="G200" s="1"/>
    </row>
    <row r="201" spans="5:7" x14ac:dyDescent="0.25">
      <c r="E201"/>
      <c r="F201"/>
      <c r="G201" s="1"/>
    </row>
    <row r="202" spans="5:7" x14ac:dyDescent="0.25">
      <c r="E202"/>
      <c r="F202"/>
      <c r="G202" s="1"/>
    </row>
    <row r="203" spans="5:7" x14ac:dyDescent="0.25">
      <c r="E203"/>
      <c r="F203"/>
      <c r="G203" s="1"/>
    </row>
    <row r="204" spans="5:7" x14ac:dyDescent="0.25">
      <c r="E204"/>
      <c r="F204"/>
      <c r="G204" s="1"/>
    </row>
    <row r="205" spans="5:7" x14ac:dyDescent="0.25">
      <c r="E205"/>
      <c r="F205"/>
      <c r="G205" s="1"/>
    </row>
    <row r="206" spans="5:7" x14ac:dyDescent="0.25">
      <c r="E206"/>
      <c r="F206"/>
      <c r="G206" s="1"/>
    </row>
    <row r="207" spans="5:7" x14ac:dyDescent="0.25">
      <c r="E207"/>
      <c r="F207"/>
      <c r="G207" s="1"/>
    </row>
    <row r="208" spans="5:7" x14ac:dyDescent="0.25">
      <c r="E208"/>
      <c r="F208"/>
      <c r="G208" s="1"/>
    </row>
    <row r="209" spans="5:7" x14ac:dyDescent="0.25">
      <c r="E209"/>
      <c r="F209"/>
      <c r="G209" s="1"/>
    </row>
    <row r="210" spans="5:7" x14ac:dyDescent="0.25">
      <c r="E210"/>
      <c r="F210"/>
      <c r="G210" s="1"/>
    </row>
    <row r="211" spans="5:7" x14ac:dyDescent="0.25">
      <c r="E211"/>
      <c r="F211"/>
      <c r="G211" s="1"/>
    </row>
    <row r="212" spans="5:7" x14ac:dyDescent="0.25">
      <c r="E212"/>
      <c r="F212"/>
      <c r="G212" s="1"/>
    </row>
    <row r="213" spans="5:7" x14ac:dyDescent="0.25">
      <c r="E213"/>
      <c r="F213"/>
      <c r="G213" s="1"/>
    </row>
    <row r="214" spans="5:7" x14ac:dyDescent="0.25">
      <c r="E214"/>
      <c r="F214"/>
      <c r="G214" s="1"/>
    </row>
    <row r="215" spans="5:7" x14ac:dyDescent="0.25">
      <c r="E215"/>
      <c r="F215"/>
      <c r="G215" s="1"/>
    </row>
    <row r="216" spans="5:7" x14ac:dyDescent="0.25">
      <c r="E216"/>
      <c r="F216"/>
      <c r="G216" s="1"/>
    </row>
    <row r="217" spans="5:7" x14ac:dyDescent="0.25">
      <c r="E217"/>
      <c r="F217"/>
      <c r="G217" s="1"/>
    </row>
    <row r="218" spans="5:7" x14ac:dyDescent="0.25">
      <c r="E218"/>
      <c r="F218"/>
      <c r="G218" s="1"/>
    </row>
    <row r="219" spans="5:7" x14ac:dyDescent="0.25">
      <c r="E219"/>
      <c r="F219"/>
      <c r="G219" s="1"/>
    </row>
    <row r="220" spans="5:7" x14ac:dyDescent="0.25">
      <c r="E220"/>
      <c r="F220"/>
      <c r="G220" s="1"/>
    </row>
    <row r="221" spans="5:7" x14ac:dyDescent="0.25">
      <c r="E221"/>
      <c r="F221"/>
      <c r="G221" s="1"/>
    </row>
    <row r="222" spans="5:7" x14ac:dyDescent="0.25">
      <c r="E222"/>
      <c r="F222"/>
      <c r="G222" s="1"/>
    </row>
    <row r="223" spans="5:7" x14ac:dyDescent="0.25">
      <c r="E223"/>
      <c r="F223"/>
      <c r="G223" s="1"/>
    </row>
    <row r="224" spans="5:7" x14ac:dyDescent="0.25">
      <c r="E224"/>
      <c r="F224" s="1"/>
    </row>
    <row r="225" spans="5:6" x14ac:dyDescent="0.25">
      <c r="E225"/>
      <c r="F225" s="1"/>
    </row>
    <row r="226" spans="5:6" x14ac:dyDescent="0.25">
      <c r="E226"/>
      <c r="F226" s="1"/>
    </row>
    <row r="227" spans="5:6" x14ac:dyDescent="0.25">
      <c r="E227"/>
      <c r="F227" s="1"/>
    </row>
    <row r="228" spans="5:6" x14ac:dyDescent="0.25">
      <c r="E228"/>
      <c r="F228" s="1"/>
    </row>
    <row r="229" spans="5:6" x14ac:dyDescent="0.25">
      <c r="F229" s="22"/>
    </row>
    <row r="230" spans="5:6" x14ac:dyDescent="0.25">
      <c r="F230" s="22"/>
    </row>
    <row r="231" spans="5:6" x14ac:dyDescent="0.25">
      <c r="F231" s="22"/>
    </row>
    <row r="232" spans="5:6" x14ac:dyDescent="0.25">
      <c r="F232" s="22"/>
    </row>
    <row r="233" spans="5:6" x14ac:dyDescent="0.25">
      <c r="F233" s="22"/>
    </row>
    <row r="234" spans="5:6" x14ac:dyDescent="0.25">
      <c r="F234" s="22"/>
    </row>
    <row r="235" spans="5:6" x14ac:dyDescent="0.25">
      <c r="F235" s="22"/>
    </row>
    <row r="236" spans="5:6" x14ac:dyDescent="0.25">
      <c r="F236" s="22"/>
    </row>
    <row r="237" spans="5:6" x14ac:dyDescent="0.25">
      <c r="F237" s="22"/>
    </row>
    <row r="238" spans="5:6" x14ac:dyDescent="0.25">
      <c r="F238" s="22"/>
    </row>
    <row r="239" spans="5:6" x14ac:dyDescent="0.25">
      <c r="F239" s="22"/>
    </row>
    <row r="240" spans="5:6" x14ac:dyDescent="0.25">
      <c r="F240" s="22"/>
    </row>
    <row r="241" spans="6:6" x14ac:dyDescent="0.25">
      <c r="F241" s="22"/>
    </row>
    <row r="242" spans="6:6" x14ac:dyDescent="0.25">
      <c r="F242" s="22"/>
    </row>
    <row r="243" spans="6:6" x14ac:dyDescent="0.25">
      <c r="F243" s="22"/>
    </row>
    <row r="244" spans="6:6" x14ac:dyDescent="0.25">
      <c r="F244" s="22"/>
    </row>
    <row r="245" spans="6:6" x14ac:dyDescent="0.25">
      <c r="F245" s="22"/>
    </row>
    <row r="246" spans="6:6" x14ac:dyDescent="0.25">
      <c r="F246" s="22"/>
    </row>
    <row r="247" spans="6:6" x14ac:dyDescent="0.25">
      <c r="F247" s="22"/>
    </row>
    <row r="248" spans="6:6" x14ac:dyDescent="0.25">
      <c r="F248" s="22"/>
    </row>
    <row r="249" spans="6:6" x14ac:dyDescent="0.25">
      <c r="F249" s="22"/>
    </row>
    <row r="250" spans="6:6" x14ac:dyDescent="0.25">
      <c r="F250" s="22"/>
    </row>
    <row r="251" spans="6:6" x14ac:dyDescent="0.25">
      <c r="F251" s="22"/>
    </row>
    <row r="252" spans="6:6" x14ac:dyDescent="0.25">
      <c r="F252" s="22"/>
    </row>
    <row r="253" spans="6:6" x14ac:dyDescent="0.25">
      <c r="F253" s="22"/>
    </row>
    <row r="254" spans="6:6" x14ac:dyDescent="0.25">
      <c r="F254" s="22"/>
    </row>
    <row r="255" spans="6:6" x14ac:dyDescent="0.25">
      <c r="F255" s="22"/>
    </row>
    <row r="256" spans="6:6" x14ac:dyDescent="0.25">
      <c r="F256" s="22"/>
    </row>
    <row r="257" spans="6:6" x14ac:dyDescent="0.25">
      <c r="F257" s="22"/>
    </row>
    <row r="258" spans="6:6" x14ac:dyDescent="0.25">
      <c r="F258" s="22"/>
    </row>
    <row r="259" spans="6:6" x14ac:dyDescent="0.25">
      <c r="F259" s="22"/>
    </row>
    <row r="260" spans="6:6" x14ac:dyDescent="0.25">
      <c r="F260" s="22"/>
    </row>
    <row r="261" spans="6:6" x14ac:dyDescent="0.25">
      <c r="F261" s="22"/>
    </row>
    <row r="262" spans="6:6" x14ac:dyDescent="0.25">
      <c r="F262" s="22"/>
    </row>
    <row r="263" spans="6:6" x14ac:dyDescent="0.25">
      <c r="F263" s="22"/>
    </row>
    <row r="264" spans="6:6" x14ac:dyDescent="0.25">
      <c r="F264" s="22"/>
    </row>
    <row r="265" spans="6:6" x14ac:dyDescent="0.25">
      <c r="F265" s="22"/>
    </row>
    <row r="266" spans="6:6" x14ac:dyDescent="0.25">
      <c r="F266" s="22"/>
    </row>
    <row r="267" spans="6:6" x14ac:dyDescent="0.25">
      <c r="F267" s="22"/>
    </row>
    <row r="268" spans="6:6" x14ac:dyDescent="0.25">
      <c r="F268" s="22"/>
    </row>
    <row r="269" spans="6:6" x14ac:dyDescent="0.25">
      <c r="F269" s="22"/>
    </row>
    <row r="270" spans="6:6" x14ac:dyDescent="0.25">
      <c r="F270" s="22"/>
    </row>
    <row r="271" spans="6:6" x14ac:dyDescent="0.25">
      <c r="F271" s="22"/>
    </row>
    <row r="272" spans="6:6" x14ac:dyDescent="0.25">
      <c r="F272" s="22"/>
    </row>
    <row r="273" spans="6:6" x14ac:dyDescent="0.25">
      <c r="F273" s="22"/>
    </row>
    <row r="274" spans="6:6" x14ac:dyDescent="0.25">
      <c r="F274" s="22"/>
    </row>
    <row r="275" spans="6:6" x14ac:dyDescent="0.25">
      <c r="F275" s="22"/>
    </row>
    <row r="276" spans="6:6" x14ac:dyDescent="0.25">
      <c r="F276" s="22"/>
    </row>
    <row r="277" spans="6:6" x14ac:dyDescent="0.25">
      <c r="F277" s="22"/>
    </row>
    <row r="278" spans="6:6" x14ac:dyDescent="0.25">
      <c r="F278" s="22"/>
    </row>
    <row r="279" spans="6:6" x14ac:dyDescent="0.25">
      <c r="F279" s="22"/>
    </row>
    <row r="280" spans="6:6" x14ac:dyDescent="0.25">
      <c r="F280" s="22"/>
    </row>
    <row r="281" spans="6:6" x14ac:dyDescent="0.25">
      <c r="F281" s="22"/>
    </row>
    <row r="282" spans="6:6" x14ac:dyDescent="0.25">
      <c r="F282" s="22"/>
    </row>
    <row r="283" spans="6:6" x14ac:dyDescent="0.25">
      <c r="F283" s="22"/>
    </row>
    <row r="284" spans="6:6" x14ac:dyDescent="0.25">
      <c r="F284" s="22"/>
    </row>
    <row r="285" spans="6:6" x14ac:dyDescent="0.25">
      <c r="F285" s="22"/>
    </row>
    <row r="286" spans="6:6" x14ac:dyDescent="0.25">
      <c r="F286" s="22"/>
    </row>
    <row r="287" spans="6:6" x14ac:dyDescent="0.25">
      <c r="F287" s="22"/>
    </row>
    <row r="288" spans="6:6" x14ac:dyDescent="0.25">
      <c r="F288" s="22"/>
    </row>
    <row r="289" spans="6:6" x14ac:dyDescent="0.25">
      <c r="F289" s="22"/>
    </row>
    <row r="290" spans="6:6" x14ac:dyDescent="0.25">
      <c r="F290" s="22"/>
    </row>
    <row r="291" spans="6:6" x14ac:dyDescent="0.25">
      <c r="F291" s="22"/>
    </row>
    <row r="292" spans="6:6" x14ac:dyDescent="0.25">
      <c r="F292" s="22"/>
    </row>
    <row r="293" spans="6:6" x14ac:dyDescent="0.25">
      <c r="F293" s="22"/>
    </row>
    <row r="294" spans="6:6" x14ac:dyDescent="0.25">
      <c r="F294" s="22"/>
    </row>
    <row r="295" spans="6:6" x14ac:dyDescent="0.25">
      <c r="F295" s="22"/>
    </row>
    <row r="296" spans="6:6" x14ac:dyDescent="0.25">
      <c r="F296" s="22"/>
    </row>
    <row r="297" spans="6:6" x14ac:dyDescent="0.25">
      <c r="F297" s="22"/>
    </row>
    <row r="298" spans="6:6" x14ac:dyDescent="0.25">
      <c r="F298" s="22"/>
    </row>
    <row r="299" spans="6:6" x14ac:dyDescent="0.25">
      <c r="F299" s="22"/>
    </row>
    <row r="300" spans="6:6" x14ac:dyDescent="0.25">
      <c r="F300" s="22"/>
    </row>
    <row r="301" spans="6:6" x14ac:dyDescent="0.25">
      <c r="F301" s="22"/>
    </row>
    <row r="302" spans="6:6" x14ac:dyDescent="0.25">
      <c r="F302" s="22"/>
    </row>
    <row r="303" spans="6:6" x14ac:dyDescent="0.25">
      <c r="F303" s="22"/>
    </row>
    <row r="304" spans="6:6" x14ac:dyDescent="0.25">
      <c r="F304" s="22"/>
    </row>
    <row r="305" spans="6:6" x14ac:dyDescent="0.25">
      <c r="F305" s="22"/>
    </row>
    <row r="306" spans="6:6" x14ac:dyDescent="0.25">
      <c r="F306" s="22"/>
    </row>
    <row r="307" spans="6:6" x14ac:dyDescent="0.25">
      <c r="F307" s="22"/>
    </row>
    <row r="308" spans="6:6" x14ac:dyDescent="0.25">
      <c r="F308" s="22"/>
    </row>
    <row r="309" spans="6:6" x14ac:dyDescent="0.25">
      <c r="F309" s="22"/>
    </row>
    <row r="310" spans="6:6" x14ac:dyDescent="0.25">
      <c r="F310" s="22"/>
    </row>
    <row r="311" spans="6:6" x14ac:dyDescent="0.25">
      <c r="F311" s="22"/>
    </row>
    <row r="312" spans="6:6" x14ac:dyDescent="0.25">
      <c r="F312" s="22"/>
    </row>
    <row r="313" spans="6:6" x14ac:dyDescent="0.25">
      <c r="F313" s="22"/>
    </row>
    <row r="314" spans="6:6" x14ac:dyDescent="0.25">
      <c r="F314" s="22"/>
    </row>
    <row r="315" spans="6:6" x14ac:dyDescent="0.25">
      <c r="F315" s="22"/>
    </row>
    <row r="316" spans="6:6" x14ac:dyDescent="0.25">
      <c r="F316" s="22"/>
    </row>
    <row r="317" spans="6:6" x14ac:dyDescent="0.25">
      <c r="F317" s="22"/>
    </row>
    <row r="318" spans="6:6" x14ac:dyDescent="0.25">
      <c r="F318" s="22"/>
    </row>
    <row r="319" spans="6:6" x14ac:dyDescent="0.25">
      <c r="F319" s="22"/>
    </row>
    <row r="320" spans="6:6" x14ac:dyDescent="0.25">
      <c r="F320" s="22"/>
    </row>
    <row r="321" spans="6:6" x14ac:dyDescent="0.25">
      <c r="F321" s="22"/>
    </row>
    <row r="322" spans="6:6" x14ac:dyDescent="0.25">
      <c r="F322" s="22"/>
    </row>
    <row r="323" spans="6:6" x14ac:dyDescent="0.25">
      <c r="F323" s="22"/>
    </row>
    <row r="324" spans="6:6" x14ac:dyDescent="0.25">
      <c r="F324" s="22"/>
    </row>
    <row r="325" spans="6:6" x14ac:dyDescent="0.25">
      <c r="F325" s="22"/>
    </row>
    <row r="326" spans="6:6" x14ac:dyDescent="0.25">
      <c r="F326" s="22"/>
    </row>
    <row r="327" spans="6:6" x14ac:dyDescent="0.25">
      <c r="F327" s="22"/>
    </row>
    <row r="328" spans="6:6" x14ac:dyDescent="0.25">
      <c r="F328" s="22"/>
    </row>
    <row r="329" spans="6:6" x14ac:dyDescent="0.25">
      <c r="F329" s="22"/>
    </row>
    <row r="330" spans="6:6" x14ac:dyDescent="0.25">
      <c r="F330" s="22"/>
    </row>
    <row r="331" spans="6:6" x14ac:dyDescent="0.25">
      <c r="F331" s="22"/>
    </row>
    <row r="332" spans="6:6" x14ac:dyDescent="0.25">
      <c r="F332" s="22"/>
    </row>
    <row r="333" spans="6:6" x14ac:dyDescent="0.25">
      <c r="F333" s="22"/>
    </row>
    <row r="334" spans="6:6" x14ac:dyDescent="0.25">
      <c r="F334" s="22"/>
    </row>
    <row r="335" spans="6:6" x14ac:dyDescent="0.25">
      <c r="F335" s="22"/>
    </row>
    <row r="336" spans="6:6" x14ac:dyDescent="0.25">
      <c r="F336" s="22"/>
    </row>
    <row r="337" spans="6:6" x14ac:dyDescent="0.25">
      <c r="F337" s="22"/>
    </row>
    <row r="338" spans="6:6" x14ac:dyDescent="0.25">
      <c r="F338" s="22"/>
    </row>
    <row r="339" spans="6:6" x14ac:dyDescent="0.25">
      <c r="F339" s="22"/>
    </row>
    <row r="340" spans="6:6" x14ac:dyDescent="0.25">
      <c r="F340" s="22"/>
    </row>
    <row r="341" spans="6:6" x14ac:dyDescent="0.25">
      <c r="F341" s="22"/>
    </row>
    <row r="342" spans="6:6" x14ac:dyDescent="0.25">
      <c r="F342" s="22"/>
    </row>
    <row r="343" spans="6:6" x14ac:dyDescent="0.25">
      <c r="F343" s="22"/>
    </row>
    <row r="344" spans="6:6" x14ac:dyDescent="0.25">
      <c r="F344" s="22"/>
    </row>
    <row r="345" spans="6:6" x14ac:dyDescent="0.25">
      <c r="F345" s="22"/>
    </row>
    <row r="346" spans="6:6" x14ac:dyDescent="0.25">
      <c r="F346" s="22"/>
    </row>
    <row r="347" spans="6:6" x14ac:dyDescent="0.25">
      <c r="F347" s="22"/>
    </row>
    <row r="348" spans="6:6" x14ac:dyDescent="0.25">
      <c r="F348" s="22"/>
    </row>
    <row r="349" spans="6:6" x14ac:dyDescent="0.25">
      <c r="F349" s="22"/>
    </row>
    <row r="350" spans="6:6" x14ac:dyDescent="0.25">
      <c r="F350" s="22"/>
    </row>
    <row r="351" spans="6:6" x14ac:dyDescent="0.25">
      <c r="F351" s="22"/>
    </row>
    <row r="352" spans="6:6" x14ac:dyDescent="0.25">
      <c r="F352" s="22"/>
    </row>
    <row r="353" spans="6:6" x14ac:dyDescent="0.25">
      <c r="F353" s="22"/>
    </row>
    <row r="354" spans="6:6" x14ac:dyDescent="0.25">
      <c r="F354" s="22"/>
    </row>
    <row r="355" spans="6:6" x14ac:dyDescent="0.25">
      <c r="F355" s="22"/>
    </row>
    <row r="356" spans="6:6" x14ac:dyDescent="0.25">
      <c r="F356" s="22"/>
    </row>
    <row r="357" spans="6:6" x14ac:dyDescent="0.25">
      <c r="F357" s="22"/>
    </row>
    <row r="358" spans="6:6" x14ac:dyDescent="0.25">
      <c r="F358" s="22"/>
    </row>
    <row r="359" spans="6:6" x14ac:dyDescent="0.25">
      <c r="F359" s="22"/>
    </row>
    <row r="360" spans="6:6" x14ac:dyDescent="0.25">
      <c r="F360" s="22"/>
    </row>
    <row r="361" spans="6:6" x14ac:dyDescent="0.25">
      <c r="F361" s="22"/>
    </row>
    <row r="362" spans="6:6" x14ac:dyDescent="0.25">
      <c r="F362" s="22"/>
    </row>
    <row r="363" spans="6:6" x14ac:dyDescent="0.25">
      <c r="F363" s="22"/>
    </row>
    <row r="364" spans="6:6" x14ac:dyDescent="0.25">
      <c r="F364" s="22"/>
    </row>
    <row r="365" spans="6:6" x14ac:dyDescent="0.25">
      <c r="F365" s="22"/>
    </row>
    <row r="366" spans="6:6" x14ac:dyDescent="0.25">
      <c r="F366" s="22"/>
    </row>
    <row r="367" spans="6:6" x14ac:dyDescent="0.25">
      <c r="F367" s="22"/>
    </row>
    <row r="368" spans="6:6" x14ac:dyDescent="0.25">
      <c r="F368" s="22"/>
    </row>
    <row r="369" spans="6:6" x14ac:dyDescent="0.25">
      <c r="F369" s="22"/>
    </row>
    <row r="370" spans="6:6" x14ac:dyDescent="0.25">
      <c r="F370" s="22"/>
    </row>
    <row r="371" spans="6:6" x14ac:dyDescent="0.25">
      <c r="F371" s="22"/>
    </row>
    <row r="372" spans="6:6" x14ac:dyDescent="0.25">
      <c r="F372" s="22"/>
    </row>
    <row r="373" spans="6:6" x14ac:dyDescent="0.25">
      <c r="F373" s="22"/>
    </row>
    <row r="374" spans="6:6" x14ac:dyDescent="0.25">
      <c r="F374" s="22"/>
    </row>
    <row r="375" spans="6:6" x14ac:dyDescent="0.25">
      <c r="F375" s="22"/>
    </row>
    <row r="376" spans="6:6" x14ac:dyDescent="0.25">
      <c r="F376" s="22"/>
    </row>
    <row r="377" spans="6:6" x14ac:dyDescent="0.25">
      <c r="F377" s="22"/>
    </row>
    <row r="378" spans="6:6" x14ac:dyDescent="0.25">
      <c r="F378" s="22"/>
    </row>
    <row r="379" spans="6:6" x14ac:dyDescent="0.25">
      <c r="F379" s="22"/>
    </row>
    <row r="380" spans="6:6" x14ac:dyDescent="0.25">
      <c r="F380" s="22"/>
    </row>
    <row r="381" spans="6:6" x14ac:dyDescent="0.25">
      <c r="F381" s="22"/>
    </row>
    <row r="382" spans="6:6" x14ac:dyDescent="0.25">
      <c r="F382" s="22"/>
    </row>
    <row r="383" spans="6:6" x14ac:dyDescent="0.25">
      <c r="F383" s="22"/>
    </row>
    <row r="384" spans="6:6" x14ac:dyDescent="0.25">
      <c r="F384" s="22"/>
    </row>
    <row r="385" spans="6:6" x14ac:dyDescent="0.25">
      <c r="F385" s="22"/>
    </row>
    <row r="386" spans="6:6" x14ac:dyDescent="0.25">
      <c r="F386" s="22"/>
    </row>
    <row r="387" spans="6:6" x14ac:dyDescent="0.25">
      <c r="F387" s="22"/>
    </row>
    <row r="388" spans="6:6" x14ac:dyDescent="0.25">
      <c r="F388" s="22"/>
    </row>
    <row r="389" spans="6:6" x14ac:dyDescent="0.25">
      <c r="F389" s="22"/>
    </row>
    <row r="390" spans="6:6" x14ac:dyDescent="0.25">
      <c r="F390" s="22"/>
    </row>
    <row r="391" spans="6:6" x14ac:dyDescent="0.25">
      <c r="F391" s="22"/>
    </row>
    <row r="392" spans="6:6" x14ac:dyDescent="0.25">
      <c r="F392" s="22"/>
    </row>
    <row r="393" spans="6:6" x14ac:dyDescent="0.25">
      <c r="F393" s="22"/>
    </row>
    <row r="394" spans="6:6" x14ac:dyDescent="0.25">
      <c r="F394" s="22"/>
    </row>
    <row r="395" spans="6:6" x14ac:dyDescent="0.25">
      <c r="F395" s="22"/>
    </row>
    <row r="396" spans="6:6" x14ac:dyDescent="0.25">
      <c r="F396" s="22"/>
    </row>
    <row r="397" spans="6:6" x14ac:dyDescent="0.25">
      <c r="F397" s="22"/>
    </row>
    <row r="398" spans="6:6" x14ac:dyDescent="0.25">
      <c r="F398" s="22"/>
    </row>
    <row r="399" spans="6:6" x14ac:dyDescent="0.25">
      <c r="F399" s="22"/>
    </row>
    <row r="400" spans="6:6" x14ac:dyDescent="0.25">
      <c r="F400" s="22"/>
    </row>
    <row r="401" spans="6:6" x14ac:dyDescent="0.25">
      <c r="F401" s="22"/>
    </row>
    <row r="402" spans="6:6" x14ac:dyDescent="0.25">
      <c r="F402" s="22"/>
    </row>
    <row r="403" spans="6:6" x14ac:dyDescent="0.25">
      <c r="F403" s="22"/>
    </row>
    <row r="404" spans="6:6" x14ac:dyDescent="0.25">
      <c r="F404" s="22"/>
    </row>
    <row r="405" spans="6:6" x14ac:dyDescent="0.25">
      <c r="F405" s="22"/>
    </row>
    <row r="406" spans="6:6" x14ac:dyDescent="0.25">
      <c r="F406" s="22"/>
    </row>
    <row r="407" spans="6:6" x14ac:dyDescent="0.25">
      <c r="F407" s="22"/>
    </row>
    <row r="408" spans="6:6" x14ac:dyDescent="0.25">
      <c r="F408" s="22"/>
    </row>
    <row r="409" spans="6:6" x14ac:dyDescent="0.25">
      <c r="F409" s="22"/>
    </row>
    <row r="410" spans="6:6" x14ac:dyDescent="0.25">
      <c r="F410" s="22"/>
    </row>
    <row r="411" spans="6:6" x14ac:dyDescent="0.25">
      <c r="F411" s="22"/>
    </row>
    <row r="412" spans="6:6" x14ac:dyDescent="0.25">
      <c r="F412" s="22"/>
    </row>
    <row r="413" spans="6:6" x14ac:dyDescent="0.25">
      <c r="F413" s="22"/>
    </row>
    <row r="414" spans="6:6" x14ac:dyDescent="0.25">
      <c r="F414" s="22"/>
    </row>
    <row r="415" spans="6:6" x14ac:dyDescent="0.25">
      <c r="F415" s="22"/>
    </row>
    <row r="416" spans="6:6" x14ac:dyDescent="0.25">
      <c r="F416" s="22"/>
    </row>
    <row r="417" spans="6:6" x14ac:dyDescent="0.25">
      <c r="F417" s="22"/>
    </row>
    <row r="418" spans="6:6" x14ac:dyDescent="0.25">
      <c r="F418" s="22"/>
    </row>
    <row r="419" spans="6:6" x14ac:dyDescent="0.25">
      <c r="F419" s="22"/>
    </row>
    <row r="420" spans="6:6" x14ac:dyDescent="0.25">
      <c r="F420" s="22"/>
    </row>
    <row r="421" spans="6:6" x14ac:dyDescent="0.25">
      <c r="F421" s="22"/>
    </row>
    <row r="422" spans="6:6" x14ac:dyDescent="0.25">
      <c r="F422" s="22"/>
    </row>
    <row r="423" spans="6:6" x14ac:dyDescent="0.25">
      <c r="F423" s="22"/>
    </row>
    <row r="424" spans="6:6" x14ac:dyDescent="0.25">
      <c r="F424" s="22"/>
    </row>
    <row r="425" spans="6:6" x14ac:dyDescent="0.25">
      <c r="F425" s="22"/>
    </row>
    <row r="426" spans="6:6" x14ac:dyDescent="0.25">
      <c r="F426" s="22"/>
    </row>
    <row r="427" spans="6:6" x14ac:dyDescent="0.25">
      <c r="F427" s="22"/>
    </row>
    <row r="428" spans="6:6" x14ac:dyDescent="0.25">
      <c r="F428" s="22"/>
    </row>
    <row r="429" spans="6:6" x14ac:dyDescent="0.25">
      <c r="F429" s="22"/>
    </row>
    <row r="430" spans="6:6" x14ac:dyDescent="0.25">
      <c r="F430" s="22"/>
    </row>
    <row r="431" spans="6:6" x14ac:dyDescent="0.25">
      <c r="F431" s="22"/>
    </row>
    <row r="432" spans="6:6" x14ac:dyDescent="0.25">
      <c r="F432" s="22"/>
    </row>
    <row r="433" spans="6:6" x14ac:dyDescent="0.25">
      <c r="F433" s="22"/>
    </row>
    <row r="434" spans="6:6" x14ac:dyDescent="0.25">
      <c r="F434" s="22"/>
    </row>
    <row r="435" spans="6:6" x14ac:dyDescent="0.25">
      <c r="F435" s="22"/>
    </row>
    <row r="436" spans="6:6" x14ac:dyDescent="0.25">
      <c r="F436" s="22"/>
    </row>
    <row r="437" spans="6:6" x14ac:dyDescent="0.25">
      <c r="F437" s="22"/>
    </row>
    <row r="438" spans="6:6" x14ac:dyDescent="0.25">
      <c r="F438" s="22"/>
    </row>
    <row r="439" spans="6:6" x14ac:dyDescent="0.25">
      <c r="F439" s="22"/>
    </row>
    <row r="440" spans="6:6" x14ac:dyDescent="0.25">
      <c r="F440" s="22"/>
    </row>
    <row r="441" spans="6:6" x14ac:dyDescent="0.25">
      <c r="F441" s="22"/>
    </row>
    <row r="442" spans="6:6" x14ac:dyDescent="0.25">
      <c r="F442" s="22"/>
    </row>
    <row r="443" spans="6:6" x14ac:dyDescent="0.25">
      <c r="F443" s="22"/>
    </row>
    <row r="444" spans="6:6" x14ac:dyDescent="0.25">
      <c r="F444" s="22"/>
    </row>
    <row r="445" spans="6:6" x14ac:dyDescent="0.25">
      <c r="F445" s="22"/>
    </row>
    <row r="446" spans="6:6" x14ac:dyDescent="0.25">
      <c r="F446" s="22"/>
    </row>
    <row r="447" spans="6:6" x14ac:dyDescent="0.25">
      <c r="F447" s="22"/>
    </row>
    <row r="448" spans="6:6" x14ac:dyDescent="0.25">
      <c r="F448" s="22"/>
    </row>
    <row r="449" spans="6:6" x14ac:dyDescent="0.25">
      <c r="F449" s="22"/>
    </row>
    <row r="450" spans="6:6" x14ac:dyDescent="0.25">
      <c r="F450" s="22"/>
    </row>
    <row r="451" spans="6:6" x14ac:dyDescent="0.25">
      <c r="F451" s="22"/>
    </row>
    <row r="452" spans="6:6" x14ac:dyDescent="0.25">
      <c r="F452" s="22"/>
    </row>
    <row r="453" spans="6:6" x14ac:dyDescent="0.25">
      <c r="F453" s="22"/>
    </row>
    <row r="454" spans="6:6" x14ac:dyDescent="0.25">
      <c r="F454" s="22"/>
    </row>
    <row r="455" spans="6:6" x14ac:dyDescent="0.25">
      <c r="F455" s="22"/>
    </row>
    <row r="456" spans="6:6" x14ac:dyDescent="0.25">
      <c r="F456" s="22"/>
    </row>
    <row r="457" spans="6:6" x14ac:dyDescent="0.25">
      <c r="F457" s="22"/>
    </row>
    <row r="458" spans="6:6" x14ac:dyDescent="0.25">
      <c r="F458" s="22"/>
    </row>
    <row r="459" spans="6:6" x14ac:dyDescent="0.25">
      <c r="F459" s="22"/>
    </row>
    <row r="460" spans="6:6" x14ac:dyDescent="0.25">
      <c r="F460" s="22"/>
    </row>
    <row r="461" spans="6:6" x14ac:dyDescent="0.25">
      <c r="F461" s="22"/>
    </row>
    <row r="462" spans="6:6" x14ac:dyDescent="0.25">
      <c r="F462" s="22"/>
    </row>
    <row r="463" spans="6:6" x14ac:dyDescent="0.25">
      <c r="F463" s="22"/>
    </row>
    <row r="464" spans="6:6" x14ac:dyDescent="0.25">
      <c r="F464" s="22"/>
    </row>
    <row r="465" spans="6:6" x14ac:dyDescent="0.25">
      <c r="F465" s="22"/>
    </row>
    <row r="466" spans="6:6" x14ac:dyDescent="0.25">
      <c r="F466" s="22"/>
    </row>
    <row r="467" spans="6:6" x14ac:dyDescent="0.25">
      <c r="F467" s="22"/>
    </row>
    <row r="468" spans="6:6" x14ac:dyDescent="0.25">
      <c r="F468" s="22"/>
    </row>
    <row r="469" spans="6:6" x14ac:dyDescent="0.25">
      <c r="F469" s="22"/>
    </row>
    <row r="470" spans="6:6" x14ac:dyDescent="0.25">
      <c r="F470" s="22"/>
    </row>
    <row r="471" spans="6:6" x14ac:dyDescent="0.25">
      <c r="F471" s="22"/>
    </row>
    <row r="472" spans="6:6" x14ac:dyDescent="0.25">
      <c r="F472" s="22"/>
    </row>
    <row r="473" spans="6:6" x14ac:dyDescent="0.25">
      <c r="F473" s="22"/>
    </row>
    <row r="474" spans="6:6" x14ac:dyDescent="0.25">
      <c r="F474" s="22"/>
    </row>
    <row r="475" spans="6:6" x14ac:dyDescent="0.25">
      <c r="F475" s="22"/>
    </row>
    <row r="476" spans="6:6" x14ac:dyDescent="0.25">
      <c r="F476" s="22"/>
    </row>
    <row r="477" spans="6:6" x14ac:dyDescent="0.25">
      <c r="F477" s="22"/>
    </row>
    <row r="478" spans="6:6" x14ac:dyDescent="0.25">
      <c r="F478" s="22"/>
    </row>
    <row r="479" spans="6:6" x14ac:dyDescent="0.25">
      <c r="F479" s="22"/>
    </row>
    <row r="480" spans="6:6" x14ac:dyDescent="0.25">
      <c r="F480" s="22"/>
    </row>
    <row r="481" spans="6:6" x14ac:dyDescent="0.25">
      <c r="F481" s="22"/>
    </row>
    <row r="482" spans="6:6" x14ac:dyDescent="0.25">
      <c r="F482" s="22"/>
    </row>
    <row r="483" spans="6:6" x14ac:dyDescent="0.25">
      <c r="F483" s="22"/>
    </row>
    <row r="484" spans="6:6" x14ac:dyDescent="0.25">
      <c r="F484" s="22"/>
    </row>
    <row r="485" spans="6:6" x14ac:dyDescent="0.25">
      <c r="F485" s="22"/>
    </row>
    <row r="486" spans="6:6" x14ac:dyDescent="0.25">
      <c r="F486" s="22"/>
    </row>
    <row r="487" spans="6:6" x14ac:dyDescent="0.25">
      <c r="F487" s="22"/>
    </row>
    <row r="488" spans="6:6" x14ac:dyDescent="0.25">
      <c r="F488" s="22"/>
    </row>
    <row r="489" spans="6:6" x14ac:dyDescent="0.25">
      <c r="F489" s="22"/>
    </row>
    <row r="490" spans="6:6" x14ac:dyDescent="0.25">
      <c r="F490" s="22"/>
    </row>
    <row r="491" spans="6:6" x14ac:dyDescent="0.25">
      <c r="F491" s="22"/>
    </row>
    <row r="492" spans="6:6" x14ac:dyDescent="0.25">
      <c r="F492" s="22"/>
    </row>
    <row r="493" spans="6:6" x14ac:dyDescent="0.25">
      <c r="F493" s="22"/>
    </row>
    <row r="494" spans="6:6" x14ac:dyDescent="0.25">
      <c r="F494" s="22"/>
    </row>
    <row r="495" spans="6:6" x14ac:dyDescent="0.25">
      <c r="F495" s="22"/>
    </row>
    <row r="496" spans="6:6" x14ac:dyDescent="0.25">
      <c r="F496" s="22"/>
    </row>
    <row r="497" spans="6:6" x14ac:dyDescent="0.25">
      <c r="F497" s="22"/>
    </row>
    <row r="498" spans="6:6" x14ac:dyDescent="0.25">
      <c r="F498" s="22"/>
    </row>
    <row r="499" spans="6:6" x14ac:dyDescent="0.25">
      <c r="F499" s="22"/>
    </row>
    <row r="500" spans="6:6" x14ac:dyDescent="0.25">
      <c r="F500" s="22"/>
    </row>
    <row r="501" spans="6:6" x14ac:dyDescent="0.25">
      <c r="F501" s="22"/>
    </row>
    <row r="502" spans="6:6" x14ac:dyDescent="0.25">
      <c r="F502" s="22"/>
    </row>
    <row r="503" spans="6:6" x14ac:dyDescent="0.25">
      <c r="F503" s="22"/>
    </row>
    <row r="504" spans="6:6" x14ac:dyDescent="0.25">
      <c r="F504" s="22"/>
    </row>
    <row r="505" spans="6:6" x14ac:dyDescent="0.25">
      <c r="F505" s="22"/>
    </row>
    <row r="506" spans="6:6" x14ac:dyDescent="0.25">
      <c r="F506" s="22"/>
    </row>
    <row r="507" spans="6:6" x14ac:dyDescent="0.25">
      <c r="F507" s="22"/>
    </row>
    <row r="508" spans="6:6" x14ac:dyDescent="0.25">
      <c r="F508" s="22"/>
    </row>
    <row r="509" spans="6:6" x14ac:dyDescent="0.25">
      <c r="F509" s="22"/>
    </row>
    <row r="510" spans="6:6" x14ac:dyDescent="0.25">
      <c r="F510" s="22"/>
    </row>
    <row r="511" spans="6:6" x14ac:dyDescent="0.25">
      <c r="F511" s="22"/>
    </row>
    <row r="512" spans="6:6" x14ac:dyDescent="0.25">
      <c r="F512" s="22"/>
    </row>
    <row r="513" spans="6:6" x14ac:dyDescent="0.25">
      <c r="F513" s="22"/>
    </row>
    <row r="514" spans="6:6" x14ac:dyDescent="0.25">
      <c r="F514" s="22"/>
    </row>
    <row r="515" spans="6:6" x14ac:dyDescent="0.25">
      <c r="F515" s="22"/>
    </row>
    <row r="516" spans="6:6" x14ac:dyDescent="0.25">
      <c r="F516" s="22"/>
    </row>
    <row r="517" spans="6:6" x14ac:dyDescent="0.25">
      <c r="F517" s="22"/>
    </row>
    <row r="518" spans="6:6" x14ac:dyDescent="0.25">
      <c r="F518" s="22"/>
    </row>
    <row r="519" spans="6:6" x14ac:dyDescent="0.25">
      <c r="F519" s="22"/>
    </row>
    <row r="520" spans="6:6" x14ac:dyDescent="0.25">
      <c r="F520" s="22"/>
    </row>
    <row r="521" spans="6:6" x14ac:dyDescent="0.25">
      <c r="F521" s="22"/>
    </row>
    <row r="522" spans="6:6" x14ac:dyDescent="0.25">
      <c r="F522" s="22"/>
    </row>
    <row r="523" spans="6:6" x14ac:dyDescent="0.25">
      <c r="F523" s="22"/>
    </row>
    <row r="524" spans="6:6" x14ac:dyDescent="0.25">
      <c r="F524" s="22"/>
    </row>
    <row r="525" spans="6:6" x14ac:dyDescent="0.25">
      <c r="F525" s="22"/>
    </row>
    <row r="526" spans="6:6" x14ac:dyDescent="0.25">
      <c r="F526" s="22"/>
    </row>
    <row r="527" spans="6:6" x14ac:dyDescent="0.25">
      <c r="F527" s="22"/>
    </row>
    <row r="528" spans="6:6" x14ac:dyDescent="0.25">
      <c r="F528" s="22"/>
    </row>
    <row r="529" spans="6:6" x14ac:dyDescent="0.25">
      <c r="F529" s="22"/>
    </row>
    <row r="530" spans="6:6" x14ac:dyDescent="0.25">
      <c r="F530" s="22"/>
    </row>
    <row r="531" spans="6:6" x14ac:dyDescent="0.25">
      <c r="F531" s="22"/>
    </row>
    <row r="532" spans="6:6" x14ac:dyDescent="0.25">
      <c r="F532" s="22"/>
    </row>
    <row r="533" spans="6:6" x14ac:dyDescent="0.25">
      <c r="F533" s="22"/>
    </row>
    <row r="534" spans="6:6" x14ac:dyDescent="0.25">
      <c r="F534" s="22"/>
    </row>
    <row r="535" spans="6:6" x14ac:dyDescent="0.25">
      <c r="F535" s="22"/>
    </row>
    <row r="536" spans="6:6" x14ac:dyDescent="0.25">
      <c r="F536" s="22"/>
    </row>
    <row r="537" spans="6:6" x14ac:dyDescent="0.25">
      <c r="F537" s="22"/>
    </row>
    <row r="538" spans="6:6" x14ac:dyDescent="0.25">
      <c r="F538" s="22"/>
    </row>
    <row r="539" spans="6:6" x14ac:dyDescent="0.25">
      <c r="F539" s="22"/>
    </row>
    <row r="540" spans="6:6" x14ac:dyDescent="0.25">
      <c r="F540" s="22"/>
    </row>
    <row r="541" spans="6:6" x14ac:dyDescent="0.25">
      <c r="F541" s="22"/>
    </row>
    <row r="542" spans="6:6" x14ac:dyDescent="0.25">
      <c r="F542" s="22"/>
    </row>
    <row r="543" spans="6:6" x14ac:dyDescent="0.25">
      <c r="F543" s="22"/>
    </row>
    <row r="544" spans="6:6" x14ac:dyDescent="0.25">
      <c r="F544" s="22"/>
    </row>
    <row r="545" spans="6:6" x14ac:dyDescent="0.25">
      <c r="F545" s="22"/>
    </row>
    <row r="546" spans="6:6" x14ac:dyDescent="0.25">
      <c r="F546" s="22"/>
    </row>
    <row r="547" spans="6:6" x14ac:dyDescent="0.25">
      <c r="F547" s="22"/>
    </row>
    <row r="548" spans="6:6" x14ac:dyDescent="0.25">
      <c r="F548" s="22"/>
    </row>
    <row r="549" spans="6:6" x14ac:dyDescent="0.25">
      <c r="F549" s="22"/>
    </row>
    <row r="550" spans="6:6" x14ac:dyDescent="0.25">
      <c r="F550" s="22"/>
    </row>
    <row r="551" spans="6:6" x14ac:dyDescent="0.25">
      <c r="F551" s="22"/>
    </row>
    <row r="552" spans="6:6" x14ac:dyDescent="0.25">
      <c r="F552" s="22"/>
    </row>
    <row r="553" spans="6:6" x14ac:dyDescent="0.25">
      <c r="F553" s="22"/>
    </row>
    <row r="554" spans="6:6" x14ac:dyDescent="0.25">
      <c r="F554" s="22"/>
    </row>
    <row r="555" spans="6:6" x14ac:dyDescent="0.25">
      <c r="F555" s="22"/>
    </row>
    <row r="556" spans="6:6" x14ac:dyDescent="0.25">
      <c r="F556" s="22"/>
    </row>
    <row r="557" spans="6:6" x14ac:dyDescent="0.25">
      <c r="F557" s="22"/>
    </row>
    <row r="558" spans="6:6" x14ac:dyDescent="0.25">
      <c r="F558" s="22"/>
    </row>
    <row r="559" spans="6:6" x14ac:dyDescent="0.25">
      <c r="F559" s="22"/>
    </row>
    <row r="560" spans="6:6" x14ac:dyDescent="0.25">
      <c r="F560" s="22"/>
    </row>
    <row r="561" spans="6:6" x14ac:dyDescent="0.25">
      <c r="F561" s="22"/>
    </row>
    <row r="562" spans="6:6" x14ac:dyDescent="0.25">
      <c r="F562" s="22"/>
    </row>
    <row r="563" spans="6:6" x14ac:dyDescent="0.25">
      <c r="F563" s="22"/>
    </row>
    <row r="564" spans="6:6" x14ac:dyDescent="0.25">
      <c r="F564" s="22"/>
    </row>
    <row r="565" spans="6:6" x14ac:dyDescent="0.25">
      <c r="F565" s="22"/>
    </row>
    <row r="566" spans="6:6" x14ac:dyDescent="0.25">
      <c r="F566" s="22"/>
    </row>
    <row r="567" spans="6:6" x14ac:dyDescent="0.25">
      <c r="F567" s="22"/>
    </row>
    <row r="568" spans="6:6" x14ac:dyDescent="0.25">
      <c r="F568" s="22"/>
    </row>
    <row r="569" spans="6:6" x14ac:dyDescent="0.25">
      <c r="F569" s="22"/>
    </row>
    <row r="570" spans="6:6" x14ac:dyDescent="0.25">
      <c r="F570" s="22"/>
    </row>
    <row r="571" spans="6:6" x14ac:dyDescent="0.25">
      <c r="F571" s="22"/>
    </row>
    <row r="572" spans="6:6" x14ac:dyDescent="0.25">
      <c r="F572" s="22"/>
    </row>
    <row r="573" spans="6:6" x14ac:dyDescent="0.25">
      <c r="F573" s="22"/>
    </row>
    <row r="574" spans="6:6" x14ac:dyDescent="0.25">
      <c r="F574" s="22"/>
    </row>
    <row r="575" spans="6:6" x14ac:dyDescent="0.25">
      <c r="F575" s="22"/>
    </row>
    <row r="576" spans="6:6" x14ac:dyDescent="0.25">
      <c r="F576" s="22"/>
    </row>
    <row r="577" spans="6:6" x14ac:dyDescent="0.25">
      <c r="F577" s="22"/>
    </row>
    <row r="578" spans="6:6" x14ac:dyDescent="0.25">
      <c r="F578" s="22"/>
    </row>
    <row r="579" spans="6:6" x14ac:dyDescent="0.25">
      <c r="F579" s="22"/>
    </row>
    <row r="580" spans="6:6" x14ac:dyDescent="0.25">
      <c r="F580" s="22"/>
    </row>
    <row r="581" spans="6:6" x14ac:dyDescent="0.25">
      <c r="F581" s="22"/>
    </row>
    <row r="582" spans="6:6" x14ac:dyDescent="0.25">
      <c r="F582" s="22"/>
    </row>
    <row r="583" spans="6:6" x14ac:dyDescent="0.25">
      <c r="F583" s="22"/>
    </row>
    <row r="584" spans="6:6" x14ac:dyDescent="0.25">
      <c r="F584" s="22"/>
    </row>
    <row r="585" spans="6:6" x14ac:dyDescent="0.25">
      <c r="F585" s="22"/>
    </row>
    <row r="586" spans="6:6" x14ac:dyDescent="0.25">
      <c r="F586" s="22"/>
    </row>
    <row r="587" spans="6:6" x14ac:dyDescent="0.25">
      <c r="F587" s="22"/>
    </row>
    <row r="588" spans="6:6" x14ac:dyDescent="0.25">
      <c r="F588" s="22"/>
    </row>
    <row r="589" spans="6:6" x14ac:dyDescent="0.25">
      <c r="F589" s="22"/>
    </row>
    <row r="590" spans="6:6" x14ac:dyDescent="0.25">
      <c r="F590" s="22"/>
    </row>
    <row r="591" spans="6:6" x14ac:dyDescent="0.25">
      <c r="F591" s="22"/>
    </row>
    <row r="592" spans="6:6" x14ac:dyDescent="0.25">
      <c r="F592" s="22"/>
    </row>
    <row r="593" spans="6:6" x14ac:dyDescent="0.25">
      <c r="F593" s="22"/>
    </row>
    <row r="594" spans="6:6" x14ac:dyDescent="0.25">
      <c r="F594" s="22"/>
    </row>
    <row r="595" spans="6:6" x14ac:dyDescent="0.25">
      <c r="F595" s="22"/>
    </row>
    <row r="596" spans="6:6" x14ac:dyDescent="0.25">
      <c r="F596" s="22"/>
    </row>
    <row r="597" spans="6:6" x14ac:dyDescent="0.25">
      <c r="F597" s="22"/>
    </row>
    <row r="598" spans="6:6" x14ac:dyDescent="0.25">
      <c r="F598" s="22"/>
    </row>
    <row r="599" spans="6:6" x14ac:dyDescent="0.25">
      <c r="F599" s="22"/>
    </row>
    <row r="600" spans="6:6" x14ac:dyDescent="0.25">
      <c r="F600" s="22"/>
    </row>
    <row r="601" spans="6:6" x14ac:dyDescent="0.25">
      <c r="F601" s="22"/>
    </row>
    <row r="602" spans="6:6" x14ac:dyDescent="0.25">
      <c r="F602" s="22"/>
    </row>
    <row r="603" spans="6:6" x14ac:dyDescent="0.25">
      <c r="F603" s="22"/>
    </row>
    <row r="604" spans="6:6" x14ac:dyDescent="0.25">
      <c r="F604" s="22"/>
    </row>
    <row r="605" spans="6:6" x14ac:dyDescent="0.25">
      <c r="F605" s="22"/>
    </row>
    <row r="606" spans="6:6" x14ac:dyDescent="0.25">
      <c r="F606" s="22"/>
    </row>
    <row r="607" spans="6:6" x14ac:dyDescent="0.25">
      <c r="F607" s="22"/>
    </row>
    <row r="608" spans="6:6" x14ac:dyDescent="0.25">
      <c r="F608" s="22"/>
    </row>
    <row r="609" spans="6:6" x14ac:dyDescent="0.25">
      <c r="F609" s="22"/>
    </row>
    <row r="610" spans="6:6" x14ac:dyDescent="0.25">
      <c r="F610" s="22"/>
    </row>
    <row r="611" spans="6:6" x14ac:dyDescent="0.25">
      <c r="F611" s="22"/>
    </row>
    <row r="612" spans="6:6" x14ac:dyDescent="0.25">
      <c r="F612" s="22"/>
    </row>
    <row r="613" spans="6:6" x14ac:dyDescent="0.25">
      <c r="F613" s="22"/>
    </row>
    <row r="614" spans="6:6" x14ac:dyDescent="0.25">
      <c r="F614" s="22"/>
    </row>
    <row r="615" spans="6:6" x14ac:dyDescent="0.25">
      <c r="F615" s="22"/>
    </row>
    <row r="616" spans="6:6" x14ac:dyDescent="0.25">
      <c r="F616" s="22"/>
    </row>
    <row r="617" spans="6:6" x14ac:dyDescent="0.25">
      <c r="F617" s="22"/>
    </row>
    <row r="618" spans="6:6" x14ac:dyDescent="0.25">
      <c r="F618" s="22"/>
    </row>
    <row r="619" spans="6:6" x14ac:dyDescent="0.25">
      <c r="F619" s="22"/>
    </row>
    <row r="620" spans="6:6" x14ac:dyDescent="0.25">
      <c r="F620" s="22"/>
    </row>
    <row r="621" spans="6:6" x14ac:dyDescent="0.25">
      <c r="F621" s="22"/>
    </row>
    <row r="622" spans="6:6" x14ac:dyDescent="0.25">
      <c r="F622" s="22"/>
    </row>
    <row r="623" spans="6:6" x14ac:dyDescent="0.25">
      <c r="F623" s="22"/>
    </row>
    <row r="624" spans="6:6" x14ac:dyDescent="0.25">
      <c r="F624" s="22"/>
    </row>
    <row r="625" spans="6:6" x14ac:dyDescent="0.25">
      <c r="F625" s="22"/>
    </row>
    <row r="626" spans="6:6" x14ac:dyDescent="0.25">
      <c r="F626" s="22"/>
    </row>
    <row r="627" spans="6:6" x14ac:dyDescent="0.25">
      <c r="F627" s="22"/>
    </row>
    <row r="628" spans="6:6" x14ac:dyDescent="0.25">
      <c r="F628" s="22"/>
    </row>
    <row r="629" spans="6:6" x14ac:dyDescent="0.25">
      <c r="F629" s="22"/>
    </row>
    <row r="630" spans="6:6" x14ac:dyDescent="0.25">
      <c r="F630" s="22"/>
    </row>
    <row r="631" spans="6:6" x14ac:dyDescent="0.25">
      <c r="F631" s="22"/>
    </row>
    <row r="632" spans="6:6" x14ac:dyDescent="0.25">
      <c r="F632" s="22"/>
    </row>
    <row r="633" spans="6:6" x14ac:dyDescent="0.25">
      <c r="F633" s="22"/>
    </row>
    <row r="634" spans="6:6" x14ac:dyDescent="0.25">
      <c r="F634" s="22"/>
    </row>
    <row r="635" spans="6:6" x14ac:dyDescent="0.25">
      <c r="F635" s="22"/>
    </row>
    <row r="636" spans="6:6" x14ac:dyDescent="0.25">
      <c r="F636" s="22"/>
    </row>
    <row r="637" spans="6:6" x14ac:dyDescent="0.25">
      <c r="F637" s="22"/>
    </row>
    <row r="638" spans="6:6" x14ac:dyDescent="0.25">
      <c r="F638" s="22"/>
    </row>
    <row r="639" spans="6:6" x14ac:dyDescent="0.25">
      <c r="F639" s="22"/>
    </row>
    <row r="640" spans="6:6" x14ac:dyDescent="0.25">
      <c r="F640" s="22"/>
    </row>
    <row r="641" spans="6:6" x14ac:dyDescent="0.25">
      <c r="F641" s="22"/>
    </row>
    <row r="642" spans="6:6" x14ac:dyDescent="0.25">
      <c r="F642" s="22"/>
    </row>
    <row r="643" spans="6:6" x14ac:dyDescent="0.25">
      <c r="F643" s="22"/>
    </row>
    <row r="644" spans="6:6" x14ac:dyDescent="0.25">
      <c r="F644" s="22"/>
    </row>
    <row r="645" spans="6:6" x14ac:dyDescent="0.25">
      <c r="F645" s="22"/>
    </row>
    <row r="646" spans="6:6" x14ac:dyDescent="0.25">
      <c r="F646" s="22"/>
    </row>
    <row r="647" spans="6:6" x14ac:dyDescent="0.25">
      <c r="F647" s="22"/>
    </row>
    <row r="648" spans="6:6" x14ac:dyDescent="0.25">
      <c r="F648" s="22"/>
    </row>
    <row r="649" spans="6:6" x14ac:dyDescent="0.25">
      <c r="F649" s="22"/>
    </row>
    <row r="650" spans="6:6" x14ac:dyDescent="0.25">
      <c r="F650" s="22"/>
    </row>
    <row r="651" spans="6:6" x14ac:dyDescent="0.25">
      <c r="F651" s="22"/>
    </row>
    <row r="652" spans="6:6" x14ac:dyDescent="0.25">
      <c r="F652" s="22"/>
    </row>
    <row r="653" spans="6:6" x14ac:dyDescent="0.25">
      <c r="F653" s="22"/>
    </row>
    <row r="654" spans="6:6" x14ac:dyDescent="0.25">
      <c r="F654" s="22"/>
    </row>
    <row r="655" spans="6:6" x14ac:dyDescent="0.25">
      <c r="F655" s="22"/>
    </row>
    <row r="656" spans="6:6" x14ac:dyDescent="0.25">
      <c r="F656" s="22"/>
    </row>
    <row r="657" spans="6:6" x14ac:dyDescent="0.25">
      <c r="F657" s="22"/>
    </row>
    <row r="658" spans="6:6" x14ac:dyDescent="0.25">
      <c r="F658" s="22"/>
    </row>
    <row r="659" spans="6:6" x14ac:dyDescent="0.25">
      <c r="F659" s="22"/>
    </row>
    <row r="660" spans="6:6" x14ac:dyDescent="0.25">
      <c r="F660" s="22"/>
    </row>
    <row r="661" spans="6:6" x14ac:dyDescent="0.25">
      <c r="F661" s="22"/>
    </row>
    <row r="662" spans="6:6" x14ac:dyDescent="0.25">
      <c r="F662" s="22"/>
    </row>
    <row r="663" spans="6:6" x14ac:dyDescent="0.25">
      <c r="F663" s="22"/>
    </row>
    <row r="664" spans="6:6" x14ac:dyDescent="0.25">
      <c r="F664" s="22"/>
    </row>
    <row r="665" spans="6:6" x14ac:dyDescent="0.25">
      <c r="F665" s="22"/>
    </row>
    <row r="666" spans="6:6" x14ac:dyDescent="0.25">
      <c r="F666" s="22"/>
    </row>
    <row r="667" spans="6:6" x14ac:dyDescent="0.25">
      <c r="F667" s="22"/>
    </row>
    <row r="668" spans="6:6" x14ac:dyDescent="0.25">
      <c r="F668" s="22"/>
    </row>
    <row r="669" spans="6:6" x14ac:dyDescent="0.25">
      <c r="F669" s="22"/>
    </row>
    <row r="670" spans="6:6" x14ac:dyDescent="0.25">
      <c r="F670" s="22"/>
    </row>
    <row r="671" spans="6:6" x14ac:dyDescent="0.25">
      <c r="F671" s="22"/>
    </row>
    <row r="672" spans="6:6" x14ac:dyDescent="0.25">
      <c r="F672" s="22"/>
    </row>
    <row r="673" spans="6:6" x14ac:dyDescent="0.25">
      <c r="F673" s="22"/>
    </row>
    <row r="674" spans="6:6" x14ac:dyDescent="0.25">
      <c r="F674" s="22"/>
    </row>
    <row r="675" spans="6:6" x14ac:dyDescent="0.25">
      <c r="F675" s="22"/>
    </row>
    <row r="676" spans="6:6" x14ac:dyDescent="0.25">
      <c r="F676" s="22"/>
    </row>
    <row r="677" spans="6:6" x14ac:dyDescent="0.25">
      <c r="F677" s="22"/>
    </row>
    <row r="678" spans="6:6" x14ac:dyDescent="0.25">
      <c r="F678" s="22"/>
    </row>
    <row r="679" spans="6:6" x14ac:dyDescent="0.25">
      <c r="F679" s="22"/>
    </row>
    <row r="680" spans="6:6" x14ac:dyDescent="0.25">
      <c r="F680" s="22"/>
    </row>
    <row r="681" spans="6:6" x14ac:dyDescent="0.25">
      <c r="F681" s="22"/>
    </row>
    <row r="682" spans="6:6" x14ac:dyDescent="0.25">
      <c r="F682" s="22"/>
    </row>
    <row r="683" spans="6:6" x14ac:dyDescent="0.25">
      <c r="F683" s="22"/>
    </row>
    <row r="684" spans="6:6" x14ac:dyDescent="0.25">
      <c r="F684" s="22"/>
    </row>
    <row r="685" spans="6:6" x14ac:dyDescent="0.25">
      <c r="F685" s="22"/>
    </row>
    <row r="686" spans="6:6" x14ac:dyDescent="0.25">
      <c r="F686" s="22"/>
    </row>
    <row r="687" spans="6:6" x14ac:dyDescent="0.25">
      <c r="F687" s="22"/>
    </row>
    <row r="688" spans="6:6" x14ac:dyDescent="0.25">
      <c r="F688" s="22"/>
    </row>
    <row r="689" spans="6:6" x14ac:dyDescent="0.25">
      <c r="F689" s="22"/>
    </row>
    <row r="690" spans="6:6" x14ac:dyDescent="0.25">
      <c r="F690" s="22"/>
    </row>
    <row r="691" spans="6:6" x14ac:dyDescent="0.25">
      <c r="F691" s="22"/>
    </row>
    <row r="692" spans="6:6" x14ac:dyDescent="0.25">
      <c r="F692" s="22"/>
    </row>
    <row r="693" spans="6:6" x14ac:dyDescent="0.25">
      <c r="F693" s="22"/>
    </row>
    <row r="694" spans="6:6" x14ac:dyDescent="0.25">
      <c r="F694" s="22"/>
    </row>
    <row r="695" spans="6:6" x14ac:dyDescent="0.25">
      <c r="F695" s="22"/>
    </row>
    <row r="696" spans="6:6" x14ac:dyDescent="0.25">
      <c r="F696" s="22"/>
    </row>
    <row r="697" spans="6:6" x14ac:dyDescent="0.25">
      <c r="F697" s="22"/>
    </row>
    <row r="698" spans="6:6" x14ac:dyDescent="0.25">
      <c r="F698" s="22"/>
    </row>
    <row r="699" spans="6:6" x14ac:dyDescent="0.25">
      <c r="F699" s="22"/>
    </row>
    <row r="700" spans="6:6" x14ac:dyDescent="0.25">
      <c r="F700" s="22"/>
    </row>
    <row r="701" spans="6:6" x14ac:dyDescent="0.25">
      <c r="F701" s="22"/>
    </row>
    <row r="702" spans="6:6" x14ac:dyDescent="0.25">
      <c r="F702" s="22"/>
    </row>
    <row r="703" spans="6:6" x14ac:dyDescent="0.25">
      <c r="F703" s="22"/>
    </row>
    <row r="704" spans="6:6" x14ac:dyDescent="0.25">
      <c r="F704" s="22"/>
    </row>
    <row r="705" spans="6:6" x14ac:dyDescent="0.25">
      <c r="F705" s="22"/>
    </row>
    <row r="706" spans="6:6" x14ac:dyDescent="0.25">
      <c r="F706" s="22"/>
    </row>
    <row r="707" spans="6:6" x14ac:dyDescent="0.25">
      <c r="F707" s="22"/>
    </row>
    <row r="708" spans="6:6" x14ac:dyDescent="0.25">
      <c r="F708" s="22"/>
    </row>
    <row r="709" spans="6:6" x14ac:dyDescent="0.25">
      <c r="F709" s="22"/>
    </row>
    <row r="710" spans="6:6" x14ac:dyDescent="0.25">
      <c r="F710" s="22"/>
    </row>
    <row r="711" spans="6:6" x14ac:dyDescent="0.25">
      <c r="F711" s="22"/>
    </row>
    <row r="712" spans="6:6" x14ac:dyDescent="0.25">
      <c r="F712" s="22"/>
    </row>
    <row r="713" spans="6:6" x14ac:dyDescent="0.25">
      <c r="F713" s="22"/>
    </row>
    <row r="714" spans="6:6" x14ac:dyDescent="0.25">
      <c r="F714" s="22"/>
    </row>
    <row r="715" spans="6:6" x14ac:dyDescent="0.25">
      <c r="F715" s="22"/>
    </row>
    <row r="716" spans="6:6" x14ac:dyDescent="0.25">
      <c r="F716" s="22"/>
    </row>
    <row r="717" spans="6:6" x14ac:dyDescent="0.25">
      <c r="F717" s="22"/>
    </row>
    <row r="718" spans="6:6" x14ac:dyDescent="0.25">
      <c r="F718" s="22"/>
    </row>
    <row r="719" spans="6:6" x14ac:dyDescent="0.25">
      <c r="F719" s="22"/>
    </row>
    <row r="720" spans="6:6" x14ac:dyDescent="0.25">
      <c r="F720" s="22"/>
    </row>
    <row r="721" spans="6:6" x14ac:dyDescent="0.25">
      <c r="F721" s="22"/>
    </row>
    <row r="722" spans="6:6" x14ac:dyDescent="0.25">
      <c r="F722" s="22"/>
    </row>
    <row r="723" spans="6:6" x14ac:dyDescent="0.25">
      <c r="F723" s="22"/>
    </row>
    <row r="724" spans="6:6" x14ac:dyDescent="0.25">
      <c r="F724" s="22"/>
    </row>
    <row r="725" spans="6:6" x14ac:dyDescent="0.25">
      <c r="F725" s="22"/>
    </row>
    <row r="726" spans="6:6" x14ac:dyDescent="0.25">
      <c r="F726" s="22"/>
    </row>
    <row r="727" spans="6:6" x14ac:dyDescent="0.25">
      <c r="F727" s="22"/>
    </row>
    <row r="728" spans="6:6" x14ac:dyDescent="0.25">
      <c r="F728" s="22"/>
    </row>
    <row r="729" spans="6:6" x14ac:dyDescent="0.25">
      <c r="F729" s="22"/>
    </row>
    <row r="730" spans="6:6" x14ac:dyDescent="0.25">
      <c r="F730" s="22"/>
    </row>
    <row r="731" spans="6:6" x14ac:dyDescent="0.25">
      <c r="F731" s="22"/>
    </row>
    <row r="732" spans="6:6" x14ac:dyDescent="0.25">
      <c r="F732" s="22"/>
    </row>
    <row r="733" spans="6:6" x14ac:dyDescent="0.25">
      <c r="F733" s="22"/>
    </row>
    <row r="734" spans="6:6" x14ac:dyDescent="0.25">
      <c r="F734" s="22"/>
    </row>
    <row r="735" spans="6:6" x14ac:dyDescent="0.25">
      <c r="F735" s="22"/>
    </row>
    <row r="736" spans="6:6" x14ac:dyDescent="0.25">
      <c r="F736" s="22"/>
    </row>
    <row r="737" spans="6:6" x14ac:dyDescent="0.25">
      <c r="F737" s="22"/>
    </row>
    <row r="738" spans="6:6" x14ac:dyDescent="0.25">
      <c r="F738" s="22"/>
    </row>
    <row r="739" spans="6:6" x14ac:dyDescent="0.25">
      <c r="F739" s="22"/>
    </row>
    <row r="740" spans="6:6" x14ac:dyDescent="0.25">
      <c r="F740" s="22"/>
    </row>
    <row r="741" spans="6:6" x14ac:dyDescent="0.25">
      <c r="F741" s="22"/>
    </row>
    <row r="742" spans="6:6" x14ac:dyDescent="0.25">
      <c r="F742" s="22"/>
    </row>
    <row r="743" spans="6:6" x14ac:dyDescent="0.25">
      <c r="F743" s="22"/>
    </row>
    <row r="744" spans="6:6" x14ac:dyDescent="0.25">
      <c r="F744" s="22"/>
    </row>
    <row r="745" spans="6:6" x14ac:dyDescent="0.25">
      <c r="F745" s="22"/>
    </row>
    <row r="746" spans="6:6" x14ac:dyDescent="0.25">
      <c r="F746" s="22"/>
    </row>
    <row r="747" spans="6:6" x14ac:dyDescent="0.25">
      <c r="F747" s="22"/>
    </row>
    <row r="748" spans="6:6" x14ac:dyDescent="0.25">
      <c r="F748" s="22"/>
    </row>
    <row r="749" spans="6:6" x14ac:dyDescent="0.25">
      <c r="F749" s="22"/>
    </row>
    <row r="750" spans="6:6" x14ac:dyDescent="0.25">
      <c r="F750" s="22"/>
    </row>
    <row r="751" spans="6:6" x14ac:dyDescent="0.25">
      <c r="F751" s="22"/>
    </row>
    <row r="752" spans="6:6" x14ac:dyDescent="0.25">
      <c r="F752" s="22"/>
    </row>
    <row r="753" spans="6:6" x14ac:dyDescent="0.25">
      <c r="F753" s="22"/>
    </row>
    <row r="754" spans="6:6" x14ac:dyDescent="0.25">
      <c r="F754" s="22"/>
    </row>
    <row r="755" spans="6:6" x14ac:dyDescent="0.25">
      <c r="F755" s="22"/>
    </row>
    <row r="756" spans="6:6" x14ac:dyDescent="0.25">
      <c r="F756" s="22"/>
    </row>
    <row r="757" spans="6:6" x14ac:dyDescent="0.25">
      <c r="F757" s="22"/>
    </row>
    <row r="758" spans="6:6" x14ac:dyDescent="0.25">
      <c r="F758" s="22"/>
    </row>
    <row r="759" spans="6:6" x14ac:dyDescent="0.25">
      <c r="F759" s="22"/>
    </row>
    <row r="760" spans="6:6" x14ac:dyDescent="0.25">
      <c r="F760" s="22"/>
    </row>
    <row r="761" spans="6:6" x14ac:dyDescent="0.25">
      <c r="F761" s="22"/>
    </row>
    <row r="762" spans="6:6" x14ac:dyDescent="0.25">
      <c r="F762" s="22"/>
    </row>
    <row r="763" spans="6:6" x14ac:dyDescent="0.25">
      <c r="F763" s="22"/>
    </row>
    <row r="764" spans="6:6" x14ac:dyDescent="0.25">
      <c r="F764" s="22"/>
    </row>
    <row r="765" spans="6:6" x14ac:dyDescent="0.25">
      <c r="F765" s="22"/>
    </row>
    <row r="766" spans="6:6" x14ac:dyDescent="0.25">
      <c r="F766" s="22"/>
    </row>
    <row r="767" spans="6:6" x14ac:dyDescent="0.25">
      <c r="F767" s="22"/>
    </row>
    <row r="768" spans="6:6" x14ac:dyDescent="0.25">
      <c r="F768" s="22"/>
    </row>
    <row r="769" spans="6:6" x14ac:dyDescent="0.25">
      <c r="F769" s="22"/>
    </row>
    <row r="770" spans="6:6" x14ac:dyDescent="0.25">
      <c r="F770" s="22"/>
    </row>
    <row r="771" spans="6:6" x14ac:dyDescent="0.25">
      <c r="F771" s="22"/>
    </row>
    <row r="772" spans="6:6" x14ac:dyDescent="0.25">
      <c r="F772" s="22"/>
    </row>
    <row r="773" spans="6:6" x14ac:dyDescent="0.25">
      <c r="F773" s="22"/>
    </row>
    <row r="774" spans="6:6" x14ac:dyDescent="0.25">
      <c r="F774" s="22"/>
    </row>
    <row r="775" spans="6:6" x14ac:dyDescent="0.25">
      <c r="F775" s="22"/>
    </row>
    <row r="776" spans="6:6" x14ac:dyDescent="0.25">
      <c r="F776" s="22"/>
    </row>
    <row r="777" spans="6:6" x14ac:dyDescent="0.25">
      <c r="F777" s="22"/>
    </row>
    <row r="778" spans="6:6" x14ac:dyDescent="0.25">
      <c r="F778" s="22"/>
    </row>
    <row r="779" spans="6:6" x14ac:dyDescent="0.25">
      <c r="F779" s="22"/>
    </row>
    <row r="780" spans="6:6" x14ac:dyDescent="0.25">
      <c r="F780" s="22"/>
    </row>
    <row r="781" spans="6:6" x14ac:dyDescent="0.25">
      <c r="F781" s="22"/>
    </row>
    <row r="782" spans="6:6" x14ac:dyDescent="0.25">
      <c r="F782" s="22"/>
    </row>
    <row r="783" spans="6:6" x14ac:dyDescent="0.25">
      <c r="F783" s="22"/>
    </row>
    <row r="784" spans="6:6" x14ac:dyDescent="0.25">
      <c r="F784" s="22"/>
    </row>
    <row r="785" spans="6:6" x14ac:dyDescent="0.25">
      <c r="F785" s="22"/>
    </row>
    <row r="786" spans="6:6" x14ac:dyDescent="0.25">
      <c r="F786" s="22"/>
    </row>
    <row r="787" spans="6:6" x14ac:dyDescent="0.25">
      <c r="F787" s="22"/>
    </row>
    <row r="788" spans="6:6" x14ac:dyDescent="0.25">
      <c r="F788" s="22"/>
    </row>
    <row r="789" spans="6:6" x14ac:dyDescent="0.25">
      <c r="F789" s="22"/>
    </row>
    <row r="790" spans="6:6" x14ac:dyDescent="0.25">
      <c r="F790" s="22"/>
    </row>
    <row r="791" spans="6:6" x14ac:dyDescent="0.25">
      <c r="F791" s="22"/>
    </row>
    <row r="792" spans="6:6" x14ac:dyDescent="0.25">
      <c r="F792" s="22"/>
    </row>
    <row r="793" spans="6:6" x14ac:dyDescent="0.25">
      <c r="F793" s="22"/>
    </row>
    <row r="794" spans="6:6" x14ac:dyDescent="0.25">
      <c r="F794" s="22"/>
    </row>
    <row r="795" spans="6:6" x14ac:dyDescent="0.25">
      <c r="F795" s="22"/>
    </row>
    <row r="796" spans="6:6" x14ac:dyDescent="0.25">
      <c r="F796" s="22"/>
    </row>
    <row r="797" spans="6:6" x14ac:dyDescent="0.25">
      <c r="F797" s="22"/>
    </row>
    <row r="798" spans="6:6" x14ac:dyDescent="0.25">
      <c r="F798" s="22"/>
    </row>
    <row r="799" spans="6:6" x14ac:dyDescent="0.25">
      <c r="F799" s="22"/>
    </row>
    <row r="800" spans="6:6" x14ac:dyDescent="0.25">
      <c r="F800" s="22"/>
    </row>
    <row r="801" spans="6:6" x14ac:dyDescent="0.25">
      <c r="F801" s="22"/>
    </row>
    <row r="802" spans="6:6" x14ac:dyDescent="0.25">
      <c r="F802" s="22"/>
    </row>
    <row r="803" spans="6:6" x14ac:dyDescent="0.25">
      <c r="F803" s="22"/>
    </row>
    <row r="804" spans="6:6" x14ac:dyDescent="0.25">
      <c r="F804" s="22"/>
    </row>
    <row r="805" spans="6:6" x14ac:dyDescent="0.25">
      <c r="F805" s="22"/>
    </row>
    <row r="806" spans="6:6" x14ac:dyDescent="0.25">
      <c r="F806" s="22"/>
    </row>
    <row r="807" spans="6:6" x14ac:dyDescent="0.25">
      <c r="F807" s="22"/>
    </row>
    <row r="808" spans="6:6" x14ac:dyDescent="0.25">
      <c r="F808" s="22"/>
    </row>
    <row r="809" spans="6:6" x14ac:dyDescent="0.25">
      <c r="F809" s="22"/>
    </row>
    <row r="810" spans="6:6" x14ac:dyDescent="0.25">
      <c r="F810" s="22"/>
    </row>
    <row r="811" spans="6:6" x14ac:dyDescent="0.25">
      <c r="F811" s="22"/>
    </row>
    <row r="812" spans="6:6" x14ac:dyDescent="0.25">
      <c r="F812" s="22"/>
    </row>
    <row r="813" spans="6:6" x14ac:dyDescent="0.25">
      <c r="F813" s="22"/>
    </row>
    <row r="814" spans="6:6" x14ac:dyDescent="0.25">
      <c r="F814" s="22"/>
    </row>
    <row r="815" spans="6:6" x14ac:dyDescent="0.25">
      <c r="F815" s="22"/>
    </row>
    <row r="816" spans="6:6" x14ac:dyDescent="0.25">
      <c r="F816" s="22"/>
    </row>
    <row r="817" spans="6:6" x14ac:dyDescent="0.25">
      <c r="F817" s="22"/>
    </row>
    <row r="818" spans="6:6" x14ac:dyDescent="0.25">
      <c r="F818" s="22"/>
    </row>
    <row r="819" spans="6:6" x14ac:dyDescent="0.25">
      <c r="F819" s="22"/>
    </row>
    <row r="820" spans="6:6" x14ac:dyDescent="0.25">
      <c r="F820" s="22"/>
    </row>
    <row r="821" spans="6:6" x14ac:dyDescent="0.25">
      <c r="F821" s="22"/>
    </row>
    <row r="822" spans="6:6" x14ac:dyDescent="0.25">
      <c r="F822" s="22"/>
    </row>
    <row r="823" spans="6:6" x14ac:dyDescent="0.25">
      <c r="F823" s="22"/>
    </row>
    <row r="824" spans="6:6" x14ac:dyDescent="0.25">
      <c r="F824" s="22"/>
    </row>
    <row r="825" spans="6:6" x14ac:dyDescent="0.25">
      <c r="F825" s="22"/>
    </row>
    <row r="826" spans="6:6" x14ac:dyDescent="0.25">
      <c r="F826" s="22"/>
    </row>
    <row r="827" spans="6:6" x14ac:dyDescent="0.25">
      <c r="F827" s="22"/>
    </row>
    <row r="828" spans="6:6" x14ac:dyDescent="0.25">
      <c r="F828" s="22"/>
    </row>
    <row r="829" spans="6:6" x14ac:dyDescent="0.25">
      <c r="F829" s="22"/>
    </row>
    <row r="830" spans="6:6" x14ac:dyDescent="0.25">
      <c r="F830" s="22"/>
    </row>
    <row r="831" spans="6:6" x14ac:dyDescent="0.25">
      <c r="F831" s="22"/>
    </row>
    <row r="832" spans="6:6" x14ac:dyDescent="0.25">
      <c r="F832" s="22"/>
    </row>
    <row r="833" spans="6:6" x14ac:dyDescent="0.25">
      <c r="F833" s="22"/>
    </row>
    <row r="834" spans="6:6" x14ac:dyDescent="0.25">
      <c r="F834" s="22"/>
    </row>
    <row r="835" spans="6:6" x14ac:dyDescent="0.25">
      <c r="F835" s="22"/>
    </row>
    <row r="836" spans="6:6" x14ac:dyDescent="0.25">
      <c r="F836" s="22"/>
    </row>
    <row r="837" spans="6:6" x14ac:dyDescent="0.25">
      <c r="F837" s="22"/>
    </row>
    <row r="838" spans="6:6" x14ac:dyDescent="0.25">
      <c r="F838" s="22"/>
    </row>
    <row r="839" spans="6:6" x14ac:dyDescent="0.25">
      <c r="F839" s="22"/>
    </row>
    <row r="840" spans="6:6" x14ac:dyDescent="0.25">
      <c r="F840" s="22"/>
    </row>
    <row r="841" spans="6:6" x14ac:dyDescent="0.25">
      <c r="F841" s="22"/>
    </row>
    <row r="842" spans="6:6" x14ac:dyDescent="0.25">
      <c r="F842" s="22"/>
    </row>
    <row r="843" spans="6:6" x14ac:dyDescent="0.25">
      <c r="F843" s="22"/>
    </row>
    <row r="844" spans="6:6" x14ac:dyDescent="0.25">
      <c r="F844" s="22"/>
    </row>
    <row r="845" spans="6:6" x14ac:dyDescent="0.25">
      <c r="F845" s="22"/>
    </row>
    <row r="846" spans="6:6" x14ac:dyDescent="0.25">
      <c r="F846" s="22"/>
    </row>
    <row r="847" spans="6:6" x14ac:dyDescent="0.25">
      <c r="F847" s="22"/>
    </row>
    <row r="848" spans="6:6" x14ac:dyDescent="0.25">
      <c r="F848" s="22"/>
    </row>
    <row r="849" spans="6:6" x14ac:dyDescent="0.25">
      <c r="F849" s="22"/>
    </row>
    <row r="850" spans="6:6" x14ac:dyDescent="0.25">
      <c r="F850" s="22"/>
    </row>
    <row r="851" spans="6:6" x14ac:dyDescent="0.25">
      <c r="F851" s="22"/>
    </row>
    <row r="852" spans="6:6" x14ac:dyDescent="0.25">
      <c r="F852" s="22"/>
    </row>
    <row r="853" spans="6:6" x14ac:dyDescent="0.25">
      <c r="F853" s="22"/>
    </row>
    <row r="854" spans="6:6" x14ac:dyDescent="0.25">
      <c r="F854" s="22"/>
    </row>
    <row r="855" spans="6:6" x14ac:dyDescent="0.25">
      <c r="F855" s="22"/>
    </row>
    <row r="856" spans="6:6" x14ac:dyDescent="0.25">
      <c r="F856" s="22"/>
    </row>
    <row r="857" spans="6:6" x14ac:dyDescent="0.25">
      <c r="F857" s="22"/>
    </row>
    <row r="858" spans="6:6" x14ac:dyDescent="0.25">
      <c r="F858" s="22"/>
    </row>
    <row r="859" spans="6:6" x14ac:dyDescent="0.25">
      <c r="F859" s="22"/>
    </row>
    <row r="860" spans="6:6" x14ac:dyDescent="0.25">
      <c r="F860" s="22"/>
    </row>
    <row r="861" spans="6:6" x14ac:dyDescent="0.25">
      <c r="F861" s="22"/>
    </row>
    <row r="862" spans="6:6" x14ac:dyDescent="0.25">
      <c r="F862" s="22"/>
    </row>
    <row r="863" spans="6:6" x14ac:dyDescent="0.25">
      <c r="F863" s="22"/>
    </row>
    <row r="864" spans="6:6" x14ac:dyDescent="0.25">
      <c r="F864" s="22"/>
    </row>
    <row r="865" spans="6:6" x14ac:dyDescent="0.25">
      <c r="F865" s="22"/>
    </row>
    <row r="866" spans="6:6" x14ac:dyDescent="0.25">
      <c r="F866" s="22"/>
    </row>
    <row r="867" spans="6:6" x14ac:dyDescent="0.25">
      <c r="F867" s="22"/>
    </row>
    <row r="868" spans="6:6" x14ac:dyDescent="0.25">
      <c r="F868" s="22"/>
    </row>
    <row r="869" spans="6:6" x14ac:dyDescent="0.25">
      <c r="F869" s="22"/>
    </row>
    <row r="870" spans="6:6" x14ac:dyDescent="0.25">
      <c r="F870" s="22"/>
    </row>
    <row r="871" spans="6:6" x14ac:dyDescent="0.25">
      <c r="F871" s="22"/>
    </row>
    <row r="872" spans="6:6" x14ac:dyDescent="0.25">
      <c r="F872" s="22"/>
    </row>
    <row r="873" spans="6:6" x14ac:dyDescent="0.25">
      <c r="F873" s="22"/>
    </row>
    <row r="874" spans="6:6" x14ac:dyDescent="0.25">
      <c r="F874" s="22"/>
    </row>
    <row r="875" spans="6:6" x14ac:dyDescent="0.25">
      <c r="F875" s="22"/>
    </row>
    <row r="876" spans="6:6" x14ac:dyDescent="0.25">
      <c r="F876" s="22"/>
    </row>
    <row r="877" spans="6:6" x14ac:dyDescent="0.25">
      <c r="F877" s="22"/>
    </row>
    <row r="878" spans="6:6" x14ac:dyDescent="0.25">
      <c r="F878" s="22"/>
    </row>
    <row r="879" spans="6:6" x14ac:dyDescent="0.25">
      <c r="F879" s="22"/>
    </row>
    <row r="880" spans="6:6" x14ac:dyDescent="0.25">
      <c r="F880" s="22"/>
    </row>
    <row r="881" spans="6:6" x14ac:dyDescent="0.25">
      <c r="F881" s="22"/>
    </row>
    <row r="882" spans="6:6" x14ac:dyDescent="0.25">
      <c r="F882" s="22"/>
    </row>
    <row r="883" spans="6:6" x14ac:dyDescent="0.25">
      <c r="F883" s="22"/>
    </row>
    <row r="884" spans="6:6" x14ac:dyDescent="0.25">
      <c r="F884" s="22"/>
    </row>
    <row r="885" spans="6:6" x14ac:dyDescent="0.25">
      <c r="F885" s="22"/>
    </row>
    <row r="886" spans="6:6" x14ac:dyDescent="0.25">
      <c r="F886" s="22"/>
    </row>
    <row r="887" spans="6:6" x14ac:dyDescent="0.25">
      <c r="F887" s="22"/>
    </row>
    <row r="888" spans="6:6" x14ac:dyDescent="0.25">
      <c r="F888" s="22"/>
    </row>
    <row r="889" spans="6:6" x14ac:dyDescent="0.25">
      <c r="F889" s="22"/>
    </row>
    <row r="890" spans="6:6" x14ac:dyDescent="0.25">
      <c r="F890" s="22"/>
    </row>
    <row r="891" spans="6:6" x14ac:dyDescent="0.25">
      <c r="F891" s="22"/>
    </row>
    <row r="892" spans="6:6" x14ac:dyDescent="0.25">
      <c r="F892" s="22"/>
    </row>
    <row r="893" spans="6:6" x14ac:dyDescent="0.25">
      <c r="F893" s="22"/>
    </row>
    <row r="894" spans="6:6" x14ac:dyDescent="0.25">
      <c r="F894" s="22"/>
    </row>
    <row r="895" spans="6:6" x14ac:dyDescent="0.25">
      <c r="F895" s="22"/>
    </row>
    <row r="896" spans="6:6" x14ac:dyDescent="0.25">
      <c r="F896" s="22"/>
    </row>
    <row r="897" spans="6:6" x14ac:dyDescent="0.25">
      <c r="F897" s="22"/>
    </row>
    <row r="898" spans="6:6" x14ac:dyDescent="0.25">
      <c r="F898" s="22"/>
    </row>
    <row r="899" spans="6:6" x14ac:dyDescent="0.25">
      <c r="F899" s="22"/>
    </row>
    <row r="900" spans="6:6" x14ac:dyDescent="0.25">
      <c r="F900" s="22"/>
    </row>
    <row r="901" spans="6:6" x14ac:dyDescent="0.25">
      <c r="F901" s="22"/>
    </row>
    <row r="902" spans="6:6" x14ac:dyDescent="0.25">
      <c r="F902" s="22"/>
    </row>
    <row r="903" spans="6:6" x14ac:dyDescent="0.25">
      <c r="F903" s="22"/>
    </row>
    <row r="904" spans="6:6" x14ac:dyDescent="0.25">
      <c r="F904" s="22"/>
    </row>
    <row r="905" spans="6:6" x14ac:dyDescent="0.25">
      <c r="F905" s="22"/>
    </row>
    <row r="906" spans="6:6" x14ac:dyDescent="0.25">
      <c r="F906" s="22"/>
    </row>
    <row r="907" spans="6:6" x14ac:dyDescent="0.25">
      <c r="F907" s="22"/>
    </row>
    <row r="908" spans="6:6" x14ac:dyDescent="0.25">
      <c r="F908" s="22"/>
    </row>
    <row r="909" spans="6:6" x14ac:dyDescent="0.25">
      <c r="F909" s="22"/>
    </row>
    <row r="910" spans="6:6" x14ac:dyDescent="0.25">
      <c r="F910" s="22"/>
    </row>
    <row r="911" spans="6:6" x14ac:dyDescent="0.25">
      <c r="F911" s="22"/>
    </row>
    <row r="912" spans="6:6" x14ac:dyDescent="0.25">
      <c r="F912" s="22"/>
    </row>
    <row r="913" spans="6:6" x14ac:dyDescent="0.25">
      <c r="F913" s="22"/>
    </row>
    <row r="914" spans="6:6" x14ac:dyDescent="0.25">
      <c r="F914" s="22"/>
    </row>
    <row r="915" spans="6:6" x14ac:dyDescent="0.25">
      <c r="F915" s="22"/>
    </row>
    <row r="916" spans="6:6" x14ac:dyDescent="0.25">
      <c r="F916" s="22"/>
    </row>
    <row r="917" spans="6:6" x14ac:dyDescent="0.25">
      <c r="F917" s="22"/>
    </row>
    <row r="918" spans="6:6" x14ac:dyDescent="0.25">
      <c r="F918" s="22"/>
    </row>
    <row r="919" spans="6:6" x14ac:dyDescent="0.25">
      <c r="F919" s="22"/>
    </row>
    <row r="920" spans="6:6" x14ac:dyDescent="0.25">
      <c r="F920" s="22"/>
    </row>
    <row r="921" spans="6:6" x14ac:dyDescent="0.25">
      <c r="F921" s="22"/>
    </row>
    <row r="922" spans="6:6" x14ac:dyDescent="0.25">
      <c r="F922" s="22"/>
    </row>
    <row r="923" spans="6:6" x14ac:dyDescent="0.25">
      <c r="F923" s="22"/>
    </row>
    <row r="924" spans="6:6" x14ac:dyDescent="0.25">
      <c r="F924" s="22"/>
    </row>
    <row r="925" spans="6:6" x14ac:dyDescent="0.25">
      <c r="F925" s="22"/>
    </row>
    <row r="926" spans="6:6" x14ac:dyDescent="0.25">
      <c r="F926" s="22"/>
    </row>
    <row r="927" spans="6:6" x14ac:dyDescent="0.25">
      <c r="F927" s="22"/>
    </row>
    <row r="928" spans="6:6" x14ac:dyDescent="0.25">
      <c r="F928" s="22"/>
    </row>
    <row r="929" spans="6:6" x14ac:dyDescent="0.25">
      <c r="F929" s="22"/>
    </row>
    <row r="930" spans="6:6" x14ac:dyDescent="0.25">
      <c r="F930" s="22"/>
    </row>
    <row r="931" spans="6:6" x14ac:dyDescent="0.25">
      <c r="F931" s="22"/>
    </row>
    <row r="932" spans="6:6" x14ac:dyDescent="0.25">
      <c r="F932" s="22"/>
    </row>
    <row r="933" spans="6:6" x14ac:dyDescent="0.25">
      <c r="F933" s="22"/>
    </row>
    <row r="934" spans="6:6" x14ac:dyDescent="0.25">
      <c r="F934" s="22"/>
    </row>
    <row r="935" spans="6:6" x14ac:dyDescent="0.25">
      <c r="F935" s="22"/>
    </row>
    <row r="936" spans="6:6" x14ac:dyDescent="0.25">
      <c r="F936" s="22"/>
    </row>
    <row r="937" spans="6:6" x14ac:dyDescent="0.25">
      <c r="F937" s="22"/>
    </row>
    <row r="938" spans="6:6" x14ac:dyDescent="0.25">
      <c r="F938" s="22"/>
    </row>
    <row r="939" spans="6:6" x14ac:dyDescent="0.25">
      <c r="F939" s="22"/>
    </row>
    <row r="940" spans="6:6" x14ac:dyDescent="0.25">
      <c r="F940" s="22"/>
    </row>
    <row r="941" spans="6:6" x14ac:dyDescent="0.25">
      <c r="F941" s="22"/>
    </row>
    <row r="942" spans="6:6" x14ac:dyDescent="0.25">
      <c r="F942" s="22"/>
    </row>
    <row r="943" spans="6:6" x14ac:dyDescent="0.25">
      <c r="F943" s="22"/>
    </row>
    <row r="944" spans="6:6" x14ac:dyDescent="0.25">
      <c r="F944" s="22"/>
    </row>
    <row r="945" spans="6:6" x14ac:dyDescent="0.25">
      <c r="F945" s="22"/>
    </row>
    <row r="946" spans="6:6" x14ac:dyDescent="0.25">
      <c r="F946" s="22"/>
    </row>
    <row r="947" spans="6:6" x14ac:dyDescent="0.25">
      <c r="F947" s="22"/>
    </row>
    <row r="948" spans="6:6" x14ac:dyDescent="0.25">
      <c r="F948" s="22"/>
    </row>
    <row r="949" spans="6:6" x14ac:dyDescent="0.25">
      <c r="F949" s="22"/>
    </row>
    <row r="950" spans="6:6" x14ac:dyDescent="0.25">
      <c r="F950" s="22"/>
    </row>
    <row r="951" spans="6:6" x14ac:dyDescent="0.25">
      <c r="F951" s="22"/>
    </row>
    <row r="952" spans="6:6" x14ac:dyDescent="0.25">
      <c r="F952" s="22"/>
    </row>
    <row r="953" spans="6:6" x14ac:dyDescent="0.25">
      <c r="F953" s="22"/>
    </row>
    <row r="954" spans="6:6" x14ac:dyDescent="0.25">
      <c r="F954" s="22"/>
    </row>
    <row r="955" spans="6:6" x14ac:dyDescent="0.25">
      <c r="F955" s="22"/>
    </row>
    <row r="956" spans="6:6" x14ac:dyDescent="0.25">
      <c r="F956" s="22"/>
    </row>
    <row r="957" spans="6:6" x14ac:dyDescent="0.25">
      <c r="F957" s="22"/>
    </row>
    <row r="958" spans="6:6" x14ac:dyDescent="0.25">
      <c r="F958" s="22"/>
    </row>
    <row r="959" spans="6:6" x14ac:dyDescent="0.25">
      <c r="F959" s="22"/>
    </row>
    <row r="960" spans="6:6" x14ac:dyDescent="0.25">
      <c r="F960" s="22"/>
    </row>
    <row r="961" spans="6:6" x14ac:dyDescent="0.25">
      <c r="F961" s="22"/>
    </row>
    <row r="962" spans="6:6" x14ac:dyDescent="0.25">
      <c r="F962" s="22"/>
    </row>
    <row r="963" spans="6:6" x14ac:dyDescent="0.25">
      <c r="F963" s="22"/>
    </row>
    <row r="964" spans="6:6" x14ac:dyDescent="0.25">
      <c r="F964" s="22"/>
    </row>
    <row r="965" spans="6:6" x14ac:dyDescent="0.25">
      <c r="F965" s="22"/>
    </row>
    <row r="966" spans="6:6" x14ac:dyDescent="0.25">
      <c r="F966" s="22"/>
    </row>
    <row r="967" spans="6:6" x14ac:dyDescent="0.25">
      <c r="F967" s="22"/>
    </row>
    <row r="968" spans="6:6" x14ac:dyDescent="0.25">
      <c r="F968" s="22"/>
    </row>
    <row r="969" spans="6:6" x14ac:dyDescent="0.25">
      <c r="F969" s="22"/>
    </row>
    <row r="970" spans="6:6" x14ac:dyDescent="0.25">
      <c r="F970" s="22"/>
    </row>
    <row r="971" spans="6:6" x14ac:dyDescent="0.25">
      <c r="F971" s="22"/>
    </row>
    <row r="972" spans="6:6" x14ac:dyDescent="0.25">
      <c r="F972" s="22"/>
    </row>
    <row r="973" spans="6:6" x14ac:dyDescent="0.25">
      <c r="F973" s="22"/>
    </row>
    <row r="974" spans="6:6" x14ac:dyDescent="0.25">
      <c r="F974" s="22"/>
    </row>
    <row r="975" spans="6:6" x14ac:dyDescent="0.25">
      <c r="F975" s="22"/>
    </row>
    <row r="976" spans="6:6" x14ac:dyDescent="0.25">
      <c r="F976" s="22"/>
    </row>
    <row r="977" spans="6:6" x14ac:dyDescent="0.25">
      <c r="F977" s="22"/>
    </row>
    <row r="978" spans="6:6" x14ac:dyDescent="0.25">
      <c r="F978" s="22"/>
    </row>
    <row r="979" spans="6:6" x14ac:dyDescent="0.25">
      <c r="F979" s="22"/>
    </row>
    <row r="980" spans="6:6" x14ac:dyDescent="0.25">
      <c r="F980" s="22"/>
    </row>
    <row r="981" spans="6:6" x14ac:dyDescent="0.25">
      <c r="F981" s="22"/>
    </row>
    <row r="982" spans="6:6" x14ac:dyDescent="0.25">
      <c r="F982" s="22"/>
    </row>
    <row r="983" spans="6:6" x14ac:dyDescent="0.25">
      <c r="F983" s="22"/>
    </row>
    <row r="984" spans="6:6" x14ac:dyDescent="0.25">
      <c r="F984" s="22"/>
    </row>
    <row r="985" spans="6:6" x14ac:dyDescent="0.25">
      <c r="F985" s="22"/>
    </row>
    <row r="986" spans="6:6" x14ac:dyDescent="0.25">
      <c r="F986" s="22"/>
    </row>
    <row r="987" spans="6:6" x14ac:dyDescent="0.25">
      <c r="F987" s="22"/>
    </row>
    <row r="988" spans="6:6" x14ac:dyDescent="0.25">
      <c r="F988" s="22"/>
    </row>
    <row r="989" spans="6:6" x14ac:dyDescent="0.25">
      <c r="F989" s="22"/>
    </row>
    <row r="990" spans="6:6" x14ac:dyDescent="0.25">
      <c r="F990" s="22"/>
    </row>
    <row r="991" spans="6:6" x14ac:dyDescent="0.25">
      <c r="F991" s="22"/>
    </row>
    <row r="992" spans="6:6" x14ac:dyDescent="0.25">
      <c r="F992" s="22"/>
    </row>
    <row r="993" spans="6:6" x14ac:dyDescent="0.25">
      <c r="F993" s="22"/>
    </row>
    <row r="994" spans="6:6" x14ac:dyDescent="0.25">
      <c r="F994" s="22"/>
    </row>
    <row r="995" spans="6:6" x14ac:dyDescent="0.25">
      <c r="F995" s="22"/>
    </row>
    <row r="996" spans="6:6" x14ac:dyDescent="0.25">
      <c r="F996" s="22"/>
    </row>
    <row r="997" spans="6:6" x14ac:dyDescent="0.25">
      <c r="F997" s="22"/>
    </row>
    <row r="998" spans="6:6" x14ac:dyDescent="0.25">
      <c r="F998" s="22"/>
    </row>
    <row r="999" spans="6:6" x14ac:dyDescent="0.25">
      <c r="F999" s="22"/>
    </row>
    <row r="1000" spans="6:6" x14ac:dyDescent="0.25">
      <c r="F1000" s="22"/>
    </row>
    <row r="1001" spans="6:6" x14ac:dyDescent="0.25">
      <c r="F1001" s="22"/>
    </row>
    <row r="1002" spans="6:6" x14ac:dyDescent="0.25">
      <c r="F1002" s="22"/>
    </row>
    <row r="1003" spans="6:6" x14ac:dyDescent="0.25">
      <c r="F1003" s="22"/>
    </row>
    <row r="1004" spans="6:6" x14ac:dyDescent="0.25">
      <c r="F1004" s="22"/>
    </row>
    <row r="1005" spans="6:6" x14ac:dyDescent="0.25">
      <c r="F1005" s="22"/>
    </row>
    <row r="1006" spans="6:6" x14ac:dyDescent="0.25">
      <c r="F1006" s="22"/>
    </row>
    <row r="1007" spans="6:6" x14ac:dyDescent="0.25">
      <c r="F1007" s="22"/>
    </row>
    <row r="1008" spans="6:6" x14ac:dyDescent="0.25">
      <c r="F1008" s="22"/>
    </row>
    <row r="1009" spans="6:6" x14ac:dyDescent="0.25">
      <c r="F1009" s="22"/>
    </row>
    <row r="1010" spans="6:6" x14ac:dyDescent="0.25">
      <c r="F1010" s="22"/>
    </row>
    <row r="1011" spans="6:6" x14ac:dyDescent="0.25">
      <c r="F1011" s="22"/>
    </row>
    <row r="1012" spans="6:6" x14ac:dyDescent="0.25">
      <c r="F1012" s="22"/>
    </row>
    <row r="1013" spans="6:6" x14ac:dyDescent="0.25">
      <c r="F1013" s="22"/>
    </row>
    <row r="1014" spans="6:6" x14ac:dyDescent="0.25">
      <c r="F1014" s="22"/>
    </row>
    <row r="1015" spans="6:6" x14ac:dyDescent="0.25">
      <c r="F1015" s="22"/>
    </row>
    <row r="1016" spans="6:6" x14ac:dyDescent="0.25">
      <c r="F1016" s="22"/>
    </row>
    <row r="1017" spans="6:6" x14ac:dyDescent="0.25">
      <c r="F1017" s="22"/>
    </row>
    <row r="1018" spans="6:6" x14ac:dyDescent="0.25">
      <c r="F1018" s="22"/>
    </row>
    <row r="1019" spans="6:6" x14ac:dyDescent="0.25">
      <c r="F1019" s="22"/>
    </row>
    <row r="1020" spans="6:6" x14ac:dyDescent="0.25">
      <c r="F1020" s="22"/>
    </row>
    <row r="1021" spans="6:6" x14ac:dyDescent="0.25">
      <c r="F1021" s="22"/>
    </row>
    <row r="1022" spans="6:6" x14ac:dyDescent="0.25">
      <c r="F1022" s="22"/>
    </row>
    <row r="1023" spans="6:6" x14ac:dyDescent="0.25">
      <c r="F1023" s="22"/>
    </row>
    <row r="1024" spans="6:6" x14ac:dyDescent="0.25">
      <c r="F1024" s="22"/>
    </row>
    <row r="1025" spans="6:6" x14ac:dyDescent="0.25">
      <c r="F1025" s="22"/>
    </row>
    <row r="1026" spans="6:6" x14ac:dyDescent="0.25">
      <c r="F1026" s="22"/>
    </row>
    <row r="1027" spans="6:6" x14ac:dyDescent="0.25">
      <c r="F1027" s="22"/>
    </row>
    <row r="1028" spans="6:6" x14ac:dyDescent="0.25">
      <c r="F1028" s="22"/>
    </row>
    <row r="1029" spans="6:6" x14ac:dyDescent="0.25">
      <c r="F1029" s="22"/>
    </row>
    <row r="1030" spans="6:6" x14ac:dyDescent="0.25">
      <c r="F1030" s="22"/>
    </row>
    <row r="1031" spans="6:6" x14ac:dyDescent="0.25">
      <c r="F1031" s="22"/>
    </row>
    <row r="1032" spans="6:6" x14ac:dyDescent="0.25">
      <c r="F1032" s="22"/>
    </row>
    <row r="1033" spans="6:6" x14ac:dyDescent="0.25">
      <c r="F1033" s="22"/>
    </row>
    <row r="1034" spans="6:6" x14ac:dyDescent="0.25">
      <c r="F1034" s="22"/>
    </row>
    <row r="1035" spans="6:6" x14ac:dyDescent="0.25">
      <c r="F1035" s="22"/>
    </row>
    <row r="1036" spans="6:6" x14ac:dyDescent="0.25">
      <c r="F1036" s="22"/>
    </row>
    <row r="1037" spans="6:6" x14ac:dyDescent="0.25">
      <c r="F1037" s="22"/>
    </row>
    <row r="1038" spans="6:6" x14ac:dyDescent="0.25">
      <c r="F1038" s="22"/>
    </row>
    <row r="1039" spans="6:6" x14ac:dyDescent="0.25">
      <c r="F1039" s="22"/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7" priority="10" operator="equal">
      <formula>"Not Ok"</formula>
    </cfRule>
  </conditionalFormatting>
  <conditionalFormatting sqref="H1:H6 H8:H1048576">
    <cfRule type="cellIs" dxfId="6" priority="8" operator="equal">
      <formula>"Fara E"</formula>
    </cfRule>
  </conditionalFormatting>
  <conditionalFormatting sqref="J3:J5">
    <cfRule type="cellIs" dxfId="5" priority="5" operator="equal">
      <formula>"Not Ok"</formula>
    </cfRule>
    <cfRule type="cellIs" dxfId="4" priority="6" operator="equal">
      <formula>"Es2 Necesar"</formula>
    </cfRule>
    <cfRule type="cellIs" dxfId="3" priority="7" operator="equal">
      <formula>"Ok"</formula>
    </cfRule>
  </conditionalFormatting>
  <conditionalFormatting sqref="G4:I4">
    <cfRule type="cellIs" dxfId="2" priority="3" operator="notEqual">
      <formula>""</formula>
    </cfRule>
  </conditionalFormatting>
  <conditionalFormatting sqref="A2:B2">
    <cfRule type="cellIs" dxfId="1" priority="1" operator="equal">
      <formula>"Lot Acceptat"</formula>
    </cfRule>
    <cfRule type="cellIs" dxfId="0" priority="2" operator="equal">
      <formula>"Lot Respins"</formula>
    </cfRule>
  </conditionalFormatting>
  <pageMargins left="0.7" right="0.7" top="0.75" bottom="0.75" header="0.3" footer="0.3"/>
  <pageSetup orientation="landscape" horizontalDpi="300" verticalDpi="300" r:id="rId1"/>
  <rowBreaks count="1" manualBreakCount="1">
    <brk id="1" max="16383" man="1"/>
  </row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3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85725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30"/>
  <sheetViews>
    <sheetView workbookViewId="0">
      <selection activeCell="F14" sqref="F14"/>
    </sheetView>
  </sheetViews>
  <sheetFormatPr defaultRowHeight="15" x14ac:dyDescent="0.25"/>
  <cols>
    <col min="1" max="1" width="2" customWidth="1"/>
    <col min="2" max="2" width="22.85546875" customWidth="1"/>
    <col min="3" max="3" width="8.140625" customWidth="1"/>
    <col min="4" max="4" width="17.5703125" customWidth="1"/>
    <col min="5" max="5" width="23.7109375" customWidth="1"/>
    <col min="6" max="6" width="10.85546875" customWidth="1"/>
    <col min="7" max="7" width="6.7109375" style="4" customWidth="1"/>
    <col min="8" max="8" width="6.7109375" customWidth="1"/>
    <col min="9" max="9" width="9.7109375" customWidth="1"/>
    <col min="10" max="10" width="5.140625" customWidth="1"/>
    <col min="11" max="11" width="10.140625" customWidth="1"/>
    <col min="12" max="14" width="9.140625" customWidth="1"/>
  </cols>
  <sheetData>
    <row r="1" spans="1:17" x14ac:dyDescent="0.25">
      <c r="A1" t="s">
        <v>48</v>
      </c>
      <c r="B1" t="s">
        <v>49</v>
      </c>
      <c r="C1" t="s">
        <v>50</v>
      </c>
      <c r="D1" t="s">
        <v>89</v>
      </c>
      <c r="E1" t="s">
        <v>86</v>
      </c>
      <c r="F1" t="s">
        <v>51</v>
      </c>
      <c r="G1" t="s">
        <v>87</v>
      </c>
      <c r="H1" t="s">
        <v>88</v>
      </c>
      <c r="I1" s="33">
        <v>43184</v>
      </c>
      <c r="N1" s="46"/>
      <c r="O1" s="46"/>
      <c r="P1" s="46"/>
      <c r="Q1" s="46"/>
    </row>
    <row r="2" spans="1:17" x14ac:dyDescent="0.25">
      <c r="A2">
        <v>1</v>
      </c>
      <c r="B2">
        <v>20440</v>
      </c>
      <c r="C2" s="1">
        <v>0.82896990740740739</v>
      </c>
      <c r="G2"/>
    </row>
    <row r="3" spans="1:17" x14ac:dyDescent="0.25">
      <c r="A3">
        <v>2</v>
      </c>
      <c r="B3">
        <v>20440</v>
      </c>
      <c r="C3" s="1">
        <v>0.82920138888888895</v>
      </c>
      <c r="G3"/>
    </row>
    <row r="4" spans="1:17" x14ac:dyDescent="0.25">
      <c r="A4">
        <v>3</v>
      </c>
      <c r="B4">
        <v>20460</v>
      </c>
      <c r="C4" s="1">
        <v>0.82939814814814816</v>
      </c>
      <c r="G4"/>
    </row>
    <row r="5" spans="1:17" x14ac:dyDescent="0.25">
      <c r="A5">
        <v>4</v>
      </c>
      <c r="B5">
        <v>20400</v>
      </c>
      <c r="C5" s="1">
        <v>0.82967592592592598</v>
      </c>
      <c r="G5"/>
    </row>
    <row r="6" spans="1:17" x14ac:dyDescent="0.25">
      <c r="A6">
        <v>5</v>
      </c>
      <c r="B6">
        <v>20440</v>
      </c>
      <c r="C6" s="1">
        <v>0.82996527777777773</v>
      </c>
      <c r="G6"/>
    </row>
    <row r="7" spans="1:17" x14ac:dyDescent="0.25">
      <c r="A7">
        <v>6</v>
      </c>
      <c r="B7">
        <v>20420</v>
      </c>
      <c r="C7" s="1">
        <v>0.83018518518518514</v>
      </c>
      <c r="G7"/>
    </row>
    <row r="8" spans="1:17" x14ac:dyDescent="0.25">
      <c r="G8"/>
    </row>
    <row r="9" spans="1:17" x14ac:dyDescent="0.25">
      <c r="G9"/>
    </row>
    <row r="10" spans="1:17" x14ac:dyDescent="0.25">
      <c r="G10"/>
    </row>
    <row r="11" spans="1:17" x14ac:dyDescent="0.25">
      <c r="G11"/>
    </row>
    <row r="12" spans="1:17" x14ac:dyDescent="0.25">
      <c r="G12"/>
    </row>
    <row r="13" spans="1:17" x14ac:dyDescent="0.25">
      <c r="G13"/>
    </row>
    <row r="14" spans="1:17" x14ac:dyDescent="0.25">
      <c r="G14"/>
    </row>
    <row r="15" spans="1:17" x14ac:dyDescent="0.25">
      <c r="G15"/>
    </row>
    <row r="16" spans="1:17" x14ac:dyDescent="0.25">
      <c r="G16"/>
    </row>
    <row r="17" spans="7:7" x14ac:dyDescent="0.25">
      <c r="G17"/>
    </row>
    <row r="18" spans="7:7" x14ac:dyDescent="0.25">
      <c r="G18"/>
    </row>
    <row r="19" spans="7:7" x14ac:dyDescent="0.25">
      <c r="G19"/>
    </row>
    <row r="20" spans="7:7" x14ac:dyDescent="0.25">
      <c r="G20"/>
    </row>
    <row r="21" spans="7:7" x14ac:dyDescent="0.25">
      <c r="G21"/>
    </row>
    <row r="22" spans="7:7" x14ac:dyDescent="0.25">
      <c r="G22"/>
    </row>
    <row r="23" spans="7:7" x14ac:dyDescent="0.25">
      <c r="G23"/>
    </row>
    <row r="24" spans="7:7" x14ac:dyDescent="0.25">
      <c r="G24"/>
    </row>
    <row r="25" spans="7:7" x14ac:dyDescent="0.25">
      <c r="G25"/>
    </row>
    <row r="26" spans="7:7" x14ac:dyDescent="0.25">
      <c r="G26"/>
    </row>
    <row r="27" spans="7:7" x14ac:dyDescent="0.25">
      <c r="G27"/>
    </row>
    <row r="28" spans="7:7" x14ac:dyDescent="0.25">
      <c r="G28"/>
    </row>
    <row r="29" spans="7:7" x14ac:dyDescent="0.25">
      <c r="G29"/>
    </row>
    <row r="30" spans="7:7" x14ac:dyDescent="0.25">
      <c r="G30"/>
    </row>
    <row r="31" spans="7:7" x14ac:dyDescent="0.25">
      <c r="G31"/>
    </row>
    <row r="32" spans="7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7" workbookViewId="0">
      <selection activeCell="K34" sqref="K34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7" t="s">
        <v>37</v>
      </c>
      <c r="H2" s="27"/>
      <c r="I2" s="27"/>
      <c r="J2" s="27"/>
      <c r="K2" s="27"/>
    </row>
    <row r="3" spans="1:11" x14ac:dyDescent="0.25">
      <c r="A3" s="9" t="s">
        <v>68</v>
      </c>
      <c r="B3" s="10" t="s">
        <v>12</v>
      </c>
      <c r="G3" s="72" t="s">
        <v>38</v>
      </c>
      <c r="H3" s="72"/>
      <c r="I3" s="72"/>
      <c r="J3" s="28" t="s">
        <v>39</v>
      </c>
      <c r="K3" s="29"/>
    </row>
    <row r="4" spans="1:11" x14ac:dyDescent="0.25">
      <c r="A4" s="9" t="s">
        <v>9</v>
      </c>
      <c r="B4" s="10" t="s">
        <v>13</v>
      </c>
      <c r="G4" s="72"/>
      <c r="H4" s="72"/>
      <c r="I4" s="72"/>
      <c r="J4" s="30" t="s">
        <v>40</v>
      </c>
      <c r="K4" s="30" t="s">
        <v>41</v>
      </c>
    </row>
    <row r="5" spans="1:11" x14ac:dyDescent="0.25">
      <c r="A5" s="9" t="s">
        <v>50</v>
      </c>
      <c r="B5" s="10" t="s">
        <v>14</v>
      </c>
      <c r="G5" s="31">
        <v>5</v>
      </c>
      <c r="H5" s="30" t="s">
        <v>42</v>
      </c>
      <c r="I5" s="28">
        <v>50</v>
      </c>
      <c r="J5" s="30">
        <v>9</v>
      </c>
      <c r="K5" s="30" t="s">
        <v>43</v>
      </c>
    </row>
    <row r="6" spans="1:11" x14ac:dyDescent="0.25">
      <c r="A6" s="9" t="s">
        <v>49</v>
      </c>
      <c r="B6" s="10" t="s">
        <v>15</v>
      </c>
      <c r="G6" s="31">
        <v>50</v>
      </c>
      <c r="H6" s="30" t="s">
        <v>42</v>
      </c>
      <c r="I6" s="28">
        <v>100</v>
      </c>
      <c r="J6" s="30" t="s">
        <v>43</v>
      </c>
      <c r="K6" s="30">
        <v>4.5</v>
      </c>
    </row>
    <row r="7" spans="1:11" ht="30" x14ac:dyDescent="0.25">
      <c r="A7" s="11" t="s">
        <v>52</v>
      </c>
      <c r="B7" s="10" t="s">
        <v>16</v>
      </c>
      <c r="G7" s="31">
        <v>100</v>
      </c>
      <c r="H7" s="30" t="s">
        <v>42</v>
      </c>
      <c r="I7" s="28">
        <v>200</v>
      </c>
      <c r="J7" s="30">
        <v>4.5</v>
      </c>
      <c r="K7" s="30" t="s">
        <v>43</v>
      </c>
    </row>
    <row r="8" spans="1:11" ht="45" x14ac:dyDescent="0.25">
      <c r="A8" s="56" t="s">
        <v>69</v>
      </c>
      <c r="B8" s="10" t="s">
        <v>17</v>
      </c>
      <c r="G8" s="31">
        <v>200</v>
      </c>
      <c r="H8" s="30" t="s">
        <v>42</v>
      </c>
      <c r="I8" s="28">
        <v>300</v>
      </c>
      <c r="J8" s="29" t="s">
        <v>43</v>
      </c>
      <c r="K8" s="30">
        <v>9</v>
      </c>
    </row>
    <row r="9" spans="1:11" ht="45" x14ac:dyDescent="0.25">
      <c r="A9" s="56" t="s">
        <v>56</v>
      </c>
      <c r="B9" s="10" t="s">
        <v>18</v>
      </c>
      <c r="G9" s="31">
        <v>300</v>
      </c>
      <c r="H9" s="30" t="s">
        <v>42</v>
      </c>
      <c r="I9" s="28">
        <v>500</v>
      </c>
      <c r="J9" s="30">
        <v>3</v>
      </c>
      <c r="K9" s="29" t="s">
        <v>43</v>
      </c>
    </row>
    <row r="10" spans="1:11" ht="30" x14ac:dyDescent="0.25">
      <c r="A10" s="56" t="s">
        <v>53</v>
      </c>
      <c r="B10" s="10" t="s">
        <v>19</v>
      </c>
      <c r="G10" s="31">
        <v>500</v>
      </c>
      <c r="H10" s="30" t="s">
        <v>42</v>
      </c>
      <c r="I10" s="28">
        <v>1000</v>
      </c>
      <c r="J10" s="30"/>
      <c r="K10" s="30">
        <v>15</v>
      </c>
    </row>
    <row r="11" spans="1:11" ht="45" x14ac:dyDescent="0.25">
      <c r="A11" s="57" t="s">
        <v>70</v>
      </c>
      <c r="B11" s="10" t="s">
        <v>20</v>
      </c>
      <c r="G11" s="31">
        <v>1000</v>
      </c>
      <c r="H11" s="30" t="s">
        <v>42</v>
      </c>
      <c r="I11" s="28">
        <v>10000</v>
      </c>
      <c r="J11" s="30">
        <v>1.5</v>
      </c>
      <c r="K11" s="29" t="s">
        <v>43</v>
      </c>
    </row>
    <row r="12" spans="1:11" ht="45" x14ac:dyDescent="0.25">
      <c r="A12" s="58" t="s">
        <v>57</v>
      </c>
      <c r="B12" s="10" t="s">
        <v>21</v>
      </c>
    </row>
    <row r="13" spans="1:11" ht="30" x14ac:dyDescent="0.25">
      <c r="A13" s="58" t="s">
        <v>54</v>
      </c>
      <c r="B13" s="10" t="s">
        <v>22</v>
      </c>
    </row>
    <row r="14" spans="1:11" ht="38.25" x14ac:dyDescent="0.25">
      <c r="A14" s="59" t="s">
        <v>71</v>
      </c>
      <c r="B14" s="12" t="s">
        <v>23</v>
      </c>
    </row>
    <row r="15" spans="1:11" ht="45" x14ac:dyDescent="0.25">
      <c r="A15" s="60" t="s">
        <v>58</v>
      </c>
      <c r="B15" s="10" t="s">
        <v>24</v>
      </c>
    </row>
    <row r="16" spans="1:11" x14ac:dyDescent="0.25">
      <c r="A16" s="60" t="s">
        <v>25</v>
      </c>
      <c r="B16" s="10" t="s">
        <v>26</v>
      </c>
    </row>
    <row r="17" spans="1:2" x14ac:dyDescent="0.25">
      <c r="A17" s="60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77</v>
      </c>
      <c r="B19" s="15" t="s">
        <v>29</v>
      </c>
    </row>
    <row r="20" spans="1:2" x14ac:dyDescent="0.25">
      <c r="A20" s="16" t="s">
        <v>68</v>
      </c>
      <c r="B20" s="17" t="s">
        <v>84</v>
      </c>
    </row>
    <row r="21" spans="1:2" ht="31.5" x14ac:dyDescent="0.25">
      <c r="A21" s="18" t="s">
        <v>78</v>
      </c>
      <c r="B21" s="19" t="s">
        <v>80</v>
      </c>
    </row>
    <row r="22" spans="1:2" ht="31.5" x14ac:dyDescent="0.25">
      <c r="A22" s="18" t="s">
        <v>79</v>
      </c>
      <c r="B22" s="19" t="s">
        <v>81</v>
      </c>
    </row>
    <row r="23" spans="1:2" x14ac:dyDescent="0.25">
      <c r="A23" s="20" t="s">
        <v>82</v>
      </c>
      <c r="B23" s="19" t="s">
        <v>83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85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Metrologie</vt:lpstr>
      <vt:lpstr>RawData</vt:lpstr>
      <vt:lpstr>Explicatii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Qn</vt:lpstr>
      <vt:lpstr>QnES3</vt:lpstr>
      <vt:lpstr>RN_1</vt:lpstr>
      <vt:lpstr>RN_2</vt:lpstr>
      <vt:lpstr>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dcterms:created xsi:type="dcterms:W3CDTF">2018-01-03T09:07:19Z</dcterms:created>
  <dcterms:modified xsi:type="dcterms:W3CDTF">2018-03-25T19:28:29Z</dcterms:modified>
</cp:coreProperties>
</file>