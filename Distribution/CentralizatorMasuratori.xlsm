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RawData!$A$1:$I$31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2" i="2" l="1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B9" i="2" l="1"/>
  <c r="J42" i="2" l="1"/>
  <c r="J40" i="2"/>
  <c r="J38" i="2"/>
  <c r="J36" i="2"/>
  <c r="J34" i="2"/>
  <c r="J32" i="2"/>
  <c r="J30" i="2"/>
  <c r="J28" i="2"/>
  <c r="J26" i="2"/>
  <c r="J24" i="2"/>
  <c r="J22" i="2"/>
  <c r="J20" i="2"/>
  <c r="J18" i="2"/>
  <c r="J16" i="2"/>
  <c r="J14" i="2"/>
  <c r="J15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J41" i="2"/>
  <c r="J39" i="2"/>
  <c r="J37" i="2"/>
  <c r="J35" i="2"/>
  <c r="J33" i="2"/>
  <c r="J31" i="2"/>
  <c r="J29" i="2"/>
  <c r="J27" i="2"/>
  <c r="J25" i="2"/>
  <c r="J23" i="2"/>
  <c r="J21" i="2"/>
  <c r="J19" i="2"/>
  <c r="J17" i="2"/>
  <c r="J13" i="2"/>
  <c r="F3" i="2"/>
  <c r="I3" i="2"/>
  <c r="G3" i="2"/>
  <c r="B19" i="2" l="1"/>
  <c r="Q13" i="2" s="1"/>
  <c r="R13" i="2" s="1"/>
  <c r="B20" i="2" s="1"/>
  <c r="Q15" i="2"/>
  <c r="R15" i="2" s="1"/>
  <c r="Q19" i="2"/>
  <c r="R19" i="2" s="1"/>
  <c r="Q23" i="2"/>
  <c r="R23" i="2" s="1"/>
  <c r="Q27" i="2"/>
  <c r="R27" i="2" s="1"/>
  <c r="Q31" i="2"/>
  <c r="R31" i="2" s="1"/>
  <c r="Q35" i="2"/>
  <c r="R35" i="2" s="1"/>
  <c r="Q37" i="2"/>
  <c r="R37" i="2" s="1"/>
  <c r="Q39" i="2"/>
  <c r="R39" i="2" s="1"/>
  <c r="Q41" i="2"/>
  <c r="R41" i="2" s="1"/>
  <c r="Q14" i="2"/>
  <c r="R14" i="2" s="1"/>
  <c r="Q16" i="2"/>
  <c r="R16" i="2" s="1"/>
  <c r="Q18" i="2"/>
  <c r="R18" i="2" s="1"/>
  <c r="Q20" i="2"/>
  <c r="R20" i="2" s="1"/>
  <c r="Q22" i="2"/>
  <c r="R22" i="2" s="1"/>
  <c r="Q24" i="2"/>
  <c r="R24" i="2" s="1"/>
  <c r="Q26" i="2"/>
  <c r="R26" i="2" s="1"/>
  <c r="Q28" i="2"/>
  <c r="R28" i="2" s="1"/>
  <c r="Q30" i="2"/>
  <c r="R30" i="2" s="1"/>
  <c r="Q32" i="2"/>
  <c r="R32" i="2" s="1"/>
  <c r="Q34" i="2"/>
  <c r="R34" i="2" s="1"/>
  <c r="Q36" i="2"/>
  <c r="R36" i="2" s="1"/>
  <c r="Q38" i="2"/>
  <c r="R38" i="2" s="1"/>
  <c r="Q40" i="2"/>
  <c r="R40" i="2" s="1"/>
  <c r="Q42" i="2"/>
  <c r="R42" i="2" s="1"/>
  <c r="B5" i="2"/>
  <c r="Q33" i="2" l="1"/>
  <c r="R33" i="2" s="1"/>
  <c r="Q29" i="2"/>
  <c r="R29" i="2" s="1"/>
  <c r="Q25" i="2"/>
  <c r="R25" i="2" s="1"/>
  <c r="Q21" i="2"/>
  <c r="R21" i="2" s="1"/>
  <c r="Q17" i="2"/>
  <c r="R17" i="2" s="1"/>
  <c r="B7" i="2"/>
  <c r="B8" i="2"/>
  <c r="B4" i="2"/>
  <c r="B3" i="2"/>
  <c r="H41" i="2" l="1"/>
  <c r="H39" i="2"/>
  <c r="H37" i="2"/>
  <c r="H35" i="2"/>
  <c r="H33" i="2"/>
  <c r="H31" i="2"/>
  <c r="H29" i="2"/>
  <c r="H27" i="2"/>
  <c r="H25" i="2"/>
  <c r="H23" i="2"/>
  <c r="H21" i="2"/>
  <c r="H19" i="2"/>
  <c r="H17" i="2"/>
  <c r="H15" i="2"/>
  <c r="H13" i="2"/>
  <c r="H42" i="2"/>
  <c r="H38" i="2"/>
  <c r="H34" i="2"/>
  <c r="H30" i="2"/>
  <c r="H26" i="2"/>
  <c r="H22" i="2"/>
  <c r="H18" i="2"/>
  <c r="H14" i="2"/>
  <c r="H40" i="2"/>
  <c r="H36" i="2"/>
  <c r="H32" i="2"/>
  <c r="H28" i="2"/>
  <c r="H24" i="2"/>
  <c r="H20" i="2"/>
  <c r="H16" i="2"/>
  <c r="B11" i="2"/>
  <c r="B21" i="2"/>
  <c r="B22" i="2" s="1"/>
  <c r="J5" i="2" s="1"/>
  <c r="K19" i="2" l="1"/>
  <c r="K27" i="2"/>
  <c r="K35" i="2"/>
  <c r="K15" i="2"/>
  <c r="K20" i="2"/>
  <c r="K28" i="2"/>
  <c r="K36" i="2"/>
  <c r="K13" i="2"/>
  <c r="K21" i="2"/>
  <c r="K29" i="2"/>
  <c r="K37" i="2"/>
  <c r="K18" i="2"/>
  <c r="K34" i="2"/>
  <c r="K23" i="2"/>
  <c r="K31" i="2"/>
  <c r="K39" i="2"/>
  <c r="K16" i="2"/>
  <c r="K24" i="2"/>
  <c r="K32" i="2"/>
  <c r="K40" i="2"/>
  <c r="K17" i="2"/>
  <c r="K25" i="2"/>
  <c r="K33" i="2"/>
  <c r="K41" i="2"/>
  <c r="K14" i="2"/>
  <c r="K22" i="2"/>
  <c r="K30" i="2"/>
  <c r="K38" i="2"/>
  <c r="K26" i="2"/>
  <c r="K42" i="2"/>
  <c r="B15" i="2"/>
  <c r="H3" i="2" l="1"/>
  <c r="J3" i="2" s="1"/>
  <c r="G4" i="2" s="1"/>
  <c r="I4" i="2" l="1"/>
  <c r="H4" i="2"/>
  <c r="J4" i="2" s="1"/>
  <c r="B14" i="2" s="1"/>
  <c r="B13" i="2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interval="1" name="2018-05-09-091957_123_CremaTartinabila-6Kg_VERIFICARE_30_SAMPLES" type="6" refreshedVersion="4" background="1" refreshOnLoad="1" saveData="1">
    <textPr prompt="0" codePage="437" sourceFile="C:\Home\Krs\Work\Cantar\ScalesAutomation\Distribution\CSVOutput\2018-05-09-091957_123_CremaTartinabila-6Kg_VERIFICARE_30_SAMPLES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<sst xmlns="http://schemas.openxmlformats.org/spreadsheetml/2006/main" count="120" uniqueCount="93">
  <si>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</si>
  <si>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</si>
  <si>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</si>
  <si>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</si>
  <si>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</si>
  <si>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</si>
  <si>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</si>
  <si>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</si>
  <si>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</si>
  <si>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</si>
  <si>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</si>
  <si>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</si>
  <si>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</si>
  <si>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</si>
  <si>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</si>
  <si>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</si>
  <si>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</si>
  <si>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</si>
  <si>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</si>
  <si>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</si>
  <si>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</si>
  <si>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</si>
  <si>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</si>
  <si>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</si>
  <si>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</si>
  <si>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</si>
  <si>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</si>
  <si>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</si>
  <si>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</si>
  <si>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</si>
  <si>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</si>
  <si>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</si>
  <si>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</si>
  <si>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</si>
  <si>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</si>
  <si>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</si>
  <si>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</si>
  <si>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</si>
  <si>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</si>
  <si>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</si>
  <si>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</si>
  <si>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</si>
  <si>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</si>
  <si>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</si>
  <si>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</si>
  <si>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</si>
  <si>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</si>
  <si>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</si>
  <si>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</si>
  <si>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</si>
  <si>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</si>
  <si>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</si>
  <si>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</si>
  <si>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</si>
  <si>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</si>
  <si>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</si>
  <si>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</si>
  <si>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</si>
  <si>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</si>
  <si>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</si>
  <si>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</si>
  <si>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</si>
  <si>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</si>
  <si>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</si>
  <si>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</si>
  <si>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</si>
  <si>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</si>
  <si>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</si>
  <si>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</si>
  <si>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</si>
  <si>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</si>
  <si>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</si>
  <si>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</si>
  <si>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</si>
  <si>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</si>
  <si>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</si>
  <si>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</si>
  <si>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</si>
  <si>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</si>
  <si>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</si>
  <si>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</si>
  <si>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</si>
  <si>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</si>
  <si>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</si>
  <si>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</si>
  <si>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</si>
  <si>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</si>
  <si>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</si>
  <si>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</si>
  <si>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Crema Tartinabila- VERIFICARE</t>
  </si>
  <si>
    <t>Galeata Plastic- 6 Kg</t>
  </si>
  <si>
    <t>6Kg</t>
  </si>
  <si>
    <t>0.190Kg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</si>
</sst>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"/>
    <numFmt numFmtId="167" formatCode="0.000000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4" fontId="0" fillId="0" borderId="0" xfId="0" applyNumberFormat="1"/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center" vertical="center" wrapText="1"/>
    </xf>
    <xf numFmtId="0" fontId="10" fillId="0" borderId="2" xfId="0" applyNumberFormat="1" applyFont="1" applyBorder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98"/>
  <sheetViews>
    <sheetView tabSelected="1" zoomScaleNormal="100" zoomScaleSheetLayoutView="130" workbookViewId="0">
      <selection activeCell="C1" sqref="C1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51" customWidth="1"/>
    <col min="7" max="7" width="10.140625" style="7" customWidth="1"/>
    <col min="8" max="8" width="14.7109375" style="3" customWidth="1"/>
    <col min="9" max="9" width="11" style="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4" customWidth="1"/>
    <col min="16" max="16" width="14.85546875" style="61" bestFit="1" customWidth="1"/>
    <col min="17" max="17" width="16" style="67" bestFit="1" customWidth="1"/>
    <col min="18" max="18" width="12" style="60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3" t="str">
        <f>IF(AND(OR(ES1_Status = "Ok",ES1_Status = "ES2 Necesar"), ES2_Status &lt;&gt; "Not Ok", ES3_Status = "Ok"), "Lot Acceptat","Lot Respins")</f>
        <v>Lot Acceptat</v>
      </c>
      <c r="B2" s="74"/>
      <c r="C2" s="5"/>
      <c r="D2" s="5"/>
      <c r="E2" s="3"/>
      <c r="F2" s="56" t="s">
        <v>62</v>
      </c>
      <c r="G2" s="32" t="s">
        <v>44</v>
      </c>
      <c r="H2" s="32" t="s">
        <v>46</v>
      </c>
      <c r="I2" s="52" t="s">
        <v>45</v>
      </c>
      <c r="J2" s="65" t="s">
        <v>47</v>
      </c>
    </row>
    <row r="3" spans="1:18" x14ac:dyDescent="0.25">
      <c r="A3" s="2" t="s">
        <v>2</v>
      </c>
      <c r="B3" s="7" t="str">
        <f>RawData!E1</f>
        <v>Crema Tartinabila- VERIFICARE</v>
      </c>
      <c r="C3" s="3"/>
      <c r="D3" s="3"/>
      <c r="E3" s="3" t="s">
        <v>63</v>
      </c>
      <c r="F3" s="54">
        <f>IF(ML&lt;=100,ML,IF(ML&gt;3201,80, IF(ML&gt;=501,50, IF(ML&gt;100,30,ML))))</f>
        <v>30</v>
      </c>
      <c r="G3" s="34">
        <f>IF(ML=30,1, IF(ML=50,2, IF(ML=80,3,1)))</f>
        <v>1</v>
      </c>
      <c r="H3" s="37">
        <f>COUNTIF(K:K, "Not Ok")</f>
        <v>0</v>
      </c>
      <c r="I3" s="54">
        <f>IF(ML=30,3, IF(ML=50,5, IF(ML=80,7,3)))</f>
        <v>3</v>
      </c>
      <c r="J3" s="7" t="str">
        <f>IF(CA_1&gt;=RN_1,"Ok",IF(RN_1&gt;=CR_1,"Not Ok",IF(ES_1=ML,"Not Ok","ES2 Necesar")))</f>
        <v>Ok</v>
      </c>
    </row>
    <row r="4" spans="1:18" x14ac:dyDescent="0.25">
      <c r="A4" s="2" t="s">
        <v>1</v>
      </c>
      <c r="B4" s="22">
        <f>RawData!D1</f>
        <v>123</v>
      </c>
      <c r="C4" s="3"/>
      <c r="D4" s="3"/>
      <c r="E4" s="3" t="s">
        <v>64</v>
      </c>
      <c r="F4" s="54">
        <v>0</v>
      </c>
      <c r="G4" s="35" t="str">
        <f>IF(ES1_Status="ES2 Necesar",IF(ML=30,4, IF(ML=50,6, IF(ML=80,8,4))),"")</f>
        <v/>
      </c>
      <c r="H4" s="38" t="str">
        <f>IF(ES1_Status="ES2 Necesar",COUNTIF(N:N, "Not Ok"),"")</f>
        <v/>
      </c>
      <c r="I4" s="55" t="str">
        <f>IF(ES1_Status="ES2 Necesar",IF(ML=30,5, IF(ML=50,7, IF(ML=80,9,5))),"")</f>
        <v/>
      </c>
      <c r="J4" s="7" t="str">
        <f>IF(ES1_Status="ES2 Necesar",IF(RN_1+RN_2&lt;=CA_2,"Ok","Not Ok"),"")</f>
        <v/>
      </c>
    </row>
    <row r="5" spans="1:18" x14ac:dyDescent="0.25">
      <c r="A5" s="2" t="s">
        <v>9</v>
      </c>
      <c r="B5" s="23">
        <f>RawData!I1</f>
        <v>43229</v>
      </c>
      <c r="E5" s="3" t="s">
        <v>65</v>
      </c>
      <c r="F5" s="54">
        <v>30</v>
      </c>
      <c r="G5" s="72"/>
      <c r="H5" s="72"/>
      <c r="I5" s="72"/>
      <c r="J5" s="7" t="str">
        <f>IF(Xi&gt;=QnES3 - 0.503 * s,"Ok","Not Ok")</f>
        <v>Ok</v>
      </c>
    </row>
    <row r="6" spans="1:18" x14ac:dyDescent="0.25">
      <c r="A6" s="2" t="s">
        <v>7</v>
      </c>
      <c r="B6" s="22">
        <v>30</v>
      </c>
      <c r="C6" s="3"/>
      <c r="D6" s="3"/>
      <c r="E6"/>
      <c r="F6" s="57"/>
      <c r="K6" s="39"/>
    </row>
    <row r="7" spans="1:18" x14ac:dyDescent="0.25">
      <c r="A7" s="2" t="s">
        <v>4</v>
      </c>
      <c r="B7" s="7" t="str">
        <f>IF(ISERROR(VALUE(RawData!G1)), LEFT(RawData!G1, FIND("Kg",RawData!G1)-1), RawData!G1)</f>
        <v>6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Galeata Plastic- 6 Kg</v>
      </c>
      <c r="C8" s="3"/>
      <c r="D8" s="3"/>
      <c r="E8"/>
      <c r="F8" s="57"/>
    </row>
    <row r="9" spans="1:18" x14ac:dyDescent="0.25">
      <c r="A9" t="s">
        <v>5</v>
      </c>
      <c r="B9" s="51" t="str">
        <f>IF(ISERROR(VALUE(RawData!H1)), LEFT(RawData!H1, FIND("Kg",RawData!H1)-1), RawData!H1)</f>
        <v>0.190</v>
      </c>
      <c r="C9" s="6" t="s">
        <v>0</v>
      </c>
      <c r="E9"/>
      <c r="F9" s="57"/>
    </row>
    <row r="10" spans="1:18" x14ac:dyDescent="0.25">
      <c r="A10" s="2" t="s">
        <v>6</v>
      </c>
      <c r="B10" s="51">
        <v>0.09</v>
      </c>
      <c r="C10" s="6" t="s">
        <v>0</v>
      </c>
      <c r="E10"/>
      <c r="F10" s="57"/>
    </row>
    <row r="11" spans="1:18" x14ac:dyDescent="0.25">
      <c r="A11" s="2" t="s">
        <v>8</v>
      </c>
      <c r="B11" s="51">
        <f>Qn-ENT</f>
        <v>5.91</v>
      </c>
      <c r="C11" s="6" t="s">
        <v>0</v>
      </c>
      <c r="D11" s="6"/>
      <c r="E11" s="75" t="s">
        <v>58</v>
      </c>
      <c r="F11" s="76"/>
      <c r="G11" s="76"/>
      <c r="H11" s="76"/>
      <c r="I11" s="77" t="s">
        <v>59</v>
      </c>
      <c r="J11" s="78"/>
      <c r="K11" s="78"/>
      <c r="L11" s="79" t="s">
        <v>60</v>
      </c>
      <c r="M11" s="80"/>
      <c r="N11" s="80"/>
      <c r="O11" s="70" t="s">
        <v>61</v>
      </c>
      <c r="P11" s="71"/>
      <c r="Q11" s="71"/>
      <c r="R11" s="71"/>
    </row>
    <row r="12" spans="1:18" ht="90" x14ac:dyDescent="0.25">
      <c r="E12" s="49" t="s">
        <v>48</v>
      </c>
      <c r="F12" s="58" t="s">
        <v>49</v>
      </c>
      <c r="G12" s="49" t="s">
        <v>50</v>
      </c>
      <c r="H12" s="50" t="s">
        <v>88</v>
      </c>
      <c r="I12" s="53" t="s">
        <v>48</v>
      </c>
      <c r="J12" s="50" t="s">
        <v>72</v>
      </c>
      <c r="K12" s="49" t="s">
        <v>52</v>
      </c>
      <c r="L12" s="49" t="s">
        <v>48</v>
      </c>
      <c r="M12" s="49" t="s">
        <v>71</v>
      </c>
      <c r="N12" s="49" t="s">
        <v>53</v>
      </c>
      <c r="O12" s="53" t="s">
        <v>48</v>
      </c>
      <c r="P12" s="62" t="s">
        <v>73</v>
      </c>
      <c r="Q12" s="68" t="s">
        <v>74</v>
      </c>
      <c r="R12" s="59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>
        <v>6.26</v>
      </c>
      <c r="G13" s="1">
        <v>0.88890046296296299</v>
      </c>
      <c r="H13" s="36" t="str">
        <f>IF(Qn-F13-Ta&gt;2*ENT,"Fara E","Ok")</f>
        <v>Ok</v>
      </c>
      <c r="I13" s="36">
        <f>E13</f>
        <v>1</v>
      </c>
      <c r="J13" s="66">
        <f>F13-Ta</f>
        <v>6.0699999999999994</v>
      </c>
      <c r="K13" s="36" t="str">
        <f>IF(J13&gt;=CMA,"Ok","Not Ok")</f>
        <v>Ok</v>
      </c>
      <c r="L13" s="36"/>
      <c r="M13" s="36"/>
      <c r="N13" s="36"/>
      <c r="O13" s="36">
        <f>E13</f>
        <v>1</v>
      </c>
      <c r="P13" s="63">
        <f>F13-Ta</f>
        <v>6.0699999999999994</v>
      </c>
      <c r="Q13" s="69">
        <f>P13-Xi</f>
        <v>7.3333333333334139E-3</v>
      </c>
      <c r="R13" s="60">
        <f>POWER(Q13,2)</f>
        <v>5.377777777777896E-5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>
        <v>6.26</v>
      </c>
      <c r="G14" s="1">
        <v>0.8913078703703704</v>
      </c>
      <c r="H14" s="36" t="str">
        <f>IF(Qn-F14-Ta&gt;2*ENT,"Fara E","Ok")</f>
        <v>Ok</v>
      </c>
      <c r="I14" s="36">
        <f>E14</f>
        <v>2</v>
      </c>
      <c r="J14" s="66">
        <f>F14-Ta</f>
        <v>6.0699999999999994</v>
      </c>
      <c r="K14" s="36" t="str">
        <f>IF(J14&gt;=CMA,"Ok","Not Ok")</f>
        <v>Ok</v>
      </c>
      <c r="L14" s="36"/>
      <c r="M14" s="36"/>
      <c r="N14" s="36"/>
      <c r="O14" s="36">
        <f>E14</f>
        <v>2</v>
      </c>
      <c r="P14" s="63">
        <f>F14-Ta</f>
        <v>6.0699999999999994</v>
      </c>
      <c r="Q14" s="69">
        <f>P14-Xi</f>
        <v>7.3333333333334139E-3</v>
      </c>
      <c r="R14" s="60">
        <f>POWER(Q14,2)</f>
        <v>5.377777777777896E-5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>
        <v>6.26</v>
      </c>
      <c r="G15" s="1">
        <v>0.89780092592592586</v>
      </c>
      <c r="H15" s="36" t="str">
        <f>IF(Qn-F15-Ta&gt;2*ENT,"Fara E","Ok")</f>
        <v>Ok</v>
      </c>
      <c r="I15" s="36">
        <f>E15</f>
        <v>3</v>
      </c>
      <c r="J15" s="66">
        <f>F15-Ta</f>
        <v>6.0699999999999994</v>
      </c>
      <c r="K15" s="36" t="str">
        <f>IF(J15&gt;=CMA,"Ok","Not Ok")</f>
        <v>Ok</v>
      </c>
      <c r="L15" s="36"/>
      <c r="M15" s="36"/>
      <c r="N15" s="36"/>
      <c r="O15" s="36">
        <f>E15</f>
        <v>3</v>
      </c>
      <c r="P15" s="63">
        <f>F15-Ta</f>
        <v>6.0699999999999994</v>
      </c>
      <c r="Q15" s="69">
        <f>P15-Xi</f>
        <v>7.3333333333334139E-3</v>
      </c>
      <c r="R15" s="60">
        <f>POWER(Q15,2)</f>
        <v>5.377777777777896E-5</v>
      </c>
    </row>
    <row r="16" spans="1:18" ht="14.25" customHeight="1" x14ac:dyDescent="0.25">
      <c r="E16">
        <v>4</v>
      </c>
      <c r="F16">
        <v>6.25</v>
      </c>
      <c r="G16" s="1">
        <v>0.88890046296296299</v>
      </c>
      <c r="H16" s="36" t="str">
        <f>IF(Qn-F16-Ta&gt;2*ENT,"Fara E","Ok")</f>
        <v>Ok</v>
      </c>
      <c r="I16" s="36">
        <f>E16</f>
        <v>4</v>
      </c>
      <c r="J16" s="66">
        <f>F16-Ta</f>
        <v>6.06</v>
      </c>
      <c r="K16" s="36" t="str">
        <f>IF(J16&gt;=CMA,"Ok","Not Ok")</f>
        <v>Ok</v>
      </c>
      <c r="L16" s="36"/>
      <c r="M16" s="36"/>
      <c r="N16" s="36"/>
      <c r="O16" s="36">
        <f>E16</f>
        <v>4</v>
      </c>
      <c r="P16" s="63">
        <f>F16-Ta</f>
        <v>6.06</v>
      </c>
      <c r="Q16" s="69">
        <f>P16-Xi</f>
        <v>-2.666666666666373E-3</v>
      </c>
      <c r="R16" s="60">
        <f>POWER(Q16,2)</f>
        <v>7.1111111111095448E-6</v>
      </c>
    </row>
    <row r="17" spans="1:18" x14ac:dyDescent="0.25">
      <c r="E17">
        <v>5</v>
      </c>
      <c r="F17">
        <v>6.26</v>
      </c>
      <c r="G17" s="1">
        <v>0.8913078703703704</v>
      </c>
      <c r="H17" s="36" t="str">
        <f>IF(Qn-F17-Ta&gt;2*ENT,"Fara E","Ok")</f>
        <v>Ok</v>
      </c>
      <c r="I17" s="36">
        <f>E17</f>
        <v>5</v>
      </c>
      <c r="J17" s="66">
        <f>F17-Ta</f>
        <v>6.0699999999999994</v>
      </c>
      <c r="K17" s="36" t="str">
        <f>IF(J17&gt;=CMA,"Ok","Not Ok")</f>
        <v>Ok</v>
      </c>
      <c r="L17" s="36"/>
      <c r="M17" s="36"/>
      <c r="N17" s="36"/>
      <c r="O17" s="36">
        <f>E17</f>
        <v>5</v>
      </c>
      <c r="P17" s="63">
        <f>F17-Ta</f>
        <v>6.0699999999999994</v>
      </c>
      <c r="Q17" s="69">
        <f>P17-Xi</f>
        <v>7.3333333333334139E-3</v>
      </c>
      <c r="R17" s="60">
        <f>POWER(Q17,2)</f>
        <v>5.377777777777896E-5</v>
      </c>
    </row>
    <row r="18" spans="1:18" ht="15" customHeight="1" x14ac:dyDescent="0.25">
      <c r="A18" s="40" t="s">
        <v>66</v>
      </c>
      <c r="B18" s="41"/>
      <c r="E18">
        <v>6</v>
      </c>
      <c r="F18">
        <v>6.25</v>
      </c>
      <c r="G18" s="1">
        <v>0.89780092592592586</v>
      </c>
      <c r="H18" s="3" t="str">
        <f>IF(Qn-F18-Ta&gt;2*ENT,"Fara E","Ok")</f>
        <v>Ok</v>
      </c>
      <c r="I18" s="4">
        <f>E18</f>
        <v>6</v>
      </c>
      <c r="J18" s="7">
        <f>F18-Ta</f>
        <v>6.06</v>
      </c>
      <c r="K18" s="3" t="str">
        <f>IF(J18&gt;=CMA,"Ok","Not Ok")</f>
        <v>Ok</v>
      </c>
      <c r="O18" s="4">
        <f>E18</f>
        <v>6</v>
      </c>
      <c r="P18" s="61">
        <f>F18-Ta</f>
        <v>6.06</v>
      </c>
      <c r="Q18" s="67">
        <f>P18-Xi</f>
        <v>-2.666666666666373E-3</v>
      </c>
      <c r="R18" s="60">
        <f>POWER(Q18,2)</f>
        <v>7.1111111111095448E-6</v>
      </c>
    </row>
    <row r="19" spans="1:18" x14ac:dyDescent="0.25">
      <c r="A19" s="47" t="s">
        <v>34</v>
      </c>
      <c r="B19" s="30">
        <f>AVERAGE(P13:P43)</f>
        <v>6.062666666666666</v>
      </c>
      <c r="E19">
        <v>7</v>
      </c>
      <c r="F19">
        <v>6.25</v>
      </c>
      <c r="G19" s="1">
        <v>0.88890046296296299</v>
      </c>
      <c r="H19" s="3" t="str">
        <f>IF(Qn-F19-Ta&gt;2*ENT,"Fara E","Ok")</f>
        <v>Ok</v>
      </c>
      <c r="I19" s="4">
        <f>E19</f>
        <v>7</v>
      </c>
      <c r="J19" s="7">
        <f>F19-Ta</f>
        <v>6.06</v>
      </c>
      <c r="K19" s="3" t="str">
        <f>IF(J19&gt;=CMA,"Ok","Not Ok")</f>
        <v>Ok</v>
      </c>
      <c r="O19" s="4">
        <f>E19</f>
        <v>7</v>
      </c>
      <c r="P19" s="64">
        <f>F19-Ta</f>
        <v>6.06</v>
      </c>
      <c r="Q19" s="67">
        <f>P19-Xi</f>
        <v>-2.666666666666373E-3</v>
      </c>
      <c r="R19" s="60">
        <f>POWER(Q19,2)</f>
        <v>7.1111111111095448E-6</v>
      </c>
    </row>
    <row r="20" spans="1:18" ht="17.25" x14ac:dyDescent="0.25">
      <c r="A20" s="48" t="s">
        <v>36</v>
      </c>
      <c r="B20" s="30">
        <f>SUM(R13,R42)</f>
        <v>6.0888888888888504E-5</v>
      </c>
      <c r="E20">
        <v>8</v>
      </c>
      <c r="F20">
        <v>6.25</v>
      </c>
      <c r="G20" s="1">
        <v>0.8913078703703704</v>
      </c>
      <c r="H20" s="3" t="str">
        <f>IF(Qn-F20-Ta&gt;2*ENT,"Fara E","Ok")</f>
        <v>Ok</v>
      </c>
      <c r="I20" s="4">
        <f>E20</f>
        <v>8</v>
      </c>
      <c r="J20" s="7">
        <f>F20-Ta</f>
        <v>6.06</v>
      </c>
      <c r="K20" s="3" t="str">
        <f>IF(J20&gt;=CMA,"Ok","Not Ok")</f>
        <v>Ok</v>
      </c>
      <c r="O20" s="4">
        <f>E20</f>
        <v>8</v>
      </c>
      <c r="P20" s="61">
        <f>F20-Ta</f>
        <v>6.06</v>
      </c>
      <c r="Q20" s="67">
        <f>P20-Xi</f>
        <v>-2.666666666666373E-3</v>
      </c>
      <c r="R20" s="60">
        <f>POWER(Q20,2)</f>
        <v>7.1111111111095448E-6</v>
      </c>
    </row>
    <row r="21" spans="1:18" x14ac:dyDescent="0.25">
      <c r="A21" s="31" t="s">
        <v>35</v>
      </c>
      <c r="B21" s="30">
        <f>SQRT(SumOfSquares/(ES_3-1))</f>
        <v>1.4490054721213218E-3</v>
      </c>
      <c r="E21">
        <v>9</v>
      </c>
      <c r="F21">
        <v>6.24</v>
      </c>
      <c r="G21" s="1">
        <v>0.89780092592592586</v>
      </c>
      <c r="H21" s="3" t="str">
        <f>IF(Qn-F21-Ta&gt;2*ENT,"Fara E","Ok")</f>
        <v>Ok</v>
      </c>
      <c r="I21" s="4">
        <f>E21</f>
        <v>9</v>
      </c>
      <c r="J21" s="7">
        <f>F21-Ta</f>
        <v>6.05</v>
      </c>
      <c r="K21" s="3" t="str">
        <f>IF(J21&gt;=CMA,"Ok","Not Ok")</f>
        <v>Ok</v>
      </c>
      <c r="O21" s="4">
        <f>E21</f>
        <v>9</v>
      </c>
      <c r="P21" s="61">
        <f>F21-Ta</f>
        <v>6.05</v>
      </c>
      <c r="Q21" s="67">
        <f>P21-Xi</f>
        <v>-1.266666666666616E-2</v>
      </c>
      <c r="R21" s="60">
        <f>POWER(Q21,2)</f>
        <v>1.604444444444316E-4</v>
      </c>
    </row>
    <row r="22" spans="1:18" x14ac:dyDescent="0.25">
      <c r="A22" s="47" t="s">
        <v>54</v>
      </c>
      <c r="B22" s="30">
        <f>s/SQRT(ES_3)*0.995</f>
        <v>2.6322823937137489E-4</v>
      </c>
      <c r="E22">
        <v>10</v>
      </c>
      <c r="F22">
        <v>6.25</v>
      </c>
      <c r="G22" s="1">
        <v>0.88890046296296299</v>
      </c>
      <c r="H22" s="3" t="str">
        <f>IF(Qn-F22-Ta&gt;2*ENT,"Fara E","Ok")</f>
        <v>Ok</v>
      </c>
      <c r="I22" s="4">
        <f>E22</f>
        <v>10</v>
      </c>
      <c r="J22" s="7">
        <f>F22-Ta</f>
        <v>6.06</v>
      </c>
      <c r="K22" s="3" t="str">
        <f>IF(J22&gt;=CMA,"Ok","Not Ok")</f>
        <v>Ok</v>
      </c>
      <c r="O22" s="4">
        <f>E22</f>
        <v>10</v>
      </c>
      <c r="P22" s="61">
        <f>F22-Ta</f>
        <v>6.06</v>
      </c>
      <c r="Q22" s="67">
        <f>P22-Xi</f>
        <v>-2.666666666666373E-3</v>
      </c>
      <c r="R22" s="60">
        <f>POWER(Q22,2)</f>
        <v>7.1111111111095448E-6</v>
      </c>
    </row>
    <row r="23" spans="1:18" x14ac:dyDescent="0.25">
      <c r="A23" s="2"/>
      <c r="E23">
        <v>11</v>
      </c>
      <c r="F23">
        <v>6.26</v>
      </c>
      <c r="G23" s="1">
        <v>0.8913078703703704</v>
      </c>
      <c r="H23" s="3" t="str">
        <f>IF(Qn-F23-Ta&gt;2*ENT,"Fara E","Ok")</f>
        <v>Ok</v>
      </c>
      <c r="I23" s="4">
        <f>E23</f>
        <v>11</v>
      </c>
      <c r="J23" s="7">
        <f>F23-Ta</f>
        <v>6.0699999999999994</v>
      </c>
      <c r="K23" s="3" t="str">
        <f>IF(J23&gt;=CMA,"Ok","Not Ok")</f>
        <v>Ok</v>
      </c>
      <c r="O23" s="4">
        <f>E23</f>
        <v>11</v>
      </c>
      <c r="P23" s="61">
        <f>F23-Ta</f>
        <v>6.0699999999999994</v>
      </c>
      <c r="Q23" s="67">
        <f>P23-Xi</f>
        <v>7.3333333333334139E-3</v>
      </c>
      <c r="R23" s="60">
        <f>POWER(Q23,2)</f>
        <v>5.377777777777896E-5</v>
      </c>
    </row>
    <row r="24" spans="1:18" x14ac:dyDescent="0.25">
      <c r="E24">
        <v>12</v>
      </c>
      <c r="F24">
        <v>6.26</v>
      </c>
      <c r="G24" s="1">
        <v>0.89780092592592586</v>
      </c>
      <c r="H24" s="3" t="str">
        <f>IF(Qn-F24-Ta&gt;2*ENT,"Fara E","Ok")</f>
        <v>Ok</v>
      </c>
      <c r="I24" s="4">
        <f>E24</f>
        <v>12</v>
      </c>
      <c r="J24" s="7">
        <f>F24-Ta</f>
        <v>6.0699999999999994</v>
      </c>
      <c r="K24" s="3" t="str">
        <f>IF(J24&gt;=CMA,"Ok","Not Ok")</f>
        <v>Ok</v>
      </c>
      <c r="O24" s="4">
        <f>E24</f>
        <v>12</v>
      </c>
      <c r="P24" s="61">
        <f>F24-Ta</f>
        <v>6.0699999999999994</v>
      </c>
      <c r="Q24" s="67">
        <f>P24-Xi</f>
        <v>7.3333333333334139E-3</v>
      </c>
      <c r="R24" s="60">
        <f>POWER(Q24,2)</f>
        <v>5.377777777777896E-5</v>
      </c>
    </row>
    <row r="25" spans="1:18" x14ac:dyDescent="0.25">
      <c r="E25">
        <v>13</v>
      </c>
      <c r="F25">
        <v>6.25</v>
      </c>
      <c r="G25" s="1">
        <v>0.88890046296296299</v>
      </c>
      <c r="H25" s="3" t="str">
        <f>IF(Qn-F25-Ta&gt;2*ENT,"Fara E","Ok")</f>
        <v>Ok</v>
      </c>
      <c r="I25" s="4">
        <f>E25</f>
        <v>13</v>
      </c>
      <c r="J25" s="7">
        <f>F25-Ta</f>
        <v>6.06</v>
      </c>
      <c r="K25" s="3" t="str">
        <f>IF(J25&gt;=CMA,"Ok","Not Ok")</f>
        <v>Ok</v>
      </c>
      <c r="O25" s="4">
        <f>E25</f>
        <v>13</v>
      </c>
      <c r="P25" s="61">
        <f>F25-Ta</f>
        <v>6.06</v>
      </c>
      <c r="Q25" s="67">
        <f>P25-Xi</f>
        <v>-2.666666666666373E-3</v>
      </c>
      <c r="R25" s="60">
        <f>POWER(Q25,2)</f>
        <v>7.1111111111095448E-6</v>
      </c>
    </row>
    <row r="26" spans="1:18" x14ac:dyDescent="0.25">
      <c r="E26">
        <v>14</v>
      </c>
      <c r="F26">
        <v>6.24</v>
      </c>
      <c r="G26" s="1">
        <v>0.8913078703703704</v>
      </c>
      <c r="H26" s="3" t="str">
        <f>IF(Qn-F26-Ta&gt;2*ENT,"Fara E","Ok")</f>
        <v>Ok</v>
      </c>
      <c r="I26" s="4">
        <f>E26</f>
        <v>14</v>
      </c>
      <c r="J26" s="7">
        <f>F26-Ta</f>
        <v>6.05</v>
      </c>
      <c r="K26" s="3" t="str">
        <f>IF(J26&gt;=CMA,"Ok","Not Ok")</f>
        <v>Ok</v>
      </c>
      <c r="O26" s="4">
        <f>E26</f>
        <v>14</v>
      </c>
      <c r="P26" s="61">
        <f>F26-Ta</f>
        <v>6.05</v>
      </c>
      <c r="Q26" s="67">
        <f>P26-Xi</f>
        <v>-1.266666666666616E-2</v>
      </c>
      <c r="R26" s="60">
        <f>POWER(Q26,2)</f>
        <v>1.604444444444316E-4</v>
      </c>
    </row>
    <row r="27" spans="1:18" x14ac:dyDescent="0.25">
      <c r="E27">
        <v>15</v>
      </c>
      <c r="F27">
        <v>6.26</v>
      </c>
      <c r="G27" s="1">
        <v>0.89780092592592586</v>
      </c>
      <c r="H27" s="3" t="str">
        <f>IF(Qn-F27-Ta&gt;2*ENT,"Fara E","Ok")</f>
        <v>Ok</v>
      </c>
      <c r="I27" s="4">
        <f>E27</f>
        <v>15</v>
      </c>
      <c r="J27" s="7">
        <f>F27-Ta</f>
        <v>6.0699999999999994</v>
      </c>
      <c r="K27" s="3" t="str">
        <f>IF(J27&gt;=CMA,"Ok","Not Ok")</f>
        <v>Ok</v>
      </c>
      <c r="O27" s="4">
        <f>E27</f>
        <v>15</v>
      </c>
      <c r="P27" s="61">
        <f>F27-Ta</f>
        <v>6.0699999999999994</v>
      </c>
      <c r="Q27" s="67">
        <f>P27-Xi</f>
        <v>7.3333333333334139E-3</v>
      </c>
      <c r="R27" s="60">
        <f>POWER(Q27,2)</f>
        <v>5.377777777777896E-5</v>
      </c>
    </row>
    <row r="28" spans="1:18" x14ac:dyDescent="0.25">
      <c r="E28">
        <v>16</v>
      </c>
      <c r="F28">
        <v>6.25</v>
      </c>
      <c r="G28" s="1">
        <v>0.88890046296296299</v>
      </c>
      <c r="H28" s="3" t="str">
        <f>IF(Qn-F28-Ta&gt;2*ENT,"Fara E","Ok")</f>
        <v>Ok</v>
      </c>
      <c r="I28" s="4">
        <f>E28</f>
        <v>16</v>
      </c>
      <c r="J28" s="7">
        <f>F28-Ta</f>
        <v>6.06</v>
      </c>
      <c r="K28" s="3" t="str">
        <f>IF(J28&gt;=CMA,"Ok","Not Ok")</f>
        <v>Ok</v>
      </c>
      <c r="O28" s="4">
        <f>E28</f>
        <v>16</v>
      </c>
      <c r="P28" s="61">
        <f>F28-Ta</f>
        <v>6.06</v>
      </c>
      <c r="Q28" s="67">
        <f>P28-Xi</f>
        <v>-2.666666666666373E-3</v>
      </c>
      <c r="R28" s="60">
        <f>POWER(Q28,2)</f>
        <v>7.1111111111095448E-6</v>
      </c>
    </row>
    <row r="29" spans="1:18" x14ac:dyDescent="0.25">
      <c r="E29">
        <v>17</v>
      </c>
      <c r="F29">
        <v>6.25</v>
      </c>
      <c r="G29" s="1">
        <v>0.8913078703703704</v>
      </c>
      <c r="H29" s="3" t="str">
        <f>IF(Qn-F29-Ta&gt;2*ENT,"Fara E","Ok")</f>
        <v>Ok</v>
      </c>
      <c r="I29" s="4">
        <f>E29</f>
        <v>17</v>
      </c>
      <c r="J29" s="7">
        <f>F29-Ta</f>
        <v>6.06</v>
      </c>
      <c r="K29" s="3" t="str">
        <f>IF(J29&gt;=CMA,"Ok","Not Ok")</f>
        <v>Ok</v>
      </c>
      <c r="O29" s="4">
        <f>E29</f>
        <v>17</v>
      </c>
      <c r="P29" s="61">
        <f>F29-Ta</f>
        <v>6.06</v>
      </c>
      <c r="Q29" s="67">
        <f>P29-Xi</f>
        <v>-2.666666666666373E-3</v>
      </c>
      <c r="R29" s="60">
        <f>POWER(Q29,2)</f>
        <v>7.1111111111095448E-6</v>
      </c>
    </row>
    <row r="30" spans="1:18" x14ac:dyDescent="0.25">
      <c r="E30">
        <v>18</v>
      </c>
      <c r="F30">
        <v>6.24</v>
      </c>
      <c r="G30" s="1">
        <v>0.89780092592592586</v>
      </c>
      <c r="H30" s="3" t="str">
        <f>IF(Qn-F30-Ta&gt;2*ENT,"Fara E","Ok")</f>
        <v>Ok</v>
      </c>
      <c r="I30" s="4">
        <f>E30</f>
        <v>18</v>
      </c>
      <c r="J30" s="7">
        <f>F30-Ta</f>
        <v>6.05</v>
      </c>
      <c r="K30" s="3" t="str">
        <f>IF(J30&gt;=CMA,"Ok","Not Ok")</f>
        <v>Ok</v>
      </c>
      <c r="O30" s="4">
        <f>E30</f>
        <v>18</v>
      </c>
      <c r="P30" s="61">
        <f>F30-Ta</f>
        <v>6.05</v>
      </c>
      <c r="Q30" s="67">
        <f>P30-Xi</f>
        <v>-1.266666666666616E-2</v>
      </c>
      <c r="R30" s="60">
        <f>POWER(Q30,2)</f>
        <v>1.604444444444316E-4</v>
      </c>
    </row>
    <row r="31" spans="1:18" x14ac:dyDescent="0.25">
      <c r="E31">
        <v>19</v>
      </c>
      <c r="F31">
        <v>6.25</v>
      </c>
      <c r="G31" s="1">
        <v>0.88890046296296299</v>
      </c>
      <c r="H31" s="3" t="str">
        <f>IF(Qn-F31-Ta&gt;2*ENT,"Fara E","Ok")</f>
        <v>Ok</v>
      </c>
      <c r="I31" s="4">
        <f>E31</f>
        <v>19</v>
      </c>
      <c r="J31" s="7">
        <f>F31-Ta</f>
        <v>6.06</v>
      </c>
      <c r="K31" s="3" t="str">
        <f>IF(J31&gt;=CMA,"Ok","Not Ok")</f>
        <v>Ok</v>
      </c>
      <c r="O31" s="4">
        <f>E31</f>
        <v>19</v>
      </c>
      <c r="P31" s="61">
        <f>F31-Ta</f>
        <v>6.06</v>
      </c>
      <c r="Q31" s="67">
        <f>P31-Xi</f>
        <v>-2.666666666666373E-3</v>
      </c>
      <c r="R31" s="60">
        <f>POWER(Q31,2)</f>
        <v>7.1111111111095448E-6</v>
      </c>
    </row>
    <row r="32" spans="1:18" x14ac:dyDescent="0.25">
      <c r="E32">
        <v>20</v>
      </c>
      <c r="F32">
        <v>6.24</v>
      </c>
      <c r="G32" s="1">
        <v>0.8913078703703704</v>
      </c>
      <c r="H32" s="3" t="str">
        <f>IF(Qn-F32-Ta&gt;2*ENT,"Fara E","Ok")</f>
        <v>Ok</v>
      </c>
      <c r="I32" s="4">
        <f>E32</f>
        <v>20</v>
      </c>
      <c r="J32" s="7">
        <f>F32-Ta</f>
        <v>6.05</v>
      </c>
      <c r="K32" s="3" t="str">
        <f>IF(J32&gt;=CMA,"Ok","Not Ok")</f>
        <v>Ok</v>
      </c>
      <c r="O32" s="4">
        <f>E32</f>
        <v>20</v>
      </c>
      <c r="P32" s="61">
        <f>F32-Ta</f>
        <v>6.05</v>
      </c>
      <c r="Q32" s="67">
        <f>P32-Xi</f>
        <v>-1.266666666666616E-2</v>
      </c>
      <c r="R32" s="60">
        <f>POWER(Q32,2)</f>
        <v>1.604444444444316E-4</v>
      </c>
    </row>
    <row r="33" spans="5:18" x14ac:dyDescent="0.25">
      <c r="E33">
        <v>21</v>
      </c>
      <c r="F33">
        <v>6.25</v>
      </c>
      <c r="G33" s="1">
        <v>0.89780092592592586</v>
      </c>
      <c r="H33" s="3" t="str">
        <f>IF(Qn-F33-Ta&gt;2*ENT,"Fara E","Ok")</f>
        <v>Ok</v>
      </c>
      <c r="I33" s="4">
        <f>E33</f>
        <v>21</v>
      </c>
      <c r="J33" s="7">
        <f>F33-Ta</f>
        <v>6.06</v>
      </c>
      <c r="K33" s="3" t="str">
        <f>IF(J33&gt;=CMA,"Ok","Not Ok")</f>
        <v>Ok</v>
      </c>
      <c r="O33" s="4">
        <f>E33</f>
        <v>21</v>
      </c>
      <c r="P33" s="61">
        <f>F33-Ta</f>
        <v>6.06</v>
      </c>
      <c r="Q33" s="67">
        <f>P33-Xi</f>
        <v>-2.666666666666373E-3</v>
      </c>
      <c r="R33" s="60">
        <f>POWER(Q33,2)</f>
        <v>7.1111111111095448E-6</v>
      </c>
    </row>
    <row r="34" spans="5:18" x14ac:dyDescent="0.25">
      <c r="E34">
        <v>22</v>
      </c>
      <c r="F34">
        <v>6.25</v>
      </c>
      <c r="G34" s="1">
        <v>0.88890046296296299</v>
      </c>
      <c r="H34" s="3" t="str">
        <f>IF(Qn-F34-Ta&gt;2*ENT,"Fara E","Ok")</f>
        <v>Ok</v>
      </c>
      <c r="I34" s="4">
        <f>E34</f>
        <v>22</v>
      </c>
      <c r="J34" s="7">
        <f>F34-Ta</f>
        <v>6.06</v>
      </c>
      <c r="K34" s="3" t="str">
        <f>IF(J34&gt;=CMA,"Ok","Not Ok")</f>
        <v>Ok</v>
      </c>
      <c r="O34" s="4">
        <f>E34</f>
        <v>22</v>
      </c>
      <c r="P34" s="61">
        <f>F34-Ta</f>
        <v>6.06</v>
      </c>
      <c r="Q34" s="67">
        <f>P34-Xi</f>
        <v>-2.666666666666373E-3</v>
      </c>
      <c r="R34" s="60">
        <f>POWER(Q34,2)</f>
        <v>7.1111111111095448E-6</v>
      </c>
    </row>
    <row r="35" spans="5:18" x14ac:dyDescent="0.25">
      <c r="E35">
        <v>23</v>
      </c>
      <c r="F35">
        <v>6.26</v>
      </c>
      <c r="G35" s="1">
        <v>0.8913078703703704</v>
      </c>
      <c r="H35" s="3" t="str">
        <f>IF(Qn-F35-Ta&gt;2*ENT,"Fara E","Ok")</f>
        <v>Ok</v>
      </c>
      <c r="I35" s="4">
        <f>E35</f>
        <v>23</v>
      </c>
      <c r="J35" s="7">
        <f>F35-Ta</f>
        <v>6.0699999999999994</v>
      </c>
      <c r="K35" s="3" t="str">
        <f>IF(J35&gt;=CMA,"Ok","Not Ok")</f>
        <v>Ok</v>
      </c>
      <c r="O35" s="4">
        <f>E35</f>
        <v>23</v>
      </c>
      <c r="P35" s="61">
        <f>F35-Ta</f>
        <v>6.0699999999999994</v>
      </c>
      <c r="Q35" s="67">
        <f>P35-Xi</f>
        <v>7.3333333333334139E-3</v>
      </c>
      <c r="R35" s="60">
        <f>POWER(Q35,2)</f>
        <v>5.377777777777896E-5</v>
      </c>
    </row>
    <row r="36" spans="5:18" x14ac:dyDescent="0.25">
      <c r="E36">
        <v>24</v>
      </c>
      <c r="F36">
        <v>6.26</v>
      </c>
      <c r="G36" s="1">
        <v>0.89780092592592586</v>
      </c>
      <c r="H36" s="3" t="str">
        <f>IF(Qn-F36-Ta&gt;2*ENT,"Fara E","Ok")</f>
        <v>Ok</v>
      </c>
      <c r="I36" s="4">
        <f>E36</f>
        <v>24</v>
      </c>
      <c r="J36" s="7">
        <f>F36-Ta</f>
        <v>6.0699999999999994</v>
      </c>
      <c r="K36" s="3" t="str">
        <f>IF(J36&gt;=CMA,"Ok","Not Ok")</f>
        <v>Ok</v>
      </c>
      <c r="O36" s="4">
        <f>E36</f>
        <v>24</v>
      </c>
      <c r="P36" s="61">
        <f>F36-Ta</f>
        <v>6.0699999999999994</v>
      </c>
      <c r="Q36" s="67">
        <f>P36-Xi</f>
        <v>7.3333333333334139E-3</v>
      </c>
      <c r="R36" s="60">
        <f>POWER(Q36,2)</f>
        <v>5.377777777777896E-5</v>
      </c>
    </row>
    <row r="37" spans="5:18" x14ac:dyDescent="0.25">
      <c r="E37">
        <v>25</v>
      </c>
      <c r="F37">
        <v>6.24</v>
      </c>
      <c r="G37" s="1">
        <v>0.88890046296296299</v>
      </c>
      <c r="H37" s="3" t="str">
        <f>IF(Qn-F37-Ta&gt;2*ENT,"Fara E","Ok")</f>
        <v>Ok</v>
      </c>
      <c r="I37" s="4">
        <f>E37</f>
        <v>25</v>
      </c>
      <c r="J37" s="7">
        <f>F37-Ta</f>
        <v>6.05</v>
      </c>
      <c r="K37" s="3" t="str">
        <f>IF(J37&gt;=CMA,"Ok","Not Ok")</f>
        <v>Ok</v>
      </c>
      <c r="O37" s="4">
        <f>E37</f>
        <v>25</v>
      </c>
      <c r="P37" s="61">
        <f>F37-Ta</f>
        <v>6.05</v>
      </c>
      <c r="Q37" s="67">
        <f>P37-Xi</f>
        <v>-1.266666666666616E-2</v>
      </c>
      <c r="R37" s="60">
        <f>POWER(Q37,2)</f>
        <v>1.604444444444316E-4</v>
      </c>
    </row>
    <row r="38" spans="5:18" x14ac:dyDescent="0.25">
      <c r="E38">
        <v>26</v>
      </c>
      <c r="F38">
        <v>6.26</v>
      </c>
      <c r="G38" s="1">
        <v>0.8913078703703704</v>
      </c>
      <c r="H38" s="3" t="str">
        <f>IF(Qn-F38-Ta&gt;2*ENT,"Fara E","Ok")</f>
        <v>Ok</v>
      </c>
      <c r="I38" s="4">
        <f>E38</f>
        <v>26</v>
      </c>
      <c r="J38" s="7">
        <f>F38-Ta</f>
        <v>6.0699999999999994</v>
      </c>
      <c r="K38" s="3" t="str">
        <f>IF(J38&gt;=CMA,"Ok","Not Ok")</f>
        <v>Ok</v>
      </c>
      <c r="O38" s="4">
        <f>E38</f>
        <v>26</v>
      </c>
      <c r="P38" s="61">
        <f>F38-Ta</f>
        <v>6.0699999999999994</v>
      </c>
      <c r="Q38" s="67">
        <f>P38-Xi</f>
        <v>7.3333333333334139E-3</v>
      </c>
      <c r="R38" s="60">
        <f>POWER(Q38,2)</f>
        <v>5.377777777777896E-5</v>
      </c>
    </row>
    <row r="39" spans="5:18" x14ac:dyDescent="0.25">
      <c r="E39">
        <v>27</v>
      </c>
      <c r="F39">
        <v>6.26</v>
      </c>
      <c r="G39" s="1">
        <v>0.89780092592592586</v>
      </c>
      <c r="H39" s="3" t="str">
        <f>IF(Qn-F39-Ta&gt;2*ENT,"Fara E","Ok")</f>
        <v>Ok</v>
      </c>
      <c r="I39" s="4">
        <f>E39</f>
        <v>27</v>
      </c>
      <c r="J39" s="7">
        <f>F39-Ta</f>
        <v>6.0699999999999994</v>
      </c>
      <c r="K39" s="3" t="str">
        <f>IF(J39&gt;=CMA,"Ok","Not Ok")</f>
        <v>Ok</v>
      </c>
      <c r="O39" s="4">
        <f>E39</f>
        <v>27</v>
      </c>
      <c r="P39" s="61">
        <f>F39-Ta</f>
        <v>6.0699999999999994</v>
      </c>
      <c r="Q39" s="67">
        <f>P39-Xi</f>
        <v>7.3333333333334139E-3</v>
      </c>
      <c r="R39" s="60">
        <f>POWER(Q39,2)</f>
        <v>5.377777777777896E-5</v>
      </c>
    </row>
    <row r="40" spans="5:18" x14ac:dyDescent="0.25">
      <c r="E40">
        <v>28</v>
      </c>
      <c r="F40">
        <v>6.26</v>
      </c>
      <c r="G40" s="1">
        <v>0.88890046296296299</v>
      </c>
      <c r="H40" s="3" t="str">
        <f>IF(Qn-F40-Ta&gt;2*ENT,"Fara E","Ok")</f>
        <v>Ok</v>
      </c>
      <c r="I40" s="4">
        <f>E40</f>
        <v>28</v>
      </c>
      <c r="J40" s="7">
        <f>F40-Ta</f>
        <v>6.0699999999999994</v>
      </c>
      <c r="K40" s="3" t="str">
        <f>IF(J40&gt;=CMA,"Ok","Not Ok")</f>
        <v>Ok</v>
      </c>
      <c r="O40" s="4">
        <f>E40</f>
        <v>28</v>
      </c>
      <c r="P40" s="61">
        <f>F40-Ta</f>
        <v>6.0699999999999994</v>
      </c>
      <c r="Q40" s="67">
        <f>P40-Xi</f>
        <v>7.3333333333334139E-3</v>
      </c>
      <c r="R40" s="60">
        <f>POWER(Q40,2)</f>
        <v>5.377777777777896E-5</v>
      </c>
    </row>
    <row r="41" spans="5:18" x14ac:dyDescent="0.25">
      <c r="E41">
        <v>29</v>
      </c>
      <c r="F41">
        <v>6.26</v>
      </c>
      <c r="G41" s="1">
        <v>0.8913078703703704</v>
      </c>
      <c r="H41" s="3" t="str">
        <f>IF(Qn-F41-Ta&gt;2*ENT,"Fara E","Ok")</f>
        <v>Ok</v>
      </c>
      <c r="I41" s="4">
        <f>E41</f>
        <v>29</v>
      </c>
      <c r="J41" s="7">
        <f>F41-Ta</f>
        <v>6.0699999999999994</v>
      </c>
      <c r="K41" s="3" t="str">
        <f>IF(J41&gt;=CMA,"Ok","Not Ok")</f>
        <v>Ok</v>
      </c>
      <c r="O41" s="4">
        <f>E41</f>
        <v>29</v>
      </c>
      <c r="P41" s="61">
        <f>F41-Ta</f>
        <v>6.0699999999999994</v>
      </c>
      <c r="Q41" s="67">
        <f>P41-Xi</f>
        <v>7.3333333333334139E-3</v>
      </c>
      <c r="R41" s="60">
        <f>POWER(Q41,2)</f>
        <v>5.377777777777896E-5</v>
      </c>
    </row>
    <row r="42" spans="5:18" x14ac:dyDescent="0.25">
      <c r="E42">
        <v>30</v>
      </c>
      <c r="F42">
        <v>6.25</v>
      </c>
      <c r="G42" s="1">
        <v>0.8913078703703704</v>
      </c>
      <c r="H42" s="3" t="str">
        <f>IF(Qn-F42-Ta&gt;2*ENT,"Fara E","Ok")</f>
        <v>Ok</v>
      </c>
      <c r="I42" s="4">
        <f>E42</f>
        <v>30</v>
      </c>
      <c r="J42" s="7">
        <f>F42-Ta</f>
        <v>6.06</v>
      </c>
      <c r="K42" s="3" t="str">
        <f>IF(J42&gt;=CMA,"Ok","Not Ok")</f>
        <v>Ok</v>
      </c>
      <c r="O42" s="4">
        <f>E42</f>
        <v>30</v>
      </c>
      <c r="P42" s="61">
        <f>F42-Ta</f>
        <v>6.06</v>
      </c>
      <c r="Q42" s="67">
        <f>P42-Xi</f>
        <v>-2.666666666666373E-3</v>
      </c>
      <c r="R42" s="60">
        <f>POWER(Q42,2)</f>
        <v>7.1111111111095448E-6</v>
      </c>
    </row>
    <row r="43" spans="5:18" x14ac:dyDescent="0.25">
      <c r="E43"/>
      <c r="F43"/>
      <c r="G43" s="1"/>
    </row>
    <row r="44" spans="5:18" x14ac:dyDescent="0.25">
      <c r="E44"/>
      <c r="F44"/>
      <c r="G44" s="1"/>
    </row>
    <row r="45" spans="5:18" x14ac:dyDescent="0.25">
      <c r="E45"/>
      <c r="F45"/>
      <c r="G45" s="1"/>
    </row>
    <row r="46" spans="5:18" x14ac:dyDescent="0.25">
      <c r="E46"/>
      <c r="F46"/>
      <c r="G46" s="1"/>
    </row>
    <row r="47" spans="5:18" x14ac:dyDescent="0.25">
      <c r="E47"/>
      <c r="F47"/>
      <c r="G47" s="1"/>
    </row>
    <row r="48" spans="5:18" x14ac:dyDescent="0.25">
      <c r="E48"/>
      <c r="F48"/>
      <c r="G48" s="1"/>
    </row>
    <row r="49" spans="5:7" x14ac:dyDescent="0.25">
      <c r="E49"/>
      <c r="F49"/>
      <c r="G49" s="1"/>
    </row>
    <row r="50" spans="5:7" x14ac:dyDescent="0.25">
      <c r="E50"/>
      <c r="F50"/>
      <c r="G50" s="1"/>
    </row>
    <row r="51" spans="5:7" x14ac:dyDescent="0.25">
      <c r="E51"/>
      <c r="F51"/>
      <c r="G51" s="1"/>
    </row>
    <row r="52" spans="5:7" x14ac:dyDescent="0.25">
      <c r="E52"/>
      <c r="F52"/>
      <c r="G52" s="1"/>
    </row>
    <row r="53" spans="5:7" x14ac:dyDescent="0.25">
      <c r="E53"/>
      <c r="F53"/>
      <c r="G53" s="1"/>
    </row>
    <row r="54" spans="5:7" x14ac:dyDescent="0.25">
      <c r="E54"/>
      <c r="F54"/>
      <c r="G54" s="1"/>
    </row>
    <row r="55" spans="5:7" x14ac:dyDescent="0.25">
      <c r="E55"/>
      <c r="F55"/>
      <c r="G55" s="1"/>
    </row>
    <row r="56" spans="5:7" x14ac:dyDescent="0.25">
      <c r="E56"/>
      <c r="F56"/>
      <c r="G56" s="1"/>
    </row>
    <row r="57" spans="5:7" x14ac:dyDescent="0.25">
      <c r="E57"/>
      <c r="F57"/>
      <c r="G57" s="1"/>
    </row>
    <row r="58" spans="5:7" x14ac:dyDescent="0.25">
      <c r="E58"/>
      <c r="F58"/>
      <c r="G58" s="1"/>
    </row>
    <row r="59" spans="5:7" x14ac:dyDescent="0.25">
      <c r="E59"/>
      <c r="F59"/>
      <c r="G59" s="1"/>
    </row>
    <row r="60" spans="5:7" x14ac:dyDescent="0.25">
      <c r="E60"/>
      <c r="F60"/>
      <c r="G60" s="1"/>
    </row>
    <row r="61" spans="5:7" x14ac:dyDescent="0.25">
      <c r="E61"/>
      <c r="F61"/>
      <c r="G61" s="1"/>
    </row>
    <row r="62" spans="5:7" x14ac:dyDescent="0.25">
      <c r="E62"/>
      <c r="F62"/>
      <c r="G62" s="1"/>
    </row>
    <row r="63" spans="5:7" x14ac:dyDescent="0.25">
      <c r="E63"/>
      <c r="F63"/>
      <c r="G63" s="1"/>
    </row>
    <row r="64" spans="5:7" x14ac:dyDescent="0.25">
      <c r="E64"/>
      <c r="F64"/>
      <c r="G64" s="1"/>
    </row>
    <row r="65" spans="5:7" x14ac:dyDescent="0.25">
      <c r="E65"/>
      <c r="F65"/>
      <c r="G65" s="1"/>
    </row>
    <row r="66" spans="5:7" x14ac:dyDescent="0.25">
      <c r="E66"/>
      <c r="F66"/>
      <c r="G66" s="1"/>
    </row>
    <row r="67" spans="5:7" x14ac:dyDescent="0.25">
      <c r="E67"/>
      <c r="F67"/>
      <c r="G67" s="1"/>
    </row>
    <row r="68" spans="5:7" x14ac:dyDescent="0.25">
      <c r="E68"/>
      <c r="F68"/>
      <c r="G68" s="1"/>
    </row>
    <row r="69" spans="5:7" x14ac:dyDescent="0.25">
      <c r="E69"/>
      <c r="F69"/>
      <c r="G69" s="1"/>
    </row>
    <row r="70" spans="5:7" x14ac:dyDescent="0.25">
      <c r="E70"/>
      <c r="F70"/>
      <c r="G70" s="1"/>
    </row>
    <row r="71" spans="5:7" x14ac:dyDescent="0.25">
      <c r="E71"/>
      <c r="F71"/>
      <c r="G71" s="1"/>
    </row>
    <row r="72" spans="5:7" x14ac:dyDescent="0.25">
      <c r="E72"/>
      <c r="F72"/>
      <c r="G72" s="1"/>
    </row>
    <row r="73" spans="5:7" x14ac:dyDescent="0.25">
      <c r="E73"/>
      <c r="F73"/>
      <c r="G73" s="1"/>
    </row>
    <row r="74" spans="5:7" x14ac:dyDescent="0.25">
      <c r="E74"/>
      <c r="F74"/>
      <c r="G74" s="1"/>
    </row>
    <row r="75" spans="5:7" x14ac:dyDescent="0.25">
      <c r="E75"/>
      <c r="F75"/>
      <c r="G75" s="1"/>
    </row>
    <row r="76" spans="5:7" x14ac:dyDescent="0.25">
      <c r="E76"/>
      <c r="F76"/>
      <c r="G76" s="1"/>
    </row>
    <row r="77" spans="5:7" x14ac:dyDescent="0.25">
      <c r="E77"/>
      <c r="F77"/>
      <c r="G77" s="1"/>
    </row>
    <row r="78" spans="5:7" x14ac:dyDescent="0.25">
      <c r="E78"/>
      <c r="F78"/>
      <c r="G78" s="1"/>
    </row>
    <row r="79" spans="5:7" x14ac:dyDescent="0.25">
      <c r="E79"/>
      <c r="F79"/>
      <c r="G79" s="1"/>
    </row>
    <row r="80" spans="5:7" x14ac:dyDescent="0.25">
      <c r="E80"/>
      <c r="F80"/>
      <c r="G80" s="1"/>
    </row>
    <row r="81" spans="5:7" x14ac:dyDescent="0.25">
      <c r="E81"/>
      <c r="F81"/>
      <c r="G81" s="1"/>
    </row>
    <row r="82" spans="5:7" x14ac:dyDescent="0.25">
      <c r="E82"/>
      <c r="F82"/>
      <c r="G82" s="1"/>
    </row>
    <row r="83" spans="5:7" x14ac:dyDescent="0.25">
      <c r="E83"/>
      <c r="F83"/>
      <c r="G83" s="1"/>
    </row>
    <row r="84" spans="5:7" x14ac:dyDescent="0.25">
      <c r="E84"/>
      <c r="F84"/>
      <c r="G84" s="1"/>
    </row>
    <row r="85" spans="5:7" x14ac:dyDescent="0.25">
      <c r="E85"/>
      <c r="F85"/>
      <c r="G85" s="1"/>
    </row>
    <row r="86" spans="5:7" x14ac:dyDescent="0.25">
      <c r="E86"/>
      <c r="F86"/>
      <c r="G86" s="1"/>
    </row>
    <row r="87" spans="5:7" x14ac:dyDescent="0.25">
      <c r="E87"/>
      <c r="F87"/>
      <c r="G87" s="1"/>
    </row>
    <row r="88" spans="5:7" x14ac:dyDescent="0.25">
      <c r="E88"/>
      <c r="F88"/>
      <c r="G88" s="1"/>
    </row>
    <row r="89" spans="5:7" x14ac:dyDescent="0.25">
      <c r="E89"/>
      <c r="F89"/>
      <c r="G89" s="1"/>
    </row>
    <row r="90" spans="5:7" x14ac:dyDescent="0.25">
      <c r="E90"/>
      <c r="F90"/>
      <c r="G90" s="1"/>
    </row>
    <row r="91" spans="5:7" x14ac:dyDescent="0.25">
      <c r="E91"/>
      <c r="F91"/>
      <c r="G91" s="1"/>
    </row>
    <row r="92" spans="5:7" x14ac:dyDescent="0.25">
      <c r="E92"/>
      <c r="F92"/>
      <c r="G92" s="1"/>
    </row>
    <row r="93" spans="5:7" x14ac:dyDescent="0.25">
      <c r="E93"/>
      <c r="F93"/>
      <c r="G93" s="1"/>
    </row>
    <row r="94" spans="5:7" x14ac:dyDescent="0.25">
      <c r="E94"/>
      <c r="F94"/>
      <c r="G94" s="1"/>
    </row>
    <row r="95" spans="5:7" x14ac:dyDescent="0.25">
      <c r="E95"/>
      <c r="F95"/>
      <c r="G95" s="1"/>
    </row>
    <row r="96" spans="5:7" x14ac:dyDescent="0.25">
      <c r="E96"/>
      <c r="F96"/>
      <c r="G96" s="1"/>
    </row>
    <row r="97" spans="5:7" x14ac:dyDescent="0.25">
      <c r="E97"/>
      <c r="F97"/>
      <c r="G97" s="1"/>
    </row>
    <row r="98" spans="5:7" x14ac:dyDescent="0.25">
      <c r="E98"/>
      <c r="F98"/>
      <c r="G98" s="1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1" operator="equal">
      <formula>"Es2 Necesar"</formula>
    </cfRule>
    <cfRule type="cellIs" dxfId="1" priority="2" operator="equal">
      <formula>"Not Ok"</formula>
    </cfRule>
    <cfRule type="cellIs" dxfId="0" priority="3" operator="equal">
      <formula>"OK"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30"/>
  <sheetViews>
    <sheetView workbookViewId="0">
      <selection activeCell="F14" sqref="F14"/>
    </sheetView>
  </sheetViews>
  <sheetFormatPr defaultRowHeight="15" x14ac:dyDescent="0.25"/>
  <cols>
    <col min="1" max="1" width="3" customWidth="1"/>
    <col min="2" max="2" width="22.85546875" customWidth="1"/>
    <col min="3" max="3" width="8.140625" customWidth="1"/>
    <col min="4" max="4" width="4" customWidth="1"/>
    <col min="5" max="5" width="28.42578125" customWidth="1"/>
    <col min="6" max="6" width="18.85546875" customWidth="1"/>
    <col min="7" max="7" width="4.140625" style="4" customWidth="1"/>
    <col min="8" max="8" width="7.7109375" customWidth="1"/>
    <col min="9" max="9" width="8.7109375" customWidth="1"/>
    <col min="10" max="10" width="5.140625" customWidth="1"/>
    <col min="11" max="11" width="10.140625" customWidth="1"/>
    <col min="12" max="14" width="9.140625" customWidth="1"/>
  </cols>
  <sheetData>
    <row r="1" spans="1:17" x14ac:dyDescent="0.25">
      <c r="A1" t="s">
        <v>48</v>
      </c>
      <c r="B1" t="s">
        <v>49</v>
      </c>
      <c r="C1" t="s">
        <v>50</v>
      </c>
      <c r="D1">
        <v>123</v>
      </c>
      <c r="E1" t="s">
        <v>89</v>
      </c>
      <c r="F1" t="s">
        <v>90</v>
      </c>
      <c r="G1" t="s">
        <v>91</v>
      </c>
      <c r="H1" t="s">
        <v>92</v>
      </c>
      <c r="I1" s="29">
        <v>43229</v>
      </c>
      <c r="N1" s="33"/>
      <c r="O1" s="33"/>
      <c r="P1" s="33"/>
      <c r="Q1" s="33"/>
    </row>
    <row r="2" spans="1:17" x14ac:dyDescent="0.25">
      <c r="A2">
        <v>1</v>
      </c>
      <c r="B2">
        <v>6260</v>
      </c>
      <c r="C2" s="1">
        <v>0.88890046296296299</v>
      </c>
      <c r="G2"/>
    </row>
    <row r="3" spans="1:17" x14ac:dyDescent="0.25">
      <c r="A3">
        <v>2</v>
      </c>
      <c r="B3">
        <v>6260</v>
      </c>
      <c r="C3" s="1">
        <v>0.8913078703703704</v>
      </c>
      <c r="G3"/>
    </row>
    <row r="4" spans="1:17" x14ac:dyDescent="0.25">
      <c r="A4">
        <v>3</v>
      </c>
      <c r="B4">
        <v>6260</v>
      </c>
      <c r="C4" s="1">
        <v>0.89780092592592586</v>
      </c>
      <c r="G4"/>
    </row>
    <row r="5" spans="1:17" x14ac:dyDescent="0.25">
      <c r="A5">
        <v>4</v>
      </c>
      <c r="B5">
        <v>6250</v>
      </c>
      <c r="C5" s="1">
        <v>0.88890046296296299</v>
      </c>
      <c r="G5"/>
    </row>
    <row r="6" spans="1:17" x14ac:dyDescent="0.25">
      <c r="A6">
        <v>5</v>
      </c>
      <c r="B6">
        <v>6260</v>
      </c>
      <c r="C6" s="1">
        <v>0.8913078703703704</v>
      </c>
      <c r="G6"/>
    </row>
    <row r="7" spans="1:17" x14ac:dyDescent="0.25">
      <c r="A7">
        <v>6</v>
      </c>
      <c r="B7">
        <v>6250</v>
      </c>
      <c r="C7" s="1">
        <v>0.89780092592592586</v>
      </c>
      <c r="G7"/>
    </row>
    <row r="8" spans="1:17" x14ac:dyDescent="0.25">
      <c r="A8">
        <v>7</v>
      </c>
      <c r="B8">
        <v>6250</v>
      </c>
      <c r="C8" s="1">
        <v>0.88890046296296299</v>
      </c>
      <c r="G8"/>
    </row>
    <row r="9" spans="1:17" x14ac:dyDescent="0.25">
      <c r="A9">
        <v>8</v>
      </c>
      <c r="B9">
        <v>6250</v>
      </c>
      <c r="C9" s="1">
        <v>0.8913078703703704</v>
      </c>
      <c r="G9"/>
    </row>
    <row r="10" spans="1:17" x14ac:dyDescent="0.25">
      <c r="A10">
        <v>9</v>
      </c>
      <c r="B10">
        <v>6240</v>
      </c>
      <c r="C10" s="1">
        <v>0.89780092592592586</v>
      </c>
      <c r="G10"/>
    </row>
    <row r="11" spans="1:17" x14ac:dyDescent="0.25">
      <c r="A11">
        <v>10</v>
      </c>
      <c r="B11">
        <v>6250</v>
      </c>
      <c r="C11" s="1">
        <v>0.88890046296296299</v>
      </c>
      <c r="G11"/>
    </row>
    <row r="12" spans="1:17" x14ac:dyDescent="0.25">
      <c r="A12">
        <v>11</v>
      </c>
      <c r="B12">
        <v>6260</v>
      </c>
      <c r="C12" s="1">
        <v>0.8913078703703704</v>
      </c>
      <c r="G12"/>
    </row>
    <row r="13" spans="1:17" x14ac:dyDescent="0.25">
      <c r="A13">
        <v>12</v>
      </c>
      <c r="B13">
        <v>6260</v>
      </c>
      <c r="C13" s="1">
        <v>0.89780092592592586</v>
      </c>
      <c r="G13"/>
    </row>
    <row r="14" spans="1:17" x14ac:dyDescent="0.25">
      <c r="A14">
        <v>13</v>
      </c>
      <c r="B14">
        <v>6250</v>
      </c>
      <c r="C14" s="1">
        <v>0.88890046296296299</v>
      </c>
      <c r="G14"/>
    </row>
    <row r="15" spans="1:17" x14ac:dyDescent="0.25">
      <c r="A15">
        <v>14</v>
      </c>
      <c r="B15">
        <v>6240</v>
      </c>
      <c r="C15" s="1">
        <v>0.8913078703703704</v>
      </c>
      <c r="G15"/>
    </row>
    <row r="16" spans="1:17" x14ac:dyDescent="0.25">
      <c r="A16">
        <v>15</v>
      </c>
      <c r="B16">
        <v>6260</v>
      </c>
      <c r="C16" s="1">
        <v>0.89780092592592586</v>
      </c>
      <c r="G16"/>
    </row>
    <row r="17" spans="1:7" x14ac:dyDescent="0.25">
      <c r="A17">
        <v>16</v>
      </c>
      <c r="B17">
        <v>6250</v>
      </c>
      <c r="C17" s="1">
        <v>0.88890046296296299</v>
      </c>
      <c r="G17"/>
    </row>
    <row r="18" spans="1:7" x14ac:dyDescent="0.25">
      <c r="A18">
        <v>17</v>
      </c>
      <c r="B18">
        <v>6250</v>
      </c>
      <c r="C18" s="1">
        <v>0.8913078703703704</v>
      </c>
      <c r="G18"/>
    </row>
    <row r="19" spans="1:7" x14ac:dyDescent="0.25">
      <c r="A19">
        <v>18</v>
      </c>
      <c r="B19">
        <v>6240</v>
      </c>
      <c r="C19" s="1">
        <v>0.89780092592592586</v>
      </c>
      <c r="G19"/>
    </row>
    <row r="20" spans="1:7" x14ac:dyDescent="0.25">
      <c r="A20">
        <v>19</v>
      </c>
      <c r="B20">
        <v>6250</v>
      </c>
      <c r="C20" s="1">
        <v>0.88890046296296299</v>
      </c>
      <c r="G20"/>
    </row>
    <row r="21" spans="1:7" x14ac:dyDescent="0.25">
      <c r="A21">
        <v>20</v>
      </c>
      <c r="B21">
        <v>6240</v>
      </c>
      <c r="C21" s="1">
        <v>0.8913078703703704</v>
      </c>
      <c r="G21"/>
    </row>
    <row r="22" spans="1:7" x14ac:dyDescent="0.25">
      <c r="A22">
        <v>21</v>
      </c>
      <c r="B22">
        <v>6250</v>
      </c>
      <c r="C22" s="1">
        <v>0.89780092592592586</v>
      </c>
      <c r="G22"/>
    </row>
    <row r="23" spans="1:7" x14ac:dyDescent="0.25">
      <c r="A23">
        <v>22</v>
      </c>
      <c r="B23">
        <v>6250</v>
      </c>
      <c r="C23" s="1">
        <v>0.88890046296296299</v>
      </c>
      <c r="G23"/>
    </row>
    <row r="24" spans="1:7" x14ac:dyDescent="0.25">
      <c r="A24">
        <v>23</v>
      </c>
      <c r="B24">
        <v>6260</v>
      </c>
      <c r="C24" s="1">
        <v>0.8913078703703704</v>
      </c>
      <c r="G24"/>
    </row>
    <row r="25" spans="1:7" x14ac:dyDescent="0.25">
      <c r="A25">
        <v>24</v>
      </c>
      <c r="B25">
        <v>6260</v>
      </c>
      <c r="C25" s="1">
        <v>0.89780092592592586</v>
      </c>
      <c r="G25"/>
    </row>
    <row r="26" spans="1:7" x14ac:dyDescent="0.25">
      <c r="A26">
        <v>25</v>
      </c>
      <c r="B26">
        <v>6240</v>
      </c>
      <c r="C26" s="1">
        <v>0.88890046296296299</v>
      </c>
      <c r="G26"/>
    </row>
    <row r="27" spans="1:7" x14ac:dyDescent="0.25">
      <c r="A27">
        <v>26</v>
      </c>
      <c r="B27">
        <v>6260</v>
      </c>
      <c r="C27" s="1">
        <v>0.8913078703703704</v>
      </c>
      <c r="G27"/>
    </row>
    <row r="28" spans="1:7" x14ac:dyDescent="0.25">
      <c r="A28">
        <v>27</v>
      </c>
      <c r="B28">
        <v>6260</v>
      </c>
      <c r="C28" s="1">
        <v>0.89780092592592586</v>
      </c>
      <c r="G28"/>
    </row>
    <row r="29" spans="1:7" x14ac:dyDescent="0.25">
      <c r="A29">
        <v>28</v>
      </c>
      <c r="B29">
        <v>6260</v>
      </c>
      <c r="C29" s="1">
        <v>0.88890046296296299</v>
      </c>
      <c r="G29"/>
    </row>
    <row r="30" spans="1:7" x14ac:dyDescent="0.25">
      <c r="A30">
        <v>29</v>
      </c>
      <c r="B30">
        <v>6260</v>
      </c>
      <c r="C30" s="1">
        <v>0.8913078703703704</v>
      </c>
      <c r="G30"/>
    </row>
    <row r="31" spans="1:7" x14ac:dyDescent="0.25">
      <c r="A31">
        <v>30</v>
      </c>
      <c r="B31">
        <v>6250</v>
      </c>
      <c r="C31" s="1">
        <v>0.8913078703703704</v>
      </c>
      <c r="G31"/>
    </row>
    <row r="32" spans="1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4" t="s">
        <v>37</v>
      </c>
      <c r="H2" s="24"/>
      <c r="I2" s="24"/>
      <c r="J2" s="24"/>
      <c r="K2" s="24"/>
    </row>
    <row r="3" spans="1:11" x14ac:dyDescent="0.25">
      <c r="A3" s="9" t="s">
        <v>67</v>
      </c>
      <c r="B3" s="10" t="s">
        <v>12</v>
      </c>
      <c r="G3" s="81" t="s">
        <v>38</v>
      </c>
      <c r="H3" s="81"/>
      <c r="I3" s="81"/>
      <c r="J3" s="25" t="s">
        <v>39</v>
      </c>
      <c r="K3" s="26"/>
    </row>
    <row r="4" spans="1:11" x14ac:dyDescent="0.25">
      <c r="A4" s="9" t="s">
        <v>9</v>
      </c>
      <c r="B4" s="10" t="s">
        <v>13</v>
      </c>
      <c r="G4" s="81"/>
      <c r="H4" s="81"/>
      <c r="I4" s="81"/>
      <c r="J4" s="27" t="s">
        <v>40</v>
      </c>
      <c r="K4" s="27" t="s">
        <v>41</v>
      </c>
    </row>
    <row r="5" spans="1:11" x14ac:dyDescent="0.25">
      <c r="A5" s="9" t="s">
        <v>50</v>
      </c>
      <c r="B5" s="10" t="s">
        <v>14</v>
      </c>
      <c r="G5" s="28">
        <v>5</v>
      </c>
      <c r="H5" s="27" t="s">
        <v>42</v>
      </c>
      <c r="I5" s="25">
        <v>50</v>
      </c>
      <c r="J5" s="27">
        <v>9</v>
      </c>
      <c r="K5" s="27" t="s">
        <v>43</v>
      </c>
    </row>
    <row r="6" spans="1:11" x14ac:dyDescent="0.25">
      <c r="A6" s="9" t="s">
        <v>49</v>
      </c>
      <c r="B6" s="10" t="s">
        <v>15</v>
      </c>
      <c r="G6" s="28">
        <v>50</v>
      </c>
      <c r="H6" s="27" t="s">
        <v>42</v>
      </c>
      <c r="I6" s="25">
        <v>100</v>
      </c>
      <c r="J6" s="27" t="s">
        <v>43</v>
      </c>
      <c r="K6" s="27">
        <v>4.5</v>
      </c>
    </row>
    <row r="7" spans="1:11" ht="30" x14ac:dyDescent="0.25">
      <c r="A7" s="11" t="s">
        <v>51</v>
      </c>
      <c r="B7" s="10" t="s">
        <v>16</v>
      </c>
      <c r="G7" s="28">
        <v>100</v>
      </c>
      <c r="H7" s="27" t="s">
        <v>42</v>
      </c>
      <c r="I7" s="25">
        <v>200</v>
      </c>
      <c r="J7" s="27">
        <v>4.5</v>
      </c>
      <c r="K7" s="27" t="s">
        <v>43</v>
      </c>
    </row>
    <row r="8" spans="1:11" ht="45" x14ac:dyDescent="0.25">
      <c r="A8" s="42" t="s">
        <v>68</v>
      </c>
      <c r="B8" s="10" t="s">
        <v>17</v>
      </c>
      <c r="G8" s="28">
        <v>200</v>
      </c>
      <c r="H8" s="27" t="s">
        <v>42</v>
      </c>
      <c r="I8" s="25">
        <v>300</v>
      </c>
      <c r="J8" s="26" t="s">
        <v>43</v>
      </c>
      <c r="K8" s="27">
        <v>9</v>
      </c>
    </row>
    <row r="9" spans="1:11" ht="45" x14ac:dyDescent="0.25">
      <c r="A9" s="42" t="s">
        <v>55</v>
      </c>
      <c r="B9" s="10" t="s">
        <v>18</v>
      </c>
      <c r="G9" s="28">
        <v>300</v>
      </c>
      <c r="H9" s="27" t="s">
        <v>42</v>
      </c>
      <c r="I9" s="25">
        <v>500</v>
      </c>
      <c r="J9" s="27">
        <v>3</v>
      </c>
      <c r="K9" s="26" t="s">
        <v>43</v>
      </c>
    </row>
    <row r="10" spans="1:11" ht="30" x14ac:dyDescent="0.25">
      <c r="A10" s="42" t="s">
        <v>52</v>
      </c>
      <c r="B10" s="10" t="s">
        <v>19</v>
      </c>
      <c r="G10" s="28">
        <v>500</v>
      </c>
      <c r="H10" s="27" t="s">
        <v>42</v>
      </c>
      <c r="I10" s="25">
        <v>1000</v>
      </c>
      <c r="J10" s="27"/>
      <c r="K10" s="27">
        <v>15</v>
      </c>
    </row>
    <row r="11" spans="1:11" ht="45" x14ac:dyDescent="0.25">
      <c r="A11" s="43" t="s">
        <v>69</v>
      </c>
      <c r="B11" s="10" t="s">
        <v>20</v>
      </c>
      <c r="G11" s="28">
        <v>1000</v>
      </c>
      <c r="H11" s="27" t="s">
        <v>42</v>
      </c>
      <c r="I11" s="25">
        <v>10000</v>
      </c>
      <c r="J11" s="27">
        <v>1.5</v>
      </c>
      <c r="K11" s="26" t="s">
        <v>43</v>
      </c>
    </row>
    <row r="12" spans="1:11" ht="45" x14ac:dyDescent="0.25">
      <c r="A12" s="44" t="s">
        <v>56</v>
      </c>
      <c r="B12" s="10" t="s">
        <v>21</v>
      </c>
    </row>
    <row r="13" spans="1:11" ht="30" x14ac:dyDescent="0.25">
      <c r="A13" s="44" t="s">
        <v>53</v>
      </c>
      <c r="B13" s="10" t="s">
        <v>22</v>
      </c>
    </row>
    <row r="14" spans="1:11" ht="38.25" x14ac:dyDescent="0.25">
      <c r="A14" s="45" t="s">
        <v>70</v>
      </c>
      <c r="B14" s="12" t="s">
        <v>23</v>
      </c>
    </row>
    <row r="15" spans="1:11" ht="45" x14ac:dyDescent="0.25">
      <c r="A15" s="46" t="s">
        <v>57</v>
      </c>
      <c r="B15" s="10" t="s">
        <v>24</v>
      </c>
    </row>
    <row r="16" spans="1:11" x14ac:dyDescent="0.25">
      <c r="A16" s="46" t="s">
        <v>25</v>
      </c>
      <c r="B16" s="10" t="s">
        <v>26</v>
      </c>
    </row>
    <row r="17" spans="1:2" x14ac:dyDescent="0.25">
      <c r="A17" s="46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2018-09-30T17:42:27Z</dcterms:modified>
</cp:coreProperties>
</file>